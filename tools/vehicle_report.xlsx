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6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C137EC03-5551-4A0D-B8A0-924CD02BA7EF}" xr6:coauthVersionLast="47" xr6:coauthVersionMax="47" xr10:uidLastSave="{00000000-0000-0000-0000-000000000000}"/>
  <bookViews>
    <workbookView xWindow="-103" yWindow="-103" windowWidth="22149" windowHeight="13320" tabRatio="739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roles" sheetId="21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7" l="1"/>
  <c r="E3" i="17"/>
  <c r="O754" i="17"/>
  <c r="L591" i="17"/>
  <c r="R630" i="17"/>
  <c r="R629" i="17"/>
  <c r="S629" i="17" s="1"/>
  <c r="U629" i="17" s="1"/>
  <c r="P646" i="17"/>
  <c r="P628" i="17"/>
  <c r="P626" i="17"/>
  <c r="W624" i="17"/>
  <c r="H624" i="17"/>
  <c r="R622" i="17"/>
  <c r="P621" i="17"/>
  <c r="P618" i="17"/>
  <c r="H571" i="17"/>
  <c r="P562" i="17"/>
  <c r="R560" i="17"/>
  <c r="R558" i="17"/>
  <c r="R559" i="17"/>
  <c r="S558" i="17"/>
  <c r="U558" i="17" s="1"/>
  <c r="H556" i="17"/>
  <c r="W556" i="17"/>
  <c r="R556" i="17"/>
  <c r="O556" i="17"/>
  <c r="P555" i="17"/>
  <c r="P554" i="17"/>
  <c r="R554" i="17"/>
  <c r="P553" i="17"/>
  <c r="P552" i="17"/>
  <c r="O552" i="17"/>
  <c r="P550" i="17"/>
  <c r="R549" i="17"/>
  <c r="R548" i="17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O536" i="17"/>
  <c r="R536" i="17"/>
  <c r="S536" i="17" s="1"/>
  <c r="U536" i="17" s="1"/>
  <c r="H536" i="17"/>
  <c r="W536" i="17"/>
  <c r="R535" i="17"/>
  <c r="R534" i="17"/>
  <c r="R533" i="17"/>
  <c r="O532" i="17"/>
  <c r="W532" i="17"/>
  <c r="P532" i="17"/>
  <c r="R532" i="17"/>
  <c r="S532" i="17" s="1"/>
  <c r="U532" i="17" s="1"/>
  <c r="R531" i="17"/>
  <c r="R530" i="17"/>
  <c r="S530" i="17" s="1"/>
  <c r="U530" i="17" s="1"/>
  <c r="O530" i="17"/>
  <c r="P529" i="17"/>
  <c r="R529" i="17"/>
  <c r="W528" i="17"/>
  <c r="H528" i="17"/>
  <c r="P528" i="17"/>
  <c r="R527" i="17"/>
  <c r="R526" i="17"/>
  <c r="P526" i="17"/>
  <c r="O525" i="17"/>
  <c r="R525" i="17"/>
  <c r="S525" i="17" s="1"/>
  <c r="U525" i="17" s="1"/>
  <c r="R524" i="17"/>
  <c r="R523" i="17"/>
  <c r="H523" i="17"/>
  <c r="W523" i="17"/>
  <c r="R522" i="17"/>
  <c r="R521" i="17"/>
  <c r="R520" i="17"/>
  <c r="R519" i="17"/>
  <c r="S519" i="17" s="1"/>
  <c r="U519" i="17" s="1"/>
  <c r="O519" i="17"/>
  <c r="H519" i="17"/>
  <c r="W519" i="17"/>
  <c r="O516" i="17"/>
  <c r="S516" i="17" s="1"/>
  <c r="U516" i="17" s="1"/>
  <c r="R518" i="17"/>
  <c r="P518" i="17"/>
  <c r="O518" i="17"/>
  <c r="H518" i="17"/>
  <c r="W518" i="17"/>
  <c r="R517" i="17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R512" i="17"/>
  <c r="S512" i="17" s="1"/>
  <c r="U512" i="17" s="1"/>
  <c r="H512" i="17"/>
  <c r="O512" i="17"/>
  <c r="R506" i="17"/>
  <c r="R507" i="17"/>
  <c r="S507" i="17" s="1"/>
  <c r="U507" i="17" s="1"/>
  <c r="R508" i="17"/>
  <c r="S508" i="17" s="1"/>
  <c r="U508" i="17" s="1"/>
  <c r="R509" i="17"/>
  <c r="S509" i="17" s="1"/>
  <c r="U509" i="17" s="1"/>
  <c r="R510" i="17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I792" i="18"/>
  <c r="H792" i="18"/>
  <c r="G792" i="18"/>
  <c r="F792" i="18"/>
  <c r="E792" i="18"/>
  <c r="D792" i="18"/>
  <c r="C792" i="18"/>
  <c r="B792" i="18"/>
  <c r="Z792" i="17"/>
  <c r="S792" i="17"/>
  <c r="U792" i="17" s="1"/>
  <c r="E792" i="17"/>
  <c r="AF792" i="1"/>
  <c r="Q792" i="14"/>
  <c r="P792" i="14"/>
  <c r="O792" i="14"/>
  <c r="N792" i="14"/>
  <c r="M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P502" i="17"/>
  <c r="R501" i="17"/>
  <c r="R500" i="17"/>
  <c r="R499" i="17"/>
  <c r="R498" i="17"/>
  <c r="S498" i="17" s="1"/>
  <c r="U498" i="17" s="1"/>
  <c r="R497" i="17"/>
  <c r="R496" i="17"/>
  <c r="S496" i="17" s="1"/>
  <c r="U496" i="17" s="1"/>
  <c r="R495" i="17"/>
  <c r="H495" i="17"/>
  <c r="W495" i="17"/>
  <c r="R494" i="17"/>
  <c r="S494" i="17" s="1"/>
  <c r="U494" i="17" s="1"/>
  <c r="H494" i="17"/>
  <c r="W494" i="17"/>
  <c r="R493" i="17"/>
  <c r="R492" i="17"/>
  <c r="W492" i="17"/>
  <c r="O492" i="17"/>
  <c r="R491" i="17"/>
  <c r="S491" i="17" s="1"/>
  <c r="U491" i="17" s="1"/>
  <c r="R490" i="17"/>
  <c r="R489" i="17"/>
  <c r="R488" i="17"/>
  <c r="R487" i="17"/>
  <c r="P487" i="17"/>
  <c r="H487" i="17"/>
  <c r="W487" i="17"/>
  <c r="R486" i="17"/>
  <c r="H486" i="17"/>
  <c r="W486" i="17"/>
  <c r="S486" i="17"/>
  <c r="U486" i="17" s="1"/>
  <c r="W485" i="17"/>
  <c r="R485" i="17"/>
  <c r="R484" i="17"/>
  <c r="P483" i="17"/>
  <c r="R483" i="17"/>
  <c r="R482" i="17"/>
  <c r="R481" i="17"/>
  <c r="S481" i="17" s="1"/>
  <c r="U481" i="17" s="1"/>
  <c r="P481" i="17"/>
  <c r="O481" i="17"/>
  <c r="L481" i="17"/>
  <c r="R480" i="17"/>
  <c r="R479" i="17"/>
  <c r="H478" i="17"/>
  <c r="W478" i="17"/>
  <c r="R478" i="17"/>
  <c r="R477" i="17"/>
  <c r="H476" i="17"/>
  <c r="R476" i="17"/>
  <c r="R475" i="17"/>
  <c r="H475" i="17"/>
  <c r="R474" i="17"/>
  <c r="R473" i="17"/>
  <c r="R472" i="17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W469" i="17"/>
  <c r="H469" i="17"/>
  <c r="R468" i="17"/>
  <c r="P468" i="17"/>
  <c r="H468" i="17"/>
  <c r="W468" i="17" s="1"/>
  <c r="O468" i="17"/>
  <c r="R467" i="17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S463" i="17" s="1"/>
  <c r="U463" i="17" s="1"/>
  <c r="P462" i="17"/>
  <c r="E461" i="17"/>
  <c r="O461" i="17"/>
  <c r="O460" i="17"/>
  <c r="S460" i="17" s="1"/>
  <c r="U460" i="17" s="1"/>
  <c r="W460" i="17"/>
  <c r="W459" i="17"/>
  <c r="W456" i="17"/>
  <c r="W453" i="17"/>
  <c r="O459" i="17"/>
  <c r="S459" i="17" s="1"/>
  <c r="U459" i="17" s="1"/>
  <c r="O458" i="17"/>
  <c r="O457" i="17"/>
  <c r="O456" i="17"/>
  <c r="H456" i="17"/>
  <c r="R455" i="17"/>
  <c r="O455" i="17"/>
  <c r="O454" i="17"/>
  <c r="H453" i="17"/>
  <c r="R453" i="17"/>
  <c r="S453" i="17" s="1"/>
  <c r="U453" i="17" s="1"/>
  <c r="O453" i="17"/>
  <c r="P406" i="17"/>
  <c r="R406" i="17"/>
  <c r="O406" i="17"/>
  <c r="S316" i="17"/>
  <c r="U316" i="17" s="1"/>
  <c r="R285" i="17"/>
  <c r="Q156" i="17"/>
  <c r="B138" i="14"/>
  <c r="R135" i="17"/>
  <c r="O102" i="17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2" i="17"/>
  <c r="U102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5" i="17"/>
  <c r="U135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5" i="17"/>
  <c r="U285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5" i="17"/>
  <c r="U405" i="17" s="1"/>
  <c r="S406" i="17"/>
  <c r="U406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454" i="17"/>
  <c r="U454" i="17" s="1"/>
  <c r="S455" i="17"/>
  <c r="U455" i="17" s="1"/>
  <c r="S457" i="17"/>
  <c r="U457" i="17" s="1"/>
  <c r="S464" i="17"/>
  <c r="U464" i="17" s="1"/>
  <c r="S467" i="17"/>
  <c r="U467" i="17" s="1"/>
  <c r="S468" i="17"/>
  <c r="U468" i="17" s="1"/>
  <c r="S469" i="17"/>
  <c r="U469" i="17" s="1"/>
  <c r="S472" i="17"/>
  <c r="U472" i="17" s="1"/>
  <c r="S473" i="17"/>
  <c r="U473" i="17" s="1"/>
  <c r="S474" i="17"/>
  <c r="U474" i="17" s="1"/>
  <c r="S475" i="17"/>
  <c r="U475" i="17" s="1"/>
  <c r="S476" i="17"/>
  <c r="U476" i="17" s="1"/>
  <c r="S477" i="17"/>
  <c r="U477" i="17" s="1"/>
  <c r="S478" i="17"/>
  <c r="U478" i="17" s="1"/>
  <c r="S479" i="17"/>
  <c r="U479" i="17" s="1"/>
  <c r="S480" i="17"/>
  <c r="U480" i="17" s="1"/>
  <c r="S482" i="17"/>
  <c r="U482" i="17" s="1"/>
  <c r="S483" i="17"/>
  <c r="U483" i="17" s="1"/>
  <c r="S484" i="17"/>
  <c r="U484" i="17" s="1"/>
  <c r="S485" i="17"/>
  <c r="U485" i="17" s="1"/>
  <c r="S487" i="17"/>
  <c r="U487" i="17" s="1"/>
  <c r="S488" i="17"/>
  <c r="U488" i="17" s="1"/>
  <c r="S489" i="17"/>
  <c r="U489" i="17" s="1"/>
  <c r="S490" i="17"/>
  <c r="U490" i="17" s="1"/>
  <c r="S492" i="17"/>
  <c r="U492" i="17" s="1"/>
  <c r="S493" i="17"/>
  <c r="U493" i="17" s="1"/>
  <c r="S495" i="17"/>
  <c r="U495" i="17" s="1"/>
  <c r="S497" i="17"/>
  <c r="U497" i="17" s="1"/>
  <c r="S499" i="17"/>
  <c r="U499" i="17" s="1"/>
  <c r="S500" i="17"/>
  <c r="U500" i="17" s="1"/>
  <c r="S501" i="17"/>
  <c r="U501" i="17" s="1"/>
  <c r="S502" i="17"/>
  <c r="U502" i="17" s="1"/>
  <c r="S504" i="17"/>
  <c r="U504" i="17" s="1"/>
  <c r="S510" i="17"/>
  <c r="U510" i="17" s="1"/>
  <c r="S511" i="17"/>
  <c r="U511" i="17" s="1"/>
  <c r="S513" i="17"/>
  <c r="U513" i="17" s="1"/>
  <c r="S514" i="17"/>
  <c r="U514" i="17" s="1"/>
  <c r="S517" i="17"/>
  <c r="U517" i="17" s="1"/>
  <c r="S518" i="17"/>
  <c r="U518" i="17" s="1"/>
  <c r="S520" i="17"/>
  <c r="U520" i="17" s="1"/>
  <c r="S521" i="17"/>
  <c r="U521" i="17" s="1"/>
  <c r="S522" i="17"/>
  <c r="U522" i="17" s="1"/>
  <c r="S523" i="17"/>
  <c r="U523" i="17" s="1"/>
  <c r="S524" i="17"/>
  <c r="U524" i="17" s="1"/>
  <c r="S526" i="17"/>
  <c r="U526" i="17" s="1"/>
  <c r="S527" i="17"/>
  <c r="U527" i="17" s="1"/>
  <c r="S528" i="17"/>
  <c r="U528" i="17" s="1"/>
  <c r="S529" i="17"/>
  <c r="U529" i="17" s="1"/>
  <c r="S531" i="17"/>
  <c r="U531" i="17" s="1"/>
  <c r="S533" i="17"/>
  <c r="U533" i="17" s="1"/>
  <c r="S534" i="17"/>
  <c r="U534" i="17" s="1"/>
  <c r="S535" i="17"/>
  <c r="U535" i="17" s="1"/>
  <c r="S537" i="17"/>
  <c r="U537" i="17" s="1"/>
  <c r="S538" i="17"/>
  <c r="U53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48" i="17"/>
  <c r="U548" i="17" s="1"/>
  <c r="S549" i="17"/>
  <c r="U549" i="17" s="1"/>
  <c r="S550" i="17"/>
  <c r="U550" i="17" s="1"/>
  <c r="S551" i="17"/>
  <c r="U551" i="17" s="1"/>
  <c r="S552" i="17"/>
  <c r="U552" i="17" s="1"/>
  <c r="S553" i="17"/>
  <c r="U553" i="17" s="1"/>
  <c r="S554" i="17"/>
  <c r="U554" i="17" s="1"/>
  <c r="S555" i="17"/>
  <c r="U555" i="17" s="1"/>
  <c r="S556" i="17"/>
  <c r="U556" i="17" s="1"/>
  <c r="S557" i="17"/>
  <c r="U557" i="17" s="1"/>
  <c r="S559" i="17"/>
  <c r="U559" i="17" s="1"/>
  <c r="S560" i="17"/>
  <c r="U560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2" i="17"/>
  <c r="U622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0" i="17"/>
  <c r="U630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4" i="17"/>
  <c r="U754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516" i="18" s="1"/>
  <c r="I517" i="18" s="1"/>
  <c r="I518" i="18" s="1"/>
  <c r="I519" i="18" s="1"/>
  <c r="I520" i="18" s="1"/>
  <c r="I521" i="18" s="1"/>
  <c r="I522" i="18" s="1"/>
  <c r="I523" i="18" s="1"/>
  <c r="I524" i="18" s="1"/>
  <c r="I525" i="18" s="1"/>
  <c r="I526" i="18" s="1"/>
  <c r="I527" i="18" s="1"/>
  <c r="I528" i="18" s="1"/>
  <c r="I529" i="18" s="1"/>
  <c r="I530" i="18" s="1"/>
  <c r="I531" i="18" s="1"/>
  <c r="I532" i="18" s="1"/>
  <c r="I533" i="18" s="1"/>
  <c r="I534" i="18" s="1"/>
  <c r="I535" i="18" s="1"/>
  <c r="I536" i="18" s="1"/>
  <c r="I537" i="18" s="1"/>
  <c r="I538" i="18" s="1"/>
  <c r="I539" i="18" s="1"/>
  <c r="I540" i="18" s="1"/>
  <c r="I541" i="18" s="1"/>
  <c r="I542" i="18" s="1"/>
  <c r="I543" i="18" s="1"/>
  <c r="I544" i="18" s="1"/>
  <c r="I545" i="18" s="1"/>
  <c r="I546" i="18" s="1"/>
  <c r="I547" i="18" s="1"/>
  <c r="I548" i="18" s="1"/>
  <c r="I549" i="18" s="1"/>
  <c r="I550" i="18" s="1"/>
  <c r="I551" i="18" s="1"/>
  <c r="I552" i="18" s="1"/>
  <c r="I553" i="18" s="1"/>
  <c r="I554" i="18" s="1"/>
  <c r="I555" i="18" s="1"/>
  <c r="I556" i="18" s="1"/>
  <c r="I557" i="18" s="1"/>
  <c r="I558" i="18" s="1"/>
  <c r="I559" i="18" s="1"/>
  <c r="I560" i="18" s="1"/>
  <c r="I561" i="18" s="1"/>
  <c r="I562" i="18" s="1"/>
  <c r="I563" i="18" s="1"/>
  <c r="I564" i="18" s="1"/>
  <c r="I565" i="18" s="1"/>
  <c r="I566" i="18" s="1"/>
  <c r="I567" i="18" s="1"/>
  <c r="I568" i="18" s="1"/>
  <c r="I569" i="18" s="1"/>
  <c r="I570" i="18" s="1"/>
  <c r="I571" i="18" s="1"/>
  <c r="I572" i="18" s="1"/>
  <c r="I573" i="18" s="1"/>
  <c r="I574" i="18" s="1"/>
  <c r="I575" i="18" s="1"/>
  <c r="I576" i="18" s="1"/>
  <c r="I577" i="18" s="1"/>
  <c r="I578" i="18" s="1"/>
  <c r="I579" i="18" s="1"/>
  <c r="I580" i="18" s="1"/>
  <c r="I581" i="18" s="1"/>
  <c r="I582" i="18" s="1"/>
  <c r="I583" i="18" s="1"/>
  <c r="I584" i="18" s="1"/>
  <c r="I585" i="18" s="1"/>
  <c r="I586" i="18" s="1"/>
  <c r="I587" i="18" s="1"/>
  <c r="I588" i="18" s="1"/>
  <c r="I589" i="18" s="1"/>
  <c r="I590" i="18" s="1"/>
  <c r="I591" i="18" s="1"/>
  <c r="I592" i="18" s="1"/>
  <c r="I593" i="18" s="1"/>
  <c r="I594" i="18" s="1"/>
  <c r="I595" i="18" s="1"/>
  <c r="I596" i="18" s="1"/>
  <c r="I597" i="18" s="1"/>
  <c r="I598" i="18" s="1"/>
  <c r="I599" i="18" s="1"/>
  <c r="I600" i="18" s="1"/>
  <c r="I601" i="18" s="1"/>
  <c r="I602" i="18" s="1"/>
  <c r="I603" i="18" s="1"/>
  <c r="I604" i="18" s="1"/>
  <c r="I605" i="18" s="1"/>
  <c r="I606" i="18" s="1"/>
  <c r="I607" i="18" s="1"/>
  <c r="I608" i="18" s="1"/>
  <c r="I609" i="18" s="1"/>
  <c r="I610" i="18" s="1"/>
  <c r="I611" i="18" s="1"/>
  <c r="I612" i="18" s="1"/>
  <c r="I613" i="18" s="1"/>
  <c r="I614" i="18" s="1"/>
  <c r="I615" i="18" s="1"/>
  <c r="I616" i="18" s="1"/>
  <c r="I617" i="18" s="1"/>
  <c r="I618" i="18" s="1"/>
  <c r="I619" i="18" s="1"/>
  <c r="I620" i="18" s="1"/>
  <c r="I621" i="18" s="1"/>
  <c r="I622" i="18" s="1"/>
  <c r="I623" i="18" s="1"/>
  <c r="I624" i="18" s="1"/>
  <c r="I625" i="18" s="1"/>
  <c r="I626" i="18" s="1"/>
  <c r="I627" i="18" s="1"/>
  <c r="I628" i="18" s="1"/>
  <c r="I629" i="18" s="1"/>
  <c r="I630" i="18" s="1"/>
  <c r="I631" i="18" s="1"/>
  <c r="I632" i="18" s="1"/>
  <c r="I633" i="18" s="1"/>
  <c r="I634" i="18" s="1"/>
  <c r="I635" i="18" s="1"/>
  <c r="I636" i="18" s="1"/>
  <c r="I637" i="18" s="1"/>
  <c r="I638" i="18" s="1"/>
  <c r="I639" i="18" s="1"/>
  <c r="I640" i="18" s="1"/>
  <c r="I641" i="18" s="1"/>
  <c r="I642" i="18" s="1"/>
  <c r="I643" i="18" s="1"/>
  <c r="I644" i="18" s="1"/>
  <c r="I645" i="18" s="1"/>
  <c r="I646" i="18" s="1"/>
  <c r="I647" i="18" s="1"/>
  <c r="I648" i="18" s="1"/>
  <c r="I649" i="18" s="1"/>
  <c r="I650" i="18" s="1"/>
  <c r="I651" i="18" s="1"/>
  <c r="I652" i="18" s="1"/>
  <c r="I653" i="18" s="1"/>
  <c r="I654" i="18" s="1"/>
  <c r="I655" i="18" s="1"/>
  <c r="I656" i="18" s="1"/>
  <c r="I657" i="18" s="1"/>
  <c r="I658" i="18" s="1"/>
  <c r="I659" i="18" s="1"/>
  <c r="I660" i="18" s="1"/>
  <c r="I661" i="18" s="1"/>
  <c r="I662" i="18" s="1"/>
  <c r="I663" i="18" s="1"/>
  <c r="I664" i="18" s="1"/>
  <c r="I665" i="18" s="1"/>
  <c r="I666" i="18" s="1"/>
  <c r="I667" i="18" s="1"/>
  <c r="I668" i="18" s="1"/>
  <c r="I669" i="18" s="1"/>
  <c r="I670" i="18" s="1"/>
  <c r="I671" i="18" s="1"/>
  <c r="I672" i="18" s="1"/>
  <c r="I673" i="18" s="1"/>
  <c r="I674" i="18" s="1"/>
  <c r="I675" i="18" s="1"/>
  <c r="I676" i="18" s="1"/>
  <c r="I677" i="18" s="1"/>
  <c r="I678" i="18" s="1"/>
  <c r="I679" i="18" s="1"/>
  <c r="I680" i="18" s="1"/>
  <c r="I681" i="18" s="1"/>
  <c r="I682" i="18" s="1"/>
  <c r="I683" i="18" s="1"/>
  <c r="I684" i="18" s="1"/>
  <c r="I685" i="18" s="1"/>
  <c r="I686" i="18" s="1"/>
  <c r="I687" i="18" s="1"/>
  <c r="I688" i="18" s="1"/>
  <c r="I689" i="18" s="1"/>
  <c r="I690" i="18" s="1"/>
  <c r="I691" i="18" s="1"/>
  <c r="I692" i="18" s="1"/>
  <c r="I693" i="18" s="1"/>
  <c r="I694" i="18" s="1"/>
  <c r="I695" i="18" s="1"/>
  <c r="I696" i="18" s="1"/>
  <c r="I697" i="18" s="1"/>
  <c r="I698" i="18" s="1"/>
  <c r="I699" i="18" s="1"/>
  <c r="I700" i="18" s="1"/>
  <c r="I701" i="18" s="1"/>
  <c r="I702" i="18" s="1"/>
  <c r="I703" i="18" s="1"/>
  <c r="I704" i="18" s="1"/>
  <c r="I705" i="18" s="1"/>
  <c r="I706" i="18" s="1"/>
  <c r="I707" i="18" s="1"/>
  <c r="I708" i="18" s="1"/>
  <c r="I709" i="18" s="1"/>
  <c r="I710" i="18" s="1"/>
  <c r="I711" i="18" s="1"/>
  <c r="I712" i="18" s="1"/>
  <c r="I713" i="18" s="1"/>
  <c r="I714" i="18" s="1"/>
  <c r="I715" i="18" s="1"/>
  <c r="I716" i="18" s="1"/>
  <c r="I717" i="18" s="1"/>
  <c r="I718" i="18" s="1"/>
  <c r="I719" i="18" s="1"/>
  <c r="I720" i="18" s="1"/>
  <c r="I721" i="18" s="1"/>
  <c r="I722" i="18" s="1"/>
  <c r="I723" i="18" s="1"/>
  <c r="I724" i="18" s="1"/>
  <c r="I725" i="18" s="1"/>
  <c r="I726" i="18" s="1"/>
  <c r="I727" i="18" s="1"/>
  <c r="I728" i="18" s="1"/>
  <c r="I729" i="18" s="1"/>
  <c r="I730" i="18" s="1"/>
  <c r="I731" i="18" s="1"/>
  <c r="I732" i="18" s="1"/>
  <c r="I733" i="18" s="1"/>
  <c r="I734" i="18" s="1"/>
  <c r="I735" i="18" s="1"/>
  <c r="I736" i="18" s="1"/>
  <c r="I737" i="18" s="1"/>
  <c r="I738" i="18" s="1"/>
  <c r="I739" i="18" s="1"/>
  <c r="I740" i="18" s="1"/>
  <c r="I741" i="18" s="1"/>
  <c r="I742" i="18" s="1"/>
  <c r="I743" i="18" s="1"/>
  <c r="I744" i="18" s="1"/>
  <c r="I745" i="18" s="1"/>
  <c r="I746" i="18" s="1"/>
  <c r="I747" i="18" s="1"/>
  <c r="I748" i="18" s="1"/>
  <c r="I749" i="18" s="1"/>
  <c r="I750" i="18" s="1"/>
  <c r="I751" i="18" s="1"/>
  <c r="I752" i="18" s="1"/>
  <c r="I753" i="18" s="1"/>
  <c r="I754" i="18" s="1"/>
  <c r="I755" i="18" s="1"/>
  <c r="I756" i="18" s="1"/>
  <c r="I757" i="18" s="1"/>
  <c r="I758" i="18" s="1"/>
  <c r="I759" i="18" s="1"/>
  <c r="I760" i="18" s="1"/>
  <c r="I761" i="18" s="1"/>
  <c r="I762" i="18" s="1"/>
  <c r="I763" i="18" s="1"/>
  <c r="I764" i="18" s="1"/>
  <c r="I765" i="18" s="1"/>
  <c r="I766" i="18" s="1"/>
  <c r="I767" i="18" s="1"/>
  <c r="I768" i="18" s="1"/>
  <c r="I769" i="18" s="1"/>
  <c r="I770" i="18" s="1"/>
  <c r="I771" i="18" s="1"/>
  <c r="I772" i="18" s="1"/>
  <c r="I773" i="18" s="1"/>
  <c r="I774" i="18" s="1"/>
  <c r="I775" i="18" s="1"/>
  <c r="I776" i="18" s="1"/>
  <c r="I777" i="18" s="1"/>
  <c r="I778" i="18" s="1"/>
  <c r="I779" i="18" s="1"/>
  <c r="I780" i="18" s="1"/>
  <c r="I781" i="18" s="1"/>
  <c r="I782" i="18" s="1"/>
  <c r="I783" i="18" s="1"/>
  <c r="I784" i="18" s="1"/>
  <c r="I785" i="18" s="1"/>
  <c r="I786" i="18" s="1"/>
  <c r="I787" i="18" s="1"/>
  <c r="I788" i="18" s="1"/>
  <c r="I789" i="18" s="1"/>
  <c r="I790" i="18" s="1"/>
  <c r="I791" i="18" s="1"/>
  <c r="H4" i="18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H38" i="18" s="1"/>
  <c r="H39" i="18" s="1"/>
  <c r="H40" i="18" s="1"/>
  <c r="H41" i="18" s="1"/>
  <c r="H42" i="18" s="1"/>
  <c r="H43" i="18" s="1"/>
  <c r="H44" i="18" s="1"/>
  <c r="H45" i="18" s="1"/>
  <c r="H46" i="18" s="1"/>
  <c r="H47" i="18" s="1"/>
  <c r="H48" i="18" s="1"/>
  <c r="H49" i="18" s="1"/>
  <c r="H50" i="18" s="1"/>
  <c r="H51" i="18" s="1"/>
  <c r="H52" i="18" s="1"/>
  <c r="H53" i="18" s="1"/>
  <c r="H54" i="18" s="1"/>
  <c r="H55" i="18" s="1"/>
  <c r="H56" i="18" s="1"/>
  <c r="H57" i="18" s="1"/>
  <c r="H58" i="18" s="1"/>
  <c r="H59" i="18" s="1"/>
  <c r="H60" i="18" s="1"/>
  <c r="H61" i="18" s="1"/>
  <c r="H62" i="18" s="1"/>
  <c r="H63" i="18" s="1"/>
  <c r="H64" i="18" s="1"/>
  <c r="H65" i="18" s="1"/>
  <c r="H66" i="18" s="1"/>
  <c r="H67" i="18" s="1"/>
  <c r="H68" i="18" s="1"/>
  <c r="H69" i="18" s="1"/>
  <c r="H70" i="18" s="1"/>
  <c r="H71" i="18" s="1"/>
  <c r="H72" i="18" s="1"/>
  <c r="H73" i="18" s="1"/>
  <c r="H74" i="18" s="1"/>
  <c r="H75" i="18" s="1"/>
  <c r="H76" i="18" s="1"/>
  <c r="H77" i="18" s="1"/>
  <c r="H78" i="18" s="1"/>
  <c r="H79" i="18" s="1"/>
  <c r="H80" i="18" s="1"/>
  <c r="H81" i="18" s="1"/>
  <c r="H82" i="18" s="1"/>
  <c r="H83" i="18" s="1"/>
  <c r="H84" i="18" s="1"/>
  <c r="H85" i="18" s="1"/>
  <c r="H86" i="18" s="1"/>
  <c r="H87" i="18" s="1"/>
  <c r="H88" i="18" s="1"/>
  <c r="H89" i="18" s="1"/>
  <c r="H90" i="18" s="1"/>
  <c r="H91" i="18" s="1"/>
  <c r="H92" i="18" s="1"/>
  <c r="H93" i="18" s="1"/>
  <c r="H94" i="18" s="1"/>
  <c r="H95" i="18" s="1"/>
  <c r="H96" i="18" s="1"/>
  <c r="H97" i="18" s="1"/>
  <c r="H98" i="18" s="1"/>
  <c r="H99" i="18" s="1"/>
  <c r="H100" i="18" s="1"/>
  <c r="H101" i="18" s="1"/>
  <c r="H102" i="18" s="1"/>
  <c r="H103" i="18" s="1"/>
  <c r="H104" i="18" s="1"/>
  <c r="H105" i="18" s="1"/>
  <c r="H106" i="18" s="1"/>
  <c r="H107" i="18" s="1"/>
  <c r="H108" i="18" s="1"/>
  <c r="H109" i="18" s="1"/>
  <c r="H110" i="18" s="1"/>
  <c r="H111" i="18" s="1"/>
  <c r="H112" i="18" s="1"/>
  <c r="H113" i="18" s="1"/>
  <c r="H114" i="18" s="1"/>
  <c r="H115" i="18" s="1"/>
  <c r="H116" i="18" s="1"/>
  <c r="H117" i="18" s="1"/>
  <c r="H118" i="18" s="1"/>
  <c r="H119" i="18" s="1"/>
  <c r="H120" i="18" s="1"/>
  <c r="H121" i="18" s="1"/>
  <c r="H122" i="18" s="1"/>
  <c r="H123" i="18" s="1"/>
  <c r="H124" i="18" s="1"/>
  <c r="H125" i="18" s="1"/>
  <c r="H126" i="18" s="1"/>
  <c r="H127" i="18" s="1"/>
  <c r="H128" i="18" s="1"/>
  <c r="H129" i="18" s="1"/>
  <c r="H130" i="18" s="1"/>
  <c r="H131" i="18" s="1"/>
  <c r="H132" i="18" s="1"/>
  <c r="H133" i="18" s="1"/>
  <c r="H134" i="18" s="1"/>
  <c r="H135" i="18" s="1"/>
  <c r="H136" i="18" s="1"/>
  <c r="H137" i="18" s="1"/>
  <c r="H138" i="18" s="1"/>
  <c r="H139" i="18" s="1"/>
  <c r="H140" i="18" s="1"/>
  <c r="H141" i="18" s="1"/>
  <c r="H142" i="18" s="1"/>
  <c r="H143" i="18" s="1"/>
  <c r="H144" i="18" s="1"/>
  <c r="H145" i="18" s="1"/>
  <c r="H146" i="18" s="1"/>
  <c r="H147" i="18" s="1"/>
  <c r="H148" i="18" s="1"/>
  <c r="H149" i="18" s="1"/>
  <c r="H150" i="18" s="1"/>
  <c r="H151" i="18" s="1"/>
  <c r="H152" i="18" s="1"/>
  <c r="H153" i="18" s="1"/>
  <c r="H154" i="18" s="1"/>
  <c r="H155" i="18" s="1"/>
  <c r="H156" i="18" s="1"/>
  <c r="H157" i="18" s="1"/>
  <c r="H158" i="18" s="1"/>
  <c r="H159" i="18" s="1"/>
  <c r="H160" i="18" s="1"/>
  <c r="H161" i="18" s="1"/>
  <c r="H162" i="18" s="1"/>
  <c r="H163" i="18" s="1"/>
  <c r="H164" i="18" s="1"/>
  <c r="H165" i="18" s="1"/>
  <c r="H166" i="18" s="1"/>
  <c r="H167" i="18" s="1"/>
  <c r="H168" i="18" s="1"/>
  <c r="H169" i="18" s="1"/>
  <c r="H170" i="18" s="1"/>
  <c r="H171" i="18" s="1"/>
  <c r="H172" i="18" s="1"/>
  <c r="H173" i="18" s="1"/>
  <c r="H174" i="18" s="1"/>
  <c r="H175" i="18" s="1"/>
  <c r="H176" i="18" s="1"/>
  <c r="H177" i="18" s="1"/>
  <c r="H178" i="18" s="1"/>
  <c r="H179" i="18" s="1"/>
  <c r="H180" i="18" s="1"/>
  <c r="H181" i="18" s="1"/>
  <c r="H182" i="18" s="1"/>
  <c r="H183" i="18" s="1"/>
  <c r="H184" i="18" s="1"/>
  <c r="H185" i="18" s="1"/>
  <c r="H186" i="18" s="1"/>
  <c r="H187" i="18" s="1"/>
  <c r="H188" i="18" s="1"/>
  <c r="H189" i="18" s="1"/>
  <c r="H190" i="18" s="1"/>
  <c r="H191" i="18" s="1"/>
  <c r="H192" i="18" s="1"/>
  <c r="H193" i="18" s="1"/>
  <c r="H194" i="18" s="1"/>
  <c r="H195" i="18" s="1"/>
  <c r="H196" i="18" s="1"/>
  <c r="H197" i="18" s="1"/>
  <c r="H198" i="18" s="1"/>
  <c r="H199" i="18" s="1"/>
  <c r="H200" i="18" s="1"/>
  <c r="H201" i="18" s="1"/>
  <c r="H202" i="18" s="1"/>
  <c r="H203" i="18" s="1"/>
  <c r="H204" i="18" s="1"/>
  <c r="H205" i="18" s="1"/>
  <c r="H206" i="18" s="1"/>
  <c r="H207" i="18" s="1"/>
  <c r="H208" i="18" s="1"/>
  <c r="H209" i="18" s="1"/>
  <c r="H210" i="18" s="1"/>
  <c r="H211" i="18" s="1"/>
  <c r="H212" i="18" s="1"/>
  <c r="H213" i="18" s="1"/>
  <c r="H214" i="18" s="1"/>
  <c r="H215" i="18" s="1"/>
  <c r="H216" i="18" s="1"/>
  <c r="H217" i="18" s="1"/>
  <c r="H218" i="18" s="1"/>
  <c r="H219" i="18" s="1"/>
  <c r="H220" i="18" s="1"/>
  <c r="H221" i="18" s="1"/>
  <c r="H222" i="18" s="1"/>
  <c r="H223" i="18" s="1"/>
  <c r="H224" i="18" s="1"/>
  <c r="H225" i="18" s="1"/>
  <c r="H226" i="18" s="1"/>
  <c r="H227" i="18" s="1"/>
  <c r="H228" i="18" s="1"/>
  <c r="H229" i="18" s="1"/>
  <c r="H230" i="18" s="1"/>
  <c r="H231" i="18" s="1"/>
  <c r="H232" i="18" s="1"/>
  <c r="H233" i="18" s="1"/>
  <c r="H234" i="18" s="1"/>
  <c r="H235" i="18" s="1"/>
  <c r="H236" i="18" s="1"/>
  <c r="H237" i="18" s="1"/>
  <c r="H238" i="18" s="1"/>
  <c r="H239" i="18" s="1"/>
  <c r="H240" i="18" s="1"/>
  <c r="H241" i="18" s="1"/>
  <c r="H242" i="18" s="1"/>
  <c r="H243" i="18" s="1"/>
  <c r="H244" i="18" s="1"/>
  <c r="H245" i="18" s="1"/>
  <c r="H246" i="18" s="1"/>
  <c r="H247" i="18" s="1"/>
  <c r="H248" i="18" s="1"/>
  <c r="H249" i="18" s="1"/>
  <c r="H250" i="18" s="1"/>
  <c r="H251" i="18" s="1"/>
  <c r="H252" i="18" s="1"/>
  <c r="H253" i="18" s="1"/>
  <c r="H254" i="18" s="1"/>
  <c r="H255" i="18" s="1"/>
  <c r="H256" i="18" s="1"/>
  <c r="H257" i="18" s="1"/>
  <c r="H258" i="18" s="1"/>
  <c r="H259" i="18" s="1"/>
  <c r="H260" i="18" s="1"/>
  <c r="H261" i="18" s="1"/>
  <c r="H262" i="18" s="1"/>
  <c r="H263" i="18" s="1"/>
  <c r="H264" i="18" s="1"/>
  <c r="H265" i="18" s="1"/>
  <c r="H266" i="18" s="1"/>
  <c r="H267" i="18" s="1"/>
  <c r="H268" i="18" s="1"/>
  <c r="H269" i="18" s="1"/>
  <c r="H270" i="18" s="1"/>
  <c r="H271" i="18" s="1"/>
  <c r="H272" i="18" s="1"/>
  <c r="H273" i="18" s="1"/>
  <c r="H274" i="18" s="1"/>
  <c r="H275" i="18" s="1"/>
  <c r="H276" i="18" s="1"/>
  <c r="H277" i="18" s="1"/>
  <c r="H278" i="18" s="1"/>
  <c r="H279" i="18" s="1"/>
  <c r="H280" i="18" s="1"/>
  <c r="H281" i="18" s="1"/>
  <c r="H282" i="18" s="1"/>
  <c r="H283" i="18" s="1"/>
  <c r="H284" i="18" s="1"/>
  <c r="H285" i="18" s="1"/>
  <c r="H286" i="18" s="1"/>
  <c r="H287" i="18" s="1"/>
  <c r="H288" i="18" s="1"/>
  <c r="H289" i="18" s="1"/>
  <c r="H290" i="18" s="1"/>
  <c r="H291" i="18" s="1"/>
  <c r="H292" i="18" s="1"/>
  <c r="H293" i="18" s="1"/>
  <c r="H294" i="18" s="1"/>
  <c r="H295" i="18" s="1"/>
  <c r="H296" i="18" s="1"/>
  <c r="H297" i="18" s="1"/>
  <c r="H298" i="18" s="1"/>
  <c r="H299" i="18" s="1"/>
  <c r="H300" i="18" s="1"/>
  <c r="H301" i="18" s="1"/>
  <c r="H302" i="18" s="1"/>
  <c r="H303" i="18" s="1"/>
  <c r="H304" i="18" s="1"/>
  <c r="H305" i="18" s="1"/>
  <c r="H306" i="18" s="1"/>
  <c r="H307" i="18" s="1"/>
  <c r="H308" i="18" s="1"/>
  <c r="H309" i="18" s="1"/>
  <c r="H310" i="18" s="1"/>
  <c r="H311" i="18" s="1"/>
  <c r="H312" i="18" s="1"/>
  <c r="H313" i="18" s="1"/>
  <c r="H314" i="18" s="1"/>
  <c r="H315" i="18" s="1"/>
  <c r="H316" i="18" s="1"/>
  <c r="H317" i="18" s="1"/>
  <c r="H318" i="18" s="1"/>
  <c r="H319" i="18" s="1"/>
  <c r="H320" i="18" s="1"/>
  <c r="H321" i="18" s="1"/>
  <c r="H322" i="18" s="1"/>
  <c r="H323" i="18" s="1"/>
  <c r="H324" i="18" s="1"/>
  <c r="H325" i="18" s="1"/>
  <c r="H326" i="18" s="1"/>
  <c r="H327" i="18" s="1"/>
  <c r="H328" i="18" s="1"/>
  <c r="H329" i="18" s="1"/>
  <c r="H330" i="18" s="1"/>
  <c r="H331" i="18" s="1"/>
  <c r="H332" i="18" s="1"/>
  <c r="H333" i="18" s="1"/>
  <c r="H334" i="18" s="1"/>
  <c r="H335" i="18" s="1"/>
  <c r="H336" i="18" s="1"/>
  <c r="H337" i="18" s="1"/>
  <c r="H338" i="18" s="1"/>
  <c r="H339" i="18" s="1"/>
  <c r="H340" i="18" s="1"/>
  <c r="H341" i="18" s="1"/>
  <c r="H342" i="18" s="1"/>
  <c r="H343" i="18" s="1"/>
  <c r="H344" i="18" s="1"/>
  <c r="H345" i="18" s="1"/>
  <c r="H346" i="18" s="1"/>
  <c r="H347" i="18" s="1"/>
  <c r="H348" i="18" s="1"/>
  <c r="H349" i="18" s="1"/>
  <c r="H350" i="18" s="1"/>
  <c r="H351" i="18" s="1"/>
  <c r="H352" i="18" s="1"/>
  <c r="H353" i="18" s="1"/>
  <c r="H354" i="18" s="1"/>
  <c r="H355" i="18" s="1"/>
  <c r="H356" i="18" s="1"/>
  <c r="H357" i="18" s="1"/>
  <c r="H358" i="18" s="1"/>
  <c r="H359" i="18" s="1"/>
  <c r="H360" i="18" s="1"/>
  <c r="H361" i="18" s="1"/>
  <c r="H362" i="18" s="1"/>
  <c r="H363" i="18" s="1"/>
  <c r="H364" i="18" s="1"/>
  <c r="H365" i="18" s="1"/>
  <c r="H366" i="18" s="1"/>
  <c r="H367" i="18" s="1"/>
  <c r="H368" i="18" s="1"/>
  <c r="H369" i="18" s="1"/>
  <c r="H370" i="18" s="1"/>
  <c r="H371" i="18" s="1"/>
  <c r="H372" i="18" s="1"/>
  <c r="H373" i="18" s="1"/>
  <c r="H374" i="18" s="1"/>
  <c r="H375" i="18" s="1"/>
  <c r="H376" i="18" s="1"/>
  <c r="H377" i="18" s="1"/>
  <c r="H378" i="18" s="1"/>
  <c r="H379" i="18" s="1"/>
  <c r="H380" i="18" s="1"/>
  <c r="H381" i="18" s="1"/>
  <c r="H382" i="18" s="1"/>
  <c r="H383" i="18" s="1"/>
  <c r="H384" i="18" s="1"/>
  <c r="H385" i="18" s="1"/>
  <c r="H386" i="18" s="1"/>
  <c r="H387" i="18" s="1"/>
  <c r="H388" i="18" s="1"/>
  <c r="H389" i="18" s="1"/>
  <c r="H390" i="18" s="1"/>
  <c r="H391" i="18" s="1"/>
  <c r="H392" i="18" s="1"/>
  <c r="H393" i="18" s="1"/>
  <c r="H394" i="18" s="1"/>
  <c r="H395" i="18" s="1"/>
  <c r="H396" i="18" s="1"/>
  <c r="H397" i="18" s="1"/>
  <c r="H398" i="18" s="1"/>
  <c r="H399" i="18" s="1"/>
  <c r="H400" i="18" s="1"/>
  <c r="H401" i="18" s="1"/>
  <c r="H402" i="18" s="1"/>
  <c r="H403" i="18" s="1"/>
  <c r="H404" i="18" s="1"/>
  <c r="H405" i="18" s="1"/>
  <c r="H406" i="18" s="1"/>
  <c r="H407" i="18" s="1"/>
  <c r="H408" i="18" s="1"/>
  <c r="H409" i="18" s="1"/>
  <c r="H410" i="18" s="1"/>
  <c r="H411" i="18" s="1"/>
  <c r="H412" i="18" s="1"/>
  <c r="H413" i="18" s="1"/>
  <c r="H414" i="18" s="1"/>
  <c r="H415" i="18" s="1"/>
  <c r="H416" i="18" s="1"/>
  <c r="H417" i="18" s="1"/>
  <c r="H418" i="18" s="1"/>
  <c r="H419" i="18" s="1"/>
  <c r="H420" i="18" s="1"/>
  <c r="H421" i="18" s="1"/>
  <c r="H422" i="18" s="1"/>
  <c r="H423" i="18" s="1"/>
  <c r="H424" i="18" s="1"/>
  <c r="H425" i="18" s="1"/>
  <c r="H426" i="18" s="1"/>
  <c r="H427" i="18" s="1"/>
  <c r="H428" i="18" s="1"/>
  <c r="H429" i="18" s="1"/>
  <c r="H430" i="18" s="1"/>
  <c r="H431" i="18" s="1"/>
  <c r="H432" i="18" s="1"/>
  <c r="H433" i="18" s="1"/>
  <c r="H434" i="18" s="1"/>
  <c r="H435" i="18" s="1"/>
  <c r="H436" i="18" s="1"/>
  <c r="H437" i="18" s="1"/>
  <c r="H438" i="18" s="1"/>
  <c r="H439" i="18" s="1"/>
  <c r="H440" i="18" s="1"/>
  <c r="H441" i="18" s="1"/>
  <c r="H442" i="18" s="1"/>
  <c r="H443" i="18" s="1"/>
  <c r="H444" i="18" s="1"/>
  <c r="H445" i="18" s="1"/>
  <c r="H446" i="18" s="1"/>
  <c r="H447" i="18" s="1"/>
  <c r="H448" i="18" s="1"/>
  <c r="H449" i="18" s="1"/>
  <c r="H450" i="18" s="1"/>
  <c r="H451" i="18" s="1"/>
  <c r="H452" i="18" s="1"/>
  <c r="H453" i="18" s="1"/>
  <c r="H454" i="18" s="1"/>
  <c r="H455" i="18" s="1"/>
  <c r="H456" i="18" s="1"/>
  <c r="H457" i="18" s="1"/>
  <c r="H458" i="18" s="1"/>
  <c r="H459" i="18" s="1"/>
  <c r="H460" i="18" s="1"/>
  <c r="H461" i="18" s="1"/>
  <c r="H462" i="18" s="1"/>
  <c r="H463" i="18" s="1"/>
  <c r="H464" i="18" s="1"/>
  <c r="H465" i="18" s="1"/>
  <c r="H466" i="18" s="1"/>
  <c r="H467" i="18" s="1"/>
  <c r="H468" i="18" s="1"/>
  <c r="H469" i="18" s="1"/>
  <c r="H470" i="18" s="1"/>
  <c r="H471" i="18" s="1"/>
  <c r="H472" i="18" s="1"/>
  <c r="H473" i="18" s="1"/>
  <c r="H474" i="18" s="1"/>
  <c r="H475" i="18" s="1"/>
  <c r="H476" i="18" s="1"/>
  <c r="H477" i="18" s="1"/>
  <c r="H478" i="18" s="1"/>
  <c r="H479" i="18" s="1"/>
  <c r="H480" i="18" s="1"/>
  <c r="H481" i="18" s="1"/>
  <c r="H482" i="18" s="1"/>
  <c r="H483" i="18" s="1"/>
  <c r="H484" i="18" s="1"/>
  <c r="H485" i="18" s="1"/>
  <c r="H486" i="18" s="1"/>
  <c r="H487" i="18" s="1"/>
  <c r="H488" i="18" s="1"/>
  <c r="H489" i="18" s="1"/>
  <c r="H490" i="18" s="1"/>
  <c r="H491" i="18" s="1"/>
  <c r="H492" i="18" s="1"/>
  <c r="H493" i="18" s="1"/>
  <c r="H494" i="18" s="1"/>
  <c r="H495" i="18" s="1"/>
  <c r="H496" i="18" s="1"/>
  <c r="H497" i="18" s="1"/>
  <c r="H498" i="18" s="1"/>
  <c r="H499" i="18" s="1"/>
  <c r="H500" i="18" s="1"/>
  <c r="H501" i="18" s="1"/>
  <c r="H502" i="18" s="1"/>
  <c r="H503" i="18" s="1"/>
  <c r="H504" i="18" s="1"/>
  <c r="H505" i="18" s="1"/>
  <c r="H506" i="18" s="1"/>
  <c r="H507" i="18" s="1"/>
  <c r="H508" i="18" s="1"/>
  <c r="H509" i="18" s="1"/>
  <c r="H510" i="18" s="1"/>
  <c r="H511" i="18" s="1"/>
  <c r="H512" i="18" s="1"/>
  <c r="H513" i="18" s="1"/>
  <c r="H514" i="18" s="1"/>
  <c r="H515" i="18" s="1"/>
  <c r="H516" i="18" s="1"/>
  <c r="H517" i="18" s="1"/>
  <c r="H518" i="18" s="1"/>
  <c r="H519" i="18" s="1"/>
  <c r="H520" i="18" s="1"/>
  <c r="H521" i="18" s="1"/>
  <c r="H522" i="18" s="1"/>
  <c r="H523" i="18" s="1"/>
  <c r="H524" i="18" s="1"/>
  <c r="H525" i="18" s="1"/>
  <c r="H526" i="18" s="1"/>
  <c r="H527" i="18" s="1"/>
  <c r="H528" i="18" s="1"/>
  <c r="H529" i="18" s="1"/>
  <c r="H530" i="18" s="1"/>
  <c r="H531" i="18" s="1"/>
  <c r="H532" i="18" s="1"/>
  <c r="H533" i="18" s="1"/>
  <c r="H534" i="18" s="1"/>
  <c r="H535" i="18" s="1"/>
  <c r="H536" i="18" s="1"/>
  <c r="H537" i="18" s="1"/>
  <c r="H538" i="18" s="1"/>
  <c r="H539" i="18" s="1"/>
  <c r="H540" i="18" s="1"/>
  <c r="H541" i="18" s="1"/>
  <c r="H542" i="18" s="1"/>
  <c r="H543" i="18" s="1"/>
  <c r="H544" i="18" s="1"/>
  <c r="H545" i="18" s="1"/>
  <c r="H546" i="18" s="1"/>
  <c r="H547" i="18" s="1"/>
  <c r="H548" i="18" s="1"/>
  <c r="H549" i="18" s="1"/>
  <c r="H550" i="18" s="1"/>
  <c r="H551" i="18" s="1"/>
  <c r="H552" i="18" s="1"/>
  <c r="H553" i="18" s="1"/>
  <c r="H554" i="18" s="1"/>
  <c r="H555" i="18" s="1"/>
  <c r="H556" i="18" s="1"/>
  <c r="H557" i="18" s="1"/>
  <c r="H558" i="18" s="1"/>
  <c r="H559" i="18" s="1"/>
  <c r="H560" i="18" s="1"/>
  <c r="H561" i="18" s="1"/>
  <c r="H562" i="18" s="1"/>
  <c r="H563" i="18" s="1"/>
  <c r="H564" i="18" s="1"/>
  <c r="H565" i="18" s="1"/>
  <c r="H566" i="18" s="1"/>
  <c r="H567" i="18" s="1"/>
  <c r="H568" i="18" s="1"/>
  <c r="H569" i="18" s="1"/>
  <c r="H570" i="18" s="1"/>
  <c r="H571" i="18" s="1"/>
  <c r="H572" i="18" s="1"/>
  <c r="H573" i="18" s="1"/>
  <c r="H574" i="18" s="1"/>
  <c r="H575" i="18" s="1"/>
  <c r="H576" i="18" s="1"/>
  <c r="H577" i="18" s="1"/>
  <c r="H578" i="18" s="1"/>
  <c r="H579" i="18" s="1"/>
  <c r="H580" i="18" s="1"/>
  <c r="H581" i="18" s="1"/>
  <c r="H582" i="18" s="1"/>
  <c r="H583" i="18" s="1"/>
  <c r="H584" i="18" s="1"/>
  <c r="H585" i="18" s="1"/>
  <c r="H586" i="18" s="1"/>
  <c r="H587" i="18" s="1"/>
  <c r="H588" i="18" s="1"/>
  <c r="H589" i="18" s="1"/>
  <c r="H590" i="18" s="1"/>
  <c r="H591" i="18" s="1"/>
  <c r="H592" i="18" s="1"/>
  <c r="H593" i="18" s="1"/>
  <c r="H594" i="18" s="1"/>
  <c r="H595" i="18" s="1"/>
  <c r="H596" i="18" s="1"/>
  <c r="H597" i="18" s="1"/>
  <c r="H598" i="18" s="1"/>
  <c r="H599" i="18" s="1"/>
  <c r="H600" i="18" s="1"/>
  <c r="H601" i="18" s="1"/>
  <c r="H602" i="18" s="1"/>
  <c r="H603" i="18" s="1"/>
  <c r="H604" i="18" s="1"/>
  <c r="H605" i="18" s="1"/>
  <c r="H606" i="18" s="1"/>
  <c r="H607" i="18" s="1"/>
  <c r="H608" i="18" s="1"/>
  <c r="H609" i="18" s="1"/>
  <c r="H610" i="18" s="1"/>
  <c r="H611" i="18" s="1"/>
  <c r="H612" i="18" s="1"/>
  <c r="H613" i="18" s="1"/>
  <c r="H614" i="18" s="1"/>
  <c r="H615" i="18" s="1"/>
  <c r="H616" i="18" s="1"/>
  <c r="H617" i="18" s="1"/>
  <c r="H618" i="18" s="1"/>
  <c r="H619" i="18" s="1"/>
  <c r="H620" i="18" s="1"/>
  <c r="H621" i="18" s="1"/>
  <c r="H622" i="18" s="1"/>
  <c r="H623" i="18" s="1"/>
  <c r="H624" i="18" s="1"/>
  <c r="H625" i="18" s="1"/>
  <c r="H626" i="18" s="1"/>
  <c r="H627" i="18" s="1"/>
  <c r="H628" i="18" s="1"/>
  <c r="H629" i="18" s="1"/>
  <c r="H630" i="18" s="1"/>
  <c r="H631" i="18" s="1"/>
  <c r="H632" i="18" s="1"/>
  <c r="H633" i="18" s="1"/>
  <c r="H634" i="18" s="1"/>
  <c r="H635" i="18" s="1"/>
  <c r="H636" i="18" s="1"/>
  <c r="H637" i="18" s="1"/>
  <c r="H638" i="18" s="1"/>
  <c r="H639" i="18" s="1"/>
  <c r="H640" i="18" s="1"/>
  <c r="H641" i="18" s="1"/>
  <c r="H642" i="18" s="1"/>
  <c r="H643" i="18" s="1"/>
  <c r="H644" i="18" s="1"/>
  <c r="H645" i="18" s="1"/>
  <c r="H646" i="18" s="1"/>
  <c r="H647" i="18" s="1"/>
  <c r="H648" i="18" s="1"/>
  <c r="H649" i="18" s="1"/>
  <c r="H650" i="18" s="1"/>
  <c r="H651" i="18" s="1"/>
  <c r="H652" i="18" s="1"/>
  <c r="H653" i="18" s="1"/>
  <c r="H654" i="18" s="1"/>
  <c r="H655" i="18" s="1"/>
  <c r="H656" i="18" s="1"/>
  <c r="H657" i="18" s="1"/>
  <c r="H658" i="18" s="1"/>
  <c r="H659" i="18" s="1"/>
  <c r="H660" i="18" s="1"/>
  <c r="H661" i="18" s="1"/>
  <c r="H662" i="18" s="1"/>
  <c r="H663" i="18" s="1"/>
  <c r="H664" i="18" s="1"/>
  <c r="H665" i="18" s="1"/>
  <c r="H666" i="18" s="1"/>
  <c r="H667" i="18" s="1"/>
  <c r="H668" i="18" s="1"/>
  <c r="H669" i="18" s="1"/>
  <c r="H670" i="18" s="1"/>
  <c r="H671" i="18" s="1"/>
  <c r="H672" i="18" s="1"/>
  <c r="H673" i="18" s="1"/>
  <c r="H674" i="18" s="1"/>
  <c r="H675" i="18" s="1"/>
  <c r="H676" i="18" s="1"/>
  <c r="H677" i="18" s="1"/>
  <c r="H678" i="18" s="1"/>
  <c r="H679" i="18" s="1"/>
  <c r="H680" i="18" s="1"/>
  <c r="H681" i="18" s="1"/>
  <c r="H682" i="18" s="1"/>
  <c r="H683" i="18" s="1"/>
  <c r="H684" i="18" s="1"/>
  <c r="H685" i="18" s="1"/>
  <c r="H686" i="18" s="1"/>
  <c r="H687" i="18" s="1"/>
  <c r="H688" i="18" s="1"/>
  <c r="H689" i="18" s="1"/>
  <c r="H690" i="18" s="1"/>
  <c r="H691" i="18" s="1"/>
  <c r="H692" i="18" s="1"/>
  <c r="H693" i="18" s="1"/>
  <c r="H694" i="18" s="1"/>
  <c r="H695" i="18" s="1"/>
  <c r="H696" i="18" s="1"/>
  <c r="H697" i="18" s="1"/>
  <c r="H698" i="18" s="1"/>
  <c r="H699" i="18" s="1"/>
  <c r="H700" i="18" s="1"/>
  <c r="H701" i="18" s="1"/>
  <c r="H702" i="18" s="1"/>
  <c r="H703" i="18" s="1"/>
  <c r="H704" i="18" s="1"/>
  <c r="H705" i="18" s="1"/>
  <c r="H706" i="18" s="1"/>
  <c r="H707" i="18" s="1"/>
  <c r="H708" i="18" s="1"/>
  <c r="H709" i="18" s="1"/>
  <c r="H710" i="18" s="1"/>
  <c r="H711" i="18" s="1"/>
  <c r="H712" i="18" s="1"/>
  <c r="H713" i="18" s="1"/>
  <c r="H714" i="18" s="1"/>
  <c r="H715" i="18" s="1"/>
  <c r="H716" i="18" s="1"/>
  <c r="H717" i="18" s="1"/>
  <c r="H718" i="18" s="1"/>
  <c r="H719" i="18" s="1"/>
  <c r="H720" i="18" s="1"/>
  <c r="H721" i="18" s="1"/>
  <c r="H722" i="18" s="1"/>
  <c r="H723" i="18" s="1"/>
  <c r="H724" i="18" s="1"/>
  <c r="H725" i="18" s="1"/>
  <c r="H726" i="18" s="1"/>
  <c r="H727" i="18" s="1"/>
  <c r="H728" i="18" s="1"/>
  <c r="H729" i="18" s="1"/>
  <c r="H730" i="18" s="1"/>
  <c r="H731" i="18" s="1"/>
  <c r="H732" i="18" s="1"/>
  <c r="H733" i="18" s="1"/>
  <c r="H734" i="18" s="1"/>
  <c r="H735" i="18" s="1"/>
  <c r="H736" i="18" s="1"/>
  <c r="H737" i="18" s="1"/>
  <c r="H738" i="18" s="1"/>
  <c r="H739" i="18" s="1"/>
  <c r="H740" i="18" s="1"/>
  <c r="H741" i="18" s="1"/>
  <c r="H742" i="18" s="1"/>
  <c r="H743" i="18" s="1"/>
  <c r="H744" i="18" s="1"/>
  <c r="H745" i="18" s="1"/>
  <c r="H746" i="18" s="1"/>
  <c r="H747" i="18" s="1"/>
  <c r="H748" i="18" s="1"/>
  <c r="H749" i="18" s="1"/>
  <c r="H750" i="18" s="1"/>
  <c r="H751" i="18" s="1"/>
  <c r="H752" i="18" s="1"/>
  <c r="H753" i="18" s="1"/>
  <c r="H754" i="18" s="1"/>
  <c r="H755" i="18" s="1"/>
  <c r="H756" i="18" s="1"/>
  <c r="H757" i="18" s="1"/>
  <c r="H758" i="18" s="1"/>
  <c r="H759" i="18" s="1"/>
  <c r="H760" i="18" s="1"/>
  <c r="H761" i="18" s="1"/>
  <c r="H762" i="18" s="1"/>
  <c r="H763" i="18" s="1"/>
  <c r="H764" i="18" s="1"/>
  <c r="H765" i="18" s="1"/>
  <c r="H766" i="18" s="1"/>
  <c r="H767" i="18" s="1"/>
  <c r="H768" i="18" s="1"/>
  <c r="H769" i="18" s="1"/>
  <c r="H770" i="18" s="1"/>
  <c r="H771" i="18" s="1"/>
  <c r="H772" i="18" s="1"/>
  <c r="H773" i="18" s="1"/>
  <c r="H774" i="18" s="1"/>
  <c r="H775" i="18" s="1"/>
  <c r="H776" i="18" s="1"/>
  <c r="H777" i="18" s="1"/>
  <c r="H778" i="18" s="1"/>
  <c r="H779" i="18" s="1"/>
  <c r="H780" i="18" s="1"/>
  <c r="H781" i="18" s="1"/>
  <c r="H782" i="18" s="1"/>
  <c r="H783" i="18" s="1"/>
  <c r="H784" i="18" s="1"/>
  <c r="H785" i="18" s="1"/>
  <c r="H786" i="18" s="1"/>
  <c r="H787" i="18" s="1"/>
  <c r="H788" i="18" s="1"/>
  <c r="H789" i="18" s="1"/>
  <c r="H790" i="18" s="1"/>
  <c r="H791" i="18" s="1"/>
  <c r="G4" i="18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G516" i="18" s="1"/>
  <c r="G517" i="18" s="1"/>
  <c r="G518" i="18" s="1"/>
  <c r="G519" i="18" s="1"/>
  <c r="G520" i="18" s="1"/>
  <c r="G521" i="18" s="1"/>
  <c r="G522" i="18" s="1"/>
  <c r="G523" i="18" s="1"/>
  <c r="G524" i="18" s="1"/>
  <c r="G525" i="18" s="1"/>
  <c r="G526" i="18" s="1"/>
  <c r="G527" i="18" s="1"/>
  <c r="G528" i="18" s="1"/>
  <c r="G529" i="18" s="1"/>
  <c r="G530" i="18" s="1"/>
  <c r="G531" i="18" s="1"/>
  <c r="G532" i="18" s="1"/>
  <c r="G533" i="18" s="1"/>
  <c r="G534" i="18" s="1"/>
  <c r="G535" i="18" s="1"/>
  <c r="G536" i="18" s="1"/>
  <c r="G537" i="18" s="1"/>
  <c r="G538" i="18" s="1"/>
  <c r="G539" i="18" s="1"/>
  <c r="G540" i="18" s="1"/>
  <c r="G541" i="18" s="1"/>
  <c r="G542" i="18" s="1"/>
  <c r="G543" i="18" s="1"/>
  <c r="G544" i="18" s="1"/>
  <c r="G545" i="18" s="1"/>
  <c r="G546" i="18" s="1"/>
  <c r="G547" i="18" s="1"/>
  <c r="G548" i="18" s="1"/>
  <c r="G549" i="18" s="1"/>
  <c r="G550" i="18" s="1"/>
  <c r="G551" i="18" s="1"/>
  <c r="G552" i="18" s="1"/>
  <c r="G553" i="18" s="1"/>
  <c r="G554" i="18" s="1"/>
  <c r="G555" i="18" s="1"/>
  <c r="G556" i="18" s="1"/>
  <c r="G557" i="18" s="1"/>
  <c r="G558" i="18" s="1"/>
  <c r="G559" i="18" s="1"/>
  <c r="G560" i="18" s="1"/>
  <c r="G561" i="18" s="1"/>
  <c r="G562" i="18" s="1"/>
  <c r="G563" i="18" s="1"/>
  <c r="G564" i="18" s="1"/>
  <c r="G565" i="18" s="1"/>
  <c r="G566" i="18" s="1"/>
  <c r="G567" i="18" s="1"/>
  <c r="G568" i="18" s="1"/>
  <c r="G569" i="18" s="1"/>
  <c r="G570" i="18" s="1"/>
  <c r="G571" i="18" s="1"/>
  <c r="G572" i="18" s="1"/>
  <c r="G573" i="18" s="1"/>
  <c r="G574" i="18" s="1"/>
  <c r="G575" i="18" s="1"/>
  <c r="G576" i="18" s="1"/>
  <c r="G577" i="18" s="1"/>
  <c r="G578" i="18" s="1"/>
  <c r="G579" i="18" s="1"/>
  <c r="G580" i="18" s="1"/>
  <c r="G581" i="18" s="1"/>
  <c r="G582" i="18" s="1"/>
  <c r="G583" i="18" s="1"/>
  <c r="G584" i="18" s="1"/>
  <c r="G585" i="18" s="1"/>
  <c r="G586" i="18" s="1"/>
  <c r="G587" i="18" s="1"/>
  <c r="G588" i="18" s="1"/>
  <c r="G589" i="18" s="1"/>
  <c r="G590" i="18" s="1"/>
  <c r="G591" i="18" s="1"/>
  <c r="G592" i="18" s="1"/>
  <c r="G593" i="18" s="1"/>
  <c r="G594" i="18" s="1"/>
  <c r="G595" i="18" s="1"/>
  <c r="G596" i="18" s="1"/>
  <c r="G597" i="18" s="1"/>
  <c r="G598" i="18" s="1"/>
  <c r="G599" i="18" s="1"/>
  <c r="G600" i="18" s="1"/>
  <c r="G601" i="18" s="1"/>
  <c r="G602" i="18" s="1"/>
  <c r="G603" i="18" s="1"/>
  <c r="G604" i="18" s="1"/>
  <c r="G605" i="18" s="1"/>
  <c r="G606" i="18" s="1"/>
  <c r="G607" i="18" s="1"/>
  <c r="G608" i="18" s="1"/>
  <c r="G609" i="18" s="1"/>
  <c r="G610" i="18" s="1"/>
  <c r="G611" i="18" s="1"/>
  <c r="G612" i="18" s="1"/>
  <c r="G613" i="18" s="1"/>
  <c r="G614" i="18" s="1"/>
  <c r="G615" i="18" s="1"/>
  <c r="G616" i="18" s="1"/>
  <c r="G617" i="18" s="1"/>
  <c r="G618" i="18" s="1"/>
  <c r="G619" i="18" s="1"/>
  <c r="G620" i="18" s="1"/>
  <c r="G621" i="18" s="1"/>
  <c r="G622" i="18" s="1"/>
  <c r="G623" i="18" s="1"/>
  <c r="G624" i="18" s="1"/>
  <c r="G625" i="18" s="1"/>
  <c r="G626" i="18" s="1"/>
  <c r="G627" i="18" s="1"/>
  <c r="G628" i="18" s="1"/>
  <c r="G629" i="18" s="1"/>
  <c r="G630" i="18" s="1"/>
  <c r="G631" i="18" s="1"/>
  <c r="G632" i="18" s="1"/>
  <c r="G633" i="18" s="1"/>
  <c r="G634" i="18" s="1"/>
  <c r="G635" i="18" s="1"/>
  <c r="G636" i="18" s="1"/>
  <c r="G637" i="18" s="1"/>
  <c r="G638" i="18" s="1"/>
  <c r="G639" i="18" s="1"/>
  <c r="G640" i="18" s="1"/>
  <c r="G641" i="18" s="1"/>
  <c r="G642" i="18" s="1"/>
  <c r="G643" i="18" s="1"/>
  <c r="G644" i="18" s="1"/>
  <c r="G645" i="18" s="1"/>
  <c r="G646" i="18" s="1"/>
  <c r="G647" i="18" s="1"/>
  <c r="G648" i="18" s="1"/>
  <c r="G649" i="18" s="1"/>
  <c r="G650" i="18" s="1"/>
  <c r="G651" i="18" s="1"/>
  <c r="G652" i="18" s="1"/>
  <c r="G653" i="18" s="1"/>
  <c r="G654" i="18" s="1"/>
  <c r="G655" i="18" s="1"/>
  <c r="G656" i="18" s="1"/>
  <c r="G657" i="18" s="1"/>
  <c r="G658" i="18" s="1"/>
  <c r="G659" i="18" s="1"/>
  <c r="G660" i="18" s="1"/>
  <c r="G661" i="18" s="1"/>
  <c r="G662" i="18" s="1"/>
  <c r="G663" i="18" s="1"/>
  <c r="G664" i="18" s="1"/>
  <c r="G665" i="18" s="1"/>
  <c r="G666" i="18" s="1"/>
  <c r="G667" i="18" s="1"/>
  <c r="G668" i="18" s="1"/>
  <c r="G669" i="18" s="1"/>
  <c r="G670" i="18" s="1"/>
  <c r="G671" i="18" s="1"/>
  <c r="G672" i="18" s="1"/>
  <c r="G673" i="18" s="1"/>
  <c r="G674" i="18" s="1"/>
  <c r="G675" i="18" s="1"/>
  <c r="G676" i="18" s="1"/>
  <c r="G677" i="18" s="1"/>
  <c r="G678" i="18" s="1"/>
  <c r="G679" i="18" s="1"/>
  <c r="G680" i="18" s="1"/>
  <c r="G681" i="18" s="1"/>
  <c r="G682" i="18" s="1"/>
  <c r="G683" i="18" s="1"/>
  <c r="G684" i="18" s="1"/>
  <c r="G685" i="18" s="1"/>
  <c r="G686" i="18" s="1"/>
  <c r="G687" i="18" s="1"/>
  <c r="G688" i="18" s="1"/>
  <c r="G689" i="18" s="1"/>
  <c r="G690" i="18" s="1"/>
  <c r="G691" i="18" s="1"/>
  <c r="G692" i="18" s="1"/>
  <c r="G693" i="18" s="1"/>
  <c r="G694" i="18" s="1"/>
  <c r="G695" i="18" s="1"/>
  <c r="G696" i="18" s="1"/>
  <c r="G697" i="18" s="1"/>
  <c r="G698" i="18" s="1"/>
  <c r="G699" i="18" s="1"/>
  <c r="G700" i="18" s="1"/>
  <c r="G701" i="18" s="1"/>
  <c r="G702" i="18" s="1"/>
  <c r="G703" i="18" s="1"/>
  <c r="G704" i="18" s="1"/>
  <c r="G705" i="18" s="1"/>
  <c r="G706" i="18" s="1"/>
  <c r="G707" i="18" s="1"/>
  <c r="G708" i="18" s="1"/>
  <c r="G709" i="18" s="1"/>
  <c r="G710" i="18" s="1"/>
  <c r="G711" i="18" s="1"/>
  <c r="G712" i="18" s="1"/>
  <c r="G713" i="18" s="1"/>
  <c r="G714" i="18" s="1"/>
  <c r="G715" i="18" s="1"/>
  <c r="G716" i="18" s="1"/>
  <c r="G717" i="18" s="1"/>
  <c r="G718" i="18" s="1"/>
  <c r="G719" i="18" s="1"/>
  <c r="G720" i="18" s="1"/>
  <c r="G721" i="18" s="1"/>
  <c r="G722" i="18" s="1"/>
  <c r="G723" i="18" s="1"/>
  <c r="G724" i="18" s="1"/>
  <c r="G725" i="18" s="1"/>
  <c r="G726" i="18" s="1"/>
  <c r="G727" i="18" s="1"/>
  <c r="G728" i="18" s="1"/>
  <c r="G729" i="18" s="1"/>
  <c r="G730" i="18" s="1"/>
  <c r="G731" i="18" s="1"/>
  <c r="G732" i="18" s="1"/>
  <c r="G733" i="18" s="1"/>
  <c r="G734" i="18" s="1"/>
  <c r="G735" i="18" s="1"/>
  <c r="G736" i="18" s="1"/>
  <c r="G737" i="18" s="1"/>
  <c r="G738" i="18" s="1"/>
  <c r="G739" i="18" s="1"/>
  <c r="G740" i="18" s="1"/>
  <c r="G741" i="18" s="1"/>
  <c r="G742" i="18" s="1"/>
  <c r="G743" i="18" s="1"/>
  <c r="G744" i="18" s="1"/>
  <c r="G745" i="18" s="1"/>
  <c r="G746" i="18" s="1"/>
  <c r="G747" i="18" s="1"/>
  <c r="G748" i="18" s="1"/>
  <c r="G749" i="18" s="1"/>
  <c r="G750" i="18" s="1"/>
  <c r="G751" i="18" s="1"/>
  <c r="G752" i="18" s="1"/>
  <c r="G753" i="18" s="1"/>
  <c r="G754" i="18" s="1"/>
  <c r="G755" i="18" s="1"/>
  <c r="G756" i="18" s="1"/>
  <c r="G757" i="18" s="1"/>
  <c r="G758" i="18" s="1"/>
  <c r="G759" i="18" s="1"/>
  <c r="G760" i="18" s="1"/>
  <c r="G761" i="18" s="1"/>
  <c r="G762" i="18" s="1"/>
  <c r="G763" i="18" s="1"/>
  <c r="G764" i="18" s="1"/>
  <c r="G765" i="18" s="1"/>
  <c r="G766" i="18" s="1"/>
  <c r="G767" i="18" s="1"/>
  <c r="G768" i="18" s="1"/>
  <c r="G769" i="18" s="1"/>
  <c r="G770" i="18" s="1"/>
  <c r="G771" i="18" s="1"/>
  <c r="G772" i="18" s="1"/>
  <c r="G773" i="18" s="1"/>
  <c r="G774" i="18" s="1"/>
  <c r="G775" i="18" s="1"/>
  <c r="G776" i="18" s="1"/>
  <c r="G777" i="18" s="1"/>
  <c r="G778" i="18" s="1"/>
  <c r="G779" i="18" s="1"/>
  <c r="G780" i="18" s="1"/>
  <c r="G781" i="18" s="1"/>
  <c r="G782" i="18" s="1"/>
  <c r="G783" i="18" s="1"/>
  <c r="G784" i="18" s="1"/>
  <c r="G785" i="18" s="1"/>
  <c r="G786" i="18" s="1"/>
  <c r="G787" i="18" s="1"/>
  <c r="G788" i="18" s="1"/>
  <c r="G789" i="18" s="1"/>
  <c r="G790" i="18" s="1"/>
  <c r="G791" i="18" s="1"/>
  <c r="F4" i="18"/>
  <c r="F5" i="18" s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36" i="18" s="1"/>
  <c r="F37" i="18" s="1"/>
  <c r="F38" i="18" s="1"/>
  <c r="F39" i="18" s="1"/>
  <c r="F40" i="18" s="1"/>
  <c r="F41" i="18" s="1"/>
  <c r="F42" i="18" s="1"/>
  <c r="F43" i="18" s="1"/>
  <c r="F44" i="18" s="1"/>
  <c r="F45" i="18" s="1"/>
  <c r="F46" i="18" s="1"/>
  <c r="F47" i="18" s="1"/>
  <c r="F48" i="18" s="1"/>
  <c r="F49" i="18" s="1"/>
  <c r="F50" i="18" s="1"/>
  <c r="F51" i="18" s="1"/>
  <c r="F52" i="18" s="1"/>
  <c r="F53" i="18" s="1"/>
  <c r="F54" i="18" s="1"/>
  <c r="F55" i="18" s="1"/>
  <c r="F56" i="18" s="1"/>
  <c r="F57" i="18" s="1"/>
  <c r="F58" i="18" s="1"/>
  <c r="F59" i="18" s="1"/>
  <c r="F60" i="18" s="1"/>
  <c r="F61" i="18" s="1"/>
  <c r="F62" i="18" s="1"/>
  <c r="F63" i="18" s="1"/>
  <c r="F64" i="18" s="1"/>
  <c r="F65" i="18" s="1"/>
  <c r="F66" i="18" s="1"/>
  <c r="F67" i="18" s="1"/>
  <c r="F68" i="18" s="1"/>
  <c r="F69" i="18" s="1"/>
  <c r="F70" i="18" s="1"/>
  <c r="F71" i="18" s="1"/>
  <c r="F72" i="18" s="1"/>
  <c r="F73" i="18" s="1"/>
  <c r="F74" i="18" s="1"/>
  <c r="F75" i="18" s="1"/>
  <c r="F76" i="18" s="1"/>
  <c r="F77" i="18" s="1"/>
  <c r="F78" i="18" s="1"/>
  <c r="F79" i="18" s="1"/>
  <c r="F80" i="18" s="1"/>
  <c r="F81" i="18" s="1"/>
  <c r="F82" i="18" s="1"/>
  <c r="F83" i="18" s="1"/>
  <c r="F84" i="18" s="1"/>
  <c r="F85" i="18" s="1"/>
  <c r="F86" i="18" s="1"/>
  <c r="F87" i="18" s="1"/>
  <c r="F88" i="18" s="1"/>
  <c r="F89" i="18" s="1"/>
  <c r="F90" i="18" s="1"/>
  <c r="F91" i="18" s="1"/>
  <c r="F92" i="18" s="1"/>
  <c r="F93" i="18" s="1"/>
  <c r="F94" i="18" s="1"/>
  <c r="F95" i="18" s="1"/>
  <c r="F96" i="18" s="1"/>
  <c r="F97" i="18" s="1"/>
  <c r="F98" i="18" s="1"/>
  <c r="F99" i="18" s="1"/>
  <c r="F100" i="18" s="1"/>
  <c r="F101" i="18" s="1"/>
  <c r="F102" i="18" s="1"/>
  <c r="F103" i="18" s="1"/>
  <c r="F104" i="18" s="1"/>
  <c r="F105" i="18" s="1"/>
  <c r="F106" i="18" s="1"/>
  <c r="F107" i="18" s="1"/>
  <c r="F108" i="18" s="1"/>
  <c r="F109" i="18" s="1"/>
  <c r="F110" i="18" s="1"/>
  <c r="F111" i="18" s="1"/>
  <c r="F112" i="18" s="1"/>
  <c r="F113" i="18" s="1"/>
  <c r="F114" i="18" s="1"/>
  <c r="F115" i="18" s="1"/>
  <c r="F116" i="18" s="1"/>
  <c r="F117" i="18" s="1"/>
  <c r="F118" i="18" s="1"/>
  <c r="F119" i="18" s="1"/>
  <c r="F120" i="18" s="1"/>
  <c r="F121" i="18" s="1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F141" i="18" s="1"/>
  <c r="F142" i="18" s="1"/>
  <c r="F143" i="18" s="1"/>
  <c r="F144" i="18" s="1"/>
  <c r="F145" i="18" s="1"/>
  <c r="F146" i="18" s="1"/>
  <c r="F147" i="18" s="1"/>
  <c r="F148" i="18" s="1"/>
  <c r="F149" i="18" s="1"/>
  <c r="F150" i="18" s="1"/>
  <c r="F151" i="18" s="1"/>
  <c r="F152" i="18" s="1"/>
  <c r="F153" i="18" s="1"/>
  <c r="F154" i="18" s="1"/>
  <c r="F155" i="18" s="1"/>
  <c r="F156" i="18" s="1"/>
  <c r="F157" i="18" s="1"/>
  <c r="F158" i="18" s="1"/>
  <c r="F159" i="18" s="1"/>
  <c r="F160" i="18" s="1"/>
  <c r="F161" i="18" s="1"/>
  <c r="F162" i="18" s="1"/>
  <c r="F163" i="18" s="1"/>
  <c r="F164" i="18" s="1"/>
  <c r="F165" i="18" s="1"/>
  <c r="F166" i="18" s="1"/>
  <c r="F167" i="18" s="1"/>
  <c r="F168" i="18" s="1"/>
  <c r="F169" i="18" s="1"/>
  <c r="F170" i="18" s="1"/>
  <c r="F171" i="18" s="1"/>
  <c r="F172" i="18" s="1"/>
  <c r="F173" i="18" s="1"/>
  <c r="F174" i="18" s="1"/>
  <c r="F175" i="18" s="1"/>
  <c r="F176" i="18" s="1"/>
  <c r="F177" i="18" s="1"/>
  <c r="F178" i="18" s="1"/>
  <c r="F179" i="18" s="1"/>
  <c r="F180" i="18" s="1"/>
  <c r="F181" i="18" s="1"/>
  <c r="F182" i="18" s="1"/>
  <c r="F183" i="18" s="1"/>
  <c r="F184" i="18" s="1"/>
  <c r="F185" i="18" s="1"/>
  <c r="F186" i="18" s="1"/>
  <c r="F187" i="18" s="1"/>
  <c r="F188" i="18" s="1"/>
  <c r="F189" i="18" s="1"/>
  <c r="F190" i="18" s="1"/>
  <c r="F191" i="18" s="1"/>
  <c r="F192" i="18" s="1"/>
  <c r="F193" i="18" s="1"/>
  <c r="F194" i="18" s="1"/>
  <c r="F195" i="18" s="1"/>
  <c r="F196" i="18" s="1"/>
  <c r="F197" i="18" s="1"/>
  <c r="F198" i="18" s="1"/>
  <c r="F199" i="18" s="1"/>
  <c r="F200" i="18" s="1"/>
  <c r="F201" i="18" s="1"/>
  <c r="F202" i="18" s="1"/>
  <c r="F203" i="18" s="1"/>
  <c r="F204" i="18" s="1"/>
  <c r="F205" i="18" s="1"/>
  <c r="F206" i="18" s="1"/>
  <c r="F207" i="18" s="1"/>
  <c r="F208" i="18" s="1"/>
  <c r="F209" i="18" s="1"/>
  <c r="F210" i="18" s="1"/>
  <c r="F211" i="18" s="1"/>
  <c r="F212" i="18" s="1"/>
  <c r="F213" i="18" s="1"/>
  <c r="F214" i="18" s="1"/>
  <c r="F215" i="18" s="1"/>
  <c r="F216" i="18" s="1"/>
  <c r="F217" i="18" s="1"/>
  <c r="F218" i="18" s="1"/>
  <c r="F219" i="18" s="1"/>
  <c r="F220" i="18" s="1"/>
  <c r="F221" i="18" s="1"/>
  <c r="F222" i="18" s="1"/>
  <c r="F223" i="18" s="1"/>
  <c r="F224" i="18" s="1"/>
  <c r="F225" i="18" s="1"/>
  <c r="F226" i="18" s="1"/>
  <c r="F227" i="18" s="1"/>
  <c r="F228" i="18" s="1"/>
  <c r="F229" i="18" s="1"/>
  <c r="F230" i="18" s="1"/>
  <c r="F231" i="18" s="1"/>
  <c r="F232" i="18" s="1"/>
  <c r="F233" i="18" s="1"/>
  <c r="F234" i="18" s="1"/>
  <c r="F235" i="18" s="1"/>
  <c r="F236" i="18" s="1"/>
  <c r="F237" i="18" s="1"/>
  <c r="F238" i="18" s="1"/>
  <c r="F239" i="18" s="1"/>
  <c r="F240" i="18" s="1"/>
  <c r="F241" i="18" s="1"/>
  <c r="F242" i="18" s="1"/>
  <c r="F243" i="18" s="1"/>
  <c r="F244" i="18" s="1"/>
  <c r="F245" i="18" s="1"/>
  <c r="F246" i="18" s="1"/>
  <c r="F247" i="18" s="1"/>
  <c r="F248" i="18" s="1"/>
  <c r="F249" i="18" s="1"/>
  <c r="F250" i="18" s="1"/>
  <c r="F251" i="18" s="1"/>
  <c r="F252" i="18" s="1"/>
  <c r="F253" i="18" s="1"/>
  <c r="F254" i="18" s="1"/>
  <c r="F255" i="18" s="1"/>
  <c r="F256" i="18" s="1"/>
  <c r="F257" i="18" s="1"/>
  <c r="F258" i="18" s="1"/>
  <c r="F259" i="18" s="1"/>
  <c r="F260" i="18" s="1"/>
  <c r="F261" i="18" s="1"/>
  <c r="F262" i="18" s="1"/>
  <c r="F263" i="18" s="1"/>
  <c r="F264" i="18" s="1"/>
  <c r="F265" i="18" s="1"/>
  <c r="F266" i="18" s="1"/>
  <c r="F267" i="18" s="1"/>
  <c r="F268" i="18" s="1"/>
  <c r="F269" i="18" s="1"/>
  <c r="F270" i="18" s="1"/>
  <c r="F271" i="18" s="1"/>
  <c r="F272" i="18" s="1"/>
  <c r="F273" i="18" s="1"/>
  <c r="F274" i="18" s="1"/>
  <c r="F275" i="18" s="1"/>
  <c r="F276" i="18" s="1"/>
  <c r="F277" i="18" s="1"/>
  <c r="F278" i="18" s="1"/>
  <c r="F279" i="18" s="1"/>
  <c r="F280" i="18" s="1"/>
  <c r="F281" i="18" s="1"/>
  <c r="F282" i="18" s="1"/>
  <c r="F283" i="18" s="1"/>
  <c r="F284" i="18" s="1"/>
  <c r="F285" i="18" s="1"/>
  <c r="F286" i="18" s="1"/>
  <c r="F287" i="18" s="1"/>
  <c r="F288" i="18" s="1"/>
  <c r="F289" i="18" s="1"/>
  <c r="F290" i="18" s="1"/>
  <c r="F291" i="18" s="1"/>
  <c r="F292" i="18" s="1"/>
  <c r="F293" i="18" s="1"/>
  <c r="F294" i="18" s="1"/>
  <c r="F295" i="18" s="1"/>
  <c r="F296" i="18" s="1"/>
  <c r="F297" i="18" s="1"/>
  <c r="F298" i="18" s="1"/>
  <c r="F299" i="18" s="1"/>
  <c r="F300" i="18" s="1"/>
  <c r="F301" i="18" s="1"/>
  <c r="F302" i="18" s="1"/>
  <c r="F303" i="18" s="1"/>
  <c r="F304" i="18" s="1"/>
  <c r="F305" i="18" s="1"/>
  <c r="F306" i="18" s="1"/>
  <c r="F307" i="18" s="1"/>
  <c r="F308" i="18" s="1"/>
  <c r="F309" i="18" s="1"/>
  <c r="F310" i="18" s="1"/>
  <c r="F311" i="18" s="1"/>
  <c r="F312" i="18" s="1"/>
  <c r="F313" i="18" s="1"/>
  <c r="F314" i="18" s="1"/>
  <c r="F315" i="18" s="1"/>
  <c r="F316" i="18" s="1"/>
  <c r="F317" i="18" s="1"/>
  <c r="F318" i="18" s="1"/>
  <c r="F319" i="18" s="1"/>
  <c r="F320" i="18" s="1"/>
  <c r="F321" i="18" s="1"/>
  <c r="F322" i="18" s="1"/>
  <c r="F323" i="18" s="1"/>
  <c r="F324" i="18" s="1"/>
  <c r="F325" i="18" s="1"/>
  <c r="F326" i="18" s="1"/>
  <c r="F327" i="18" s="1"/>
  <c r="F328" i="18" s="1"/>
  <c r="F329" i="18" s="1"/>
  <c r="F330" i="18" s="1"/>
  <c r="F331" i="18" s="1"/>
  <c r="F332" i="18" s="1"/>
  <c r="F333" i="18" s="1"/>
  <c r="F334" i="18" s="1"/>
  <c r="F335" i="18" s="1"/>
  <c r="F336" i="18" s="1"/>
  <c r="F337" i="18" s="1"/>
  <c r="F338" i="18" s="1"/>
  <c r="F339" i="18" s="1"/>
  <c r="F340" i="18" s="1"/>
  <c r="F341" i="18" s="1"/>
  <c r="F342" i="18" s="1"/>
  <c r="F343" i="18" s="1"/>
  <c r="F344" i="18" s="1"/>
  <c r="F345" i="18" s="1"/>
  <c r="F346" i="18" s="1"/>
  <c r="F347" i="18" s="1"/>
  <c r="F348" i="18" s="1"/>
  <c r="F349" i="18" s="1"/>
  <c r="F350" i="18" s="1"/>
  <c r="F351" i="18" s="1"/>
  <c r="F352" i="18" s="1"/>
  <c r="F353" i="18" s="1"/>
  <c r="F354" i="18" s="1"/>
  <c r="F355" i="18" s="1"/>
  <c r="F356" i="18" s="1"/>
  <c r="F357" i="18" s="1"/>
  <c r="F358" i="18" s="1"/>
  <c r="F359" i="18" s="1"/>
  <c r="F360" i="18" s="1"/>
  <c r="F361" i="18" s="1"/>
  <c r="F362" i="18" s="1"/>
  <c r="F363" i="18" s="1"/>
  <c r="F364" i="18" s="1"/>
  <c r="F365" i="18" s="1"/>
  <c r="F366" i="18" s="1"/>
  <c r="F367" i="18" s="1"/>
  <c r="F368" i="18" s="1"/>
  <c r="F369" i="18" s="1"/>
  <c r="F370" i="18" s="1"/>
  <c r="F371" i="18" s="1"/>
  <c r="F372" i="18" s="1"/>
  <c r="F373" i="18" s="1"/>
  <c r="F374" i="18" s="1"/>
  <c r="F375" i="18" s="1"/>
  <c r="F376" i="18" s="1"/>
  <c r="F377" i="18" s="1"/>
  <c r="F378" i="18" s="1"/>
  <c r="F379" i="18" s="1"/>
  <c r="F380" i="18" s="1"/>
  <c r="F381" i="18" s="1"/>
  <c r="F382" i="18" s="1"/>
  <c r="F383" i="18" s="1"/>
  <c r="F384" i="18" s="1"/>
  <c r="F385" i="18" s="1"/>
  <c r="F386" i="18" s="1"/>
  <c r="F387" i="18" s="1"/>
  <c r="F388" i="18" s="1"/>
  <c r="F389" i="18" s="1"/>
  <c r="F390" i="18" s="1"/>
  <c r="F391" i="18" s="1"/>
  <c r="F392" i="18" s="1"/>
  <c r="F393" i="18" s="1"/>
  <c r="F394" i="18" s="1"/>
  <c r="F395" i="18" s="1"/>
  <c r="F396" i="18" s="1"/>
  <c r="F397" i="18" s="1"/>
  <c r="F398" i="18" s="1"/>
  <c r="F399" i="18" s="1"/>
  <c r="F400" i="18" s="1"/>
  <c r="F401" i="18" s="1"/>
  <c r="F402" i="18" s="1"/>
  <c r="F403" i="18" s="1"/>
  <c r="F404" i="18" s="1"/>
  <c r="F405" i="18" s="1"/>
  <c r="F406" i="18" s="1"/>
  <c r="F407" i="18" s="1"/>
  <c r="F408" i="18" s="1"/>
  <c r="F409" i="18" s="1"/>
  <c r="F410" i="18" s="1"/>
  <c r="F411" i="18" s="1"/>
  <c r="F412" i="18" s="1"/>
  <c r="F413" i="18" s="1"/>
  <c r="F414" i="18" s="1"/>
  <c r="F415" i="18" s="1"/>
  <c r="F416" i="18" s="1"/>
  <c r="F417" i="18" s="1"/>
  <c r="F418" i="18" s="1"/>
  <c r="F419" i="18" s="1"/>
  <c r="F420" i="18" s="1"/>
  <c r="F421" i="18" s="1"/>
  <c r="F422" i="18" s="1"/>
  <c r="F423" i="18" s="1"/>
  <c r="F424" i="18" s="1"/>
  <c r="F425" i="18" s="1"/>
  <c r="F426" i="18" s="1"/>
  <c r="F427" i="18" s="1"/>
  <c r="F428" i="18" s="1"/>
  <c r="F429" i="18" s="1"/>
  <c r="F430" i="18" s="1"/>
  <c r="F431" i="18" s="1"/>
  <c r="F432" i="18" s="1"/>
  <c r="F433" i="18" s="1"/>
  <c r="F434" i="18" s="1"/>
  <c r="F435" i="18" s="1"/>
  <c r="F436" i="18" s="1"/>
  <c r="F437" i="18" s="1"/>
  <c r="F438" i="18" s="1"/>
  <c r="F439" i="18" s="1"/>
  <c r="F440" i="18" s="1"/>
  <c r="F441" i="18" s="1"/>
  <c r="F442" i="18" s="1"/>
  <c r="F443" i="18" s="1"/>
  <c r="F444" i="18" s="1"/>
  <c r="F445" i="18" s="1"/>
  <c r="F446" i="18" s="1"/>
  <c r="F447" i="18" s="1"/>
  <c r="F448" i="18" s="1"/>
  <c r="F449" i="18" s="1"/>
  <c r="F450" i="18" s="1"/>
  <c r="F451" i="18" s="1"/>
  <c r="F452" i="18" s="1"/>
  <c r="F453" i="18" s="1"/>
  <c r="F454" i="18" s="1"/>
  <c r="F455" i="18" s="1"/>
  <c r="F456" i="18" s="1"/>
  <c r="F457" i="18" s="1"/>
  <c r="F458" i="18" s="1"/>
  <c r="F459" i="18" s="1"/>
  <c r="F460" i="18" s="1"/>
  <c r="F461" i="18" s="1"/>
  <c r="F462" i="18" s="1"/>
  <c r="F463" i="18" s="1"/>
  <c r="F464" i="18" s="1"/>
  <c r="F465" i="18" s="1"/>
  <c r="F466" i="18" s="1"/>
  <c r="F467" i="18" s="1"/>
  <c r="F468" i="18" s="1"/>
  <c r="F469" i="18" s="1"/>
  <c r="F470" i="18" s="1"/>
  <c r="F471" i="18" s="1"/>
  <c r="F472" i="18" s="1"/>
  <c r="F473" i="18" s="1"/>
  <c r="F474" i="18" s="1"/>
  <c r="F475" i="18" s="1"/>
  <c r="F476" i="18" s="1"/>
  <c r="F477" i="18" s="1"/>
  <c r="F478" i="18" s="1"/>
  <c r="F479" i="18" s="1"/>
  <c r="F480" i="18" s="1"/>
  <c r="F481" i="18" s="1"/>
  <c r="F482" i="18" s="1"/>
  <c r="F483" i="18" s="1"/>
  <c r="F484" i="18" s="1"/>
  <c r="F485" i="18" s="1"/>
  <c r="F486" i="18" s="1"/>
  <c r="F487" i="18" s="1"/>
  <c r="F488" i="18" s="1"/>
  <c r="F489" i="18" s="1"/>
  <c r="F490" i="18" s="1"/>
  <c r="F491" i="18" s="1"/>
  <c r="F492" i="18" s="1"/>
  <c r="F493" i="18" s="1"/>
  <c r="F494" i="18" s="1"/>
  <c r="F495" i="18" s="1"/>
  <c r="F496" i="18" s="1"/>
  <c r="F497" i="18" s="1"/>
  <c r="F498" i="18" s="1"/>
  <c r="F499" i="18" s="1"/>
  <c r="F500" i="18" s="1"/>
  <c r="F501" i="18" s="1"/>
  <c r="F502" i="18" s="1"/>
  <c r="F503" i="18" s="1"/>
  <c r="F504" i="18" s="1"/>
  <c r="F505" i="18" s="1"/>
  <c r="F506" i="18" s="1"/>
  <c r="F507" i="18" s="1"/>
  <c r="F508" i="18" s="1"/>
  <c r="F509" i="18" s="1"/>
  <c r="F510" i="18" s="1"/>
  <c r="F511" i="18" s="1"/>
  <c r="F512" i="18" s="1"/>
  <c r="F513" i="18" s="1"/>
  <c r="F514" i="18" s="1"/>
  <c r="F515" i="18" s="1"/>
  <c r="F516" i="18" s="1"/>
  <c r="F517" i="18" s="1"/>
  <c r="F518" i="18" s="1"/>
  <c r="F519" i="18" s="1"/>
  <c r="F520" i="18" s="1"/>
  <c r="F521" i="18" s="1"/>
  <c r="F522" i="18" s="1"/>
  <c r="F523" i="18" s="1"/>
  <c r="F524" i="18" s="1"/>
  <c r="F525" i="18" s="1"/>
  <c r="F526" i="18" s="1"/>
  <c r="F527" i="18" s="1"/>
  <c r="F528" i="18" s="1"/>
  <c r="F529" i="18" s="1"/>
  <c r="F530" i="18" s="1"/>
  <c r="F531" i="18" s="1"/>
  <c r="F532" i="18" s="1"/>
  <c r="F533" i="18" s="1"/>
  <c r="F534" i="18" s="1"/>
  <c r="F535" i="18" s="1"/>
  <c r="F536" i="18" s="1"/>
  <c r="F537" i="18" s="1"/>
  <c r="F538" i="18" s="1"/>
  <c r="F539" i="18" s="1"/>
  <c r="F540" i="18" s="1"/>
  <c r="F541" i="18" s="1"/>
  <c r="F542" i="18" s="1"/>
  <c r="F543" i="18" s="1"/>
  <c r="F544" i="18" s="1"/>
  <c r="F545" i="18" s="1"/>
  <c r="F546" i="18" s="1"/>
  <c r="F547" i="18" s="1"/>
  <c r="F548" i="18" s="1"/>
  <c r="F549" i="18" s="1"/>
  <c r="F550" i="18" s="1"/>
  <c r="F551" i="18" s="1"/>
  <c r="F552" i="18" s="1"/>
  <c r="F553" i="18" s="1"/>
  <c r="F554" i="18" s="1"/>
  <c r="F555" i="18" s="1"/>
  <c r="F556" i="18" s="1"/>
  <c r="F557" i="18" s="1"/>
  <c r="F558" i="18" s="1"/>
  <c r="F559" i="18" s="1"/>
  <c r="F560" i="18" s="1"/>
  <c r="F561" i="18" s="1"/>
  <c r="F562" i="18" s="1"/>
  <c r="F563" i="18" s="1"/>
  <c r="F564" i="18" s="1"/>
  <c r="F565" i="18" s="1"/>
  <c r="F566" i="18" s="1"/>
  <c r="F567" i="18" s="1"/>
  <c r="F568" i="18" s="1"/>
  <c r="F569" i="18" s="1"/>
  <c r="F570" i="18" s="1"/>
  <c r="F571" i="18" s="1"/>
  <c r="F572" i="18" s="1"/>
  <c r="F573" i="18" s="1"/>
  <c r="F574" i="18" s="1"/>
  <c r="F575" i="18" s="1"/>
  <c r="F576" i="18" s="1"/>
  <c r="F577" i="18" s="1"/>
  <c r="F578" i="18" s="1"/>
  <c r="F579" i="18" s="1"/>
  <c r="F580" i="18" s="1"/>
  <c r="F581" i="18" s="1"/>
  <c r="F582" i="18" s="1"/>
  <c r="F583" i="18" s="1"/>
  <c r="F584" i="18" s="1"/>
  <c r="F585" i="18" s="1"/>
  <c r="F586" i="18" s="1"/>
  <c r="F587" i="18" s="1"/>
  <c r="F588" i="18" s="1"/>
  <c r="F589" i="18" s="1"/>
  <c r="F590" i="18" s="1"/>
  <c r="F591" i="18" s="1"/>
  <c r="F592" i="18" s="1"/>
  <c r="F593" i="18" s="1"/>
  <c r="F594" i="18" s="1"/>
  <c r="F595" i="18" s="1"/>
  <c r="F596" i="18" s="1"/>
  <c r="F597" i="18" s="1"/>
  <c r="F598" i="18" s="1"/>
  <c r="F599" i="18" s="1"/>
  <c r="F600" i="18" s="1"/>
  <c r="F601" i="18" s="1"/>
  <c r="F602" i="18" s="1"/>
  <c r="F603" i="18" s="1"/>
  <c r="F604" i="18" s="1"/>
  <c r="F605" i="18" s="1"/>
  <c r="F606" i="18" s="1"/>
  <c r="F607" i="18" s="1"/>
  <c r="F608" i="18" s="1"/>
  <c r="F609" i="18" s="1"/>
  <c r="F610" i="18" s="1"/>
  <c r="F611" i="18" s="1"/>
  <c r="F612" i="18" s="1"/>
  <c r="F613" i="18" s="1"/>
  <c r="F614" i="18" s="1"/>
  <c r="F615" i="18" s="1"/>
  <c r="F616" i="18" s="1"/>
  <c r="F617" i="18" s="1"/>
  <c r="F618" i="18" s="1"/>
  <c r="F619" i="18" s="1"/>
  <c r="F620" i="18" s="1"/>
  <c r="F621" i="18" s="1"/>
  <c r="F622" i="18" s="1"/>
  <c r="F623" i="18" s="1"/>
  <c r="F624" i="18" s="1"/>
  <c r="F625" i="18" s="1"/>
  <c r="F626" i="18" s="1"/>
  <c r="F627" i="18" s="1"/>
  <c r="F628" i="18" s="1"/>
  <c r="F629" i="18" s="1"/>
  <c r="F630" i="18" s="1"/>
  <c r="F631" i="18" s="1"/>
  <c r="F632" i="18" s="1"/>
  <c r="F633" i="18" s="1"/>
  <c r="F634" i="18" s="1"/>
  <c r="F635" i="18" s="1"/>
  <c r="F636" i="18" s="1"/>
  <c r="F637" i="18" s="1"/>
  <c r="F638" i="18" s="1"/>
  <c r="F639" i="18" s="1"/>
  <c r="F640" i="18" s="1"/>
  <c r="F641" i="18" s="1"/>
  <c r="F642" i="18" s="1"/>
  <c r="F643" i="18" s="1"/>
  <c r="F644" i="18" s="1"/>
  <c r="F645" i="18" s="1"/>
  <c r="F646" i="18" s="1"/>
  <c r="F647" i="18" s="1"/>
  <c r="F648" i="18" s="1"/>
  <c r="F649" i="18" s="1"/>
  <c r="F650" i="18" s="1"/>
  <c r="F651" i="18" s="1"/>
  <c r="F652" i="18" s="1"/>
  <c r="F653" i="18" s="1"/>
  <c r="F654" i="18" s="1"/>
  <c r="F655" i="18" s="1"/>
  <c r="F656" i="18" s="1"/>
  <c r="F657" i="18" s="1"/>
  <c r="F658" i="18" s="1"/>
  <c r="F659" i="18" s="1"/>
  <c r="F660" i="18" s="1"/>
  <c r="F661" i="18" s="1"/>
  <c r="F662" i="18" s="1"/>
  <c r="F663" i="18" s="1"/>
  <c r="F664" i="18" s="1"/>
  <c r="F665" i="18" s="1"/>
  <c r="F666" i="18" s="1"/>
  <c r="F667" i="18" s="1"/>
  <c r="F668" i="18" s="1"/>
  <c r="F669" i="18" s="1"/>
  <c r="F670" i="18" s="1"/>
  <c r="F671" i="18" s="1"/>
  <c r="F672" i="18" s="1"/>
  <c r="F673" i="18" s="1"/>
  <c r="F674" i="18" s="1"/>
  <c r="F675" i="18" s="1"/>
  <c r="F676" i="18" s="1"/>
  <c r="F677" i="18" s="1"/>
  <c r="F678" i="18" s="1"/>
  <c r="F679" i="18" s="1"/>
  <c r="F680" i="18" s="1"/>
  <c r="F681" i="18" s="1"/>
  <c r="F682" i="18" s="1"/>
  <c r="F683" i="18" s="1"/>
  <c r="F684" i="18" s="1"/>
  <c r="F685" i="18" s="1"/>
  <c r="F686" i="18" s="1"/>
  <c r="F687" i="18" s="1"/>
  <c r="F688" i="18" s="1"/>
  <c r="F689" i="18" s="1"/>
  <c r="F690" i="18" s="1"/>
  <c r="F691" i="18" s="1"/>
  <c r="F692" i="18" s="1"/>
  <c r="F693" i="18" s="1"/>
  <c r="F694" i="18" s="1"/>
  <c r="F695" i="18" s="1"/>
  <c r="F696" i="18" s="1"/>
  <c r="F697" i="18" s="1"/>
  <c r="F698" i="18" s="1"/>
  <c r="F699" i="18" s="1"/>
  <c r="F700" i="18" s="1"/>
  <c r="F701" i="18" s="1"/>
  <c r="F702" i="18" s="1"/>
  <c r="F703" i="18" s="1"/>
  <c r="F704" i="18" s="1"/>
  <c r="F705" i="18" s="1"/>
  <c r="F706" i="18" s="1"/>
  <c r="F707" i="18" s="1"/>
  <c r="F708" i="18" s="1"/>
  <c r="F709" i="18" s="1"/>
  <c r="F710" i="18" s="1"/>
  <c r="F711" i="18" s="1"/>
  <c r="F712" i="18" s="1"/>
  <c r="F713" i="18" s="1"/>
  <c r="F714" i="18" s="1"/>
  <c r="F715" i="18" s="1"/>
  <c r="F716" i="18" s="1"/>
  <c r="F717" i="18" s="1"/>
  <c r="F718" i="18" s="1"/>
  <c r="F719" i="18" s="1"/>
  <c r="F720" i="18" s="1"/>
  <c r="F721" i="18" s="1"/>
  <c r="F722" i="18" s="1"/>
  <c r="F723" i="18" s="1"/>
  <c r="F724" i="18" s="1"/>
  <c r="F725" i="18" s="1"/>
  <c r="F726" i="18" s="1"/>
  <c r="F727" i="18" s="1"/>
  <c r="F728" i="18" s="1"/>
  <c r="F729" i="18" s="1"/>
  <c r="F730" i="18" s="1"/>
  <c r="F731" i="18" s="1"/>
  <c r="F732" i="18" s="1"/>
  <c r="F733" i="18" s="1"/>
  <c r="F734" i="18" s="1"/>
  <c r="F735" i="18" s="1"/>
  <c r="F736" i="18" s="1"/>
  <c r="F737" i="18" s="1"/>
  <c r="F738" i="18" s="1"/>
  <c r="F739" i="18" s="1"/>
  <c r="F740" i="18" s="1"/>
  <c r="F741" i="18" s="1"/>
  <c r="F742" i="18" s="1"/>
  <c r="F743" i="18" s="1"/>
  <c r="F744" i="18" s="1"/>
  <c r="F745" i="18" s="1"/>
  <c r="F746" i="18" s="1"/>
  <c r="F747" i="18" s="1"/>
  <c r="F748" i="18" s="1"/>
  <c r="F749" i="18" s="1"/>
  <c r="F750" i="18" s="1"/>
  <c r="F751" i="18" s="1"/>
  <c r="F752" i="18" s="1"/>
  <c r="F753" i="18" s="1"/>
  <c r="F754" i="18" s="1"/>
  <c r="F755" i="18" s="1"/>
  <c r="F756" i="18" s="1"/>
  <c r="F757" i="18" s="1"/>
  <c r="F758" i="18" s="1"/>
  <c r="F759" i="18" s="1"/>
  <c r="F760" i="18" s="1"/>
  <c r="F761" i="18" s="1"/>
  <c r="F762" i="18" s="1"/>
  <c r="F763" i="18" s="1"/>
  <c r="F764" i="18" s="1"/>
  <c r="F765" i="18" s="1"/>
  <c r="F766" i="18" s="1"/>
  <c r="F767" i="18" s="1"/>
  <c r="F768" i="18" s="1"/>
  <c r="F769" i="18" s="1"/>
  <c r="F770" i="18" s="1"/>
  <c r="F771" i="18" s="1"/>
  <c r="F772" i="18" s="1"/>
  <c r="F773" i="18" s="1"/>
  <c r="F774" i="18" s="1"/>
  <c r="F775" i="18" s="1"/>
  <c r="F776" i="18" s="1"/>
  <c r="F777" i="18" s="1"/>
  <c r="F778" i="18" s="1"/>
  <c r="F779" i="18" s="1"/>
  <c r="F780" i="18" s="1"/>
  <c r="F781" i="18" s="1"/>
  <c r="F782" i="18" s="1"/>
  <c r="F783" i="18" s="1"/>
  <c r="F784" i="18" s="1"/>
  <c r="F785" i="18" s="1"/>
  <c r="F786" i="18" s="1"/>
  <c r="F787" i="18" s="1"/>
  <c r="F788" i="18" s="1"/>
  <c r="F789" i="18" s="1"/>
  <c r="F790" i="18" s="1"/>
  <c r="F791" i="18" s="1"/>
  <c r="E4" i="18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E516" i="18" s="1"/>
  <c r="E517" i="18" s="1"/>
  <c r="E518" i="18" s="1"/>
  <c r="E519" i="18" s="1"/>
  <c r="E520" i="18" s="1"/>
  <c r="E521" i="18" s="1"/>
  <c r="E522" i="18" s="1"/>
  <c r="E523" i="18" s="1"/>
  <c r="E524" i="18" s="1"/>
  <c r="E525" i="18" s="1"/>
  <c r="E526" i="18" s="1"/>
  <c r="E527" i="18" s="1"/>
  <c r="E528" i="18" s="1"/>
  <c r="E529" i="18" s="1"/>
  <c r="E530" i="18" s="1"/>
  <c r="E531" i="18" s="1"/>
  <c r="E532" i="18" s="1"/>
  <c r="E533" i="18" s="1"/>
  <c r="E534" i="18" s="1"/>
  <c r="E535" i="18" s="1"/>
  <c r="E536" i="18" s="1"/>
  <c r="E537" i="18" s="1"/>
  <c r="E538" i="18" s="1"/>
  <c r="E539" i="18" s="1"/>
  <c r="E540" i="18" s="1"/>
  <c r="E541" i="18" s="1"/>
  <c r="E542" i="18" s="1"/>
  <c r="E543" i="18" s="1"/>
  <c r="E544" i="18" s="1"/>
  <c r="E545" i="18" s="1"/>
  <c r="E546" i="18" s="1"/>
  <c r="E547" i="18" s="1"/>
  <c r="E548" i="18" s="1"/>
  <c r="E549" i="18" s="1"/>
  <c r="E550" i="18" s="1"/>
  <c r="E551" i="18" s="1"/>
  <c r="E552" i="18" s="1"/>
  <c r="E553" i="18" s="1"/>
  <c r="E554" i="18" s="1"/>
  <c r="E555" i="18" s="1"/>
  <c r="E556" i="18" s="1"/>
  <c r="E557" i="18" s="1"/>
  <c r="E558" i="18" s="1"/>
  <c r="E559" i="18" s="1"/>
  <c r="E560" i="18" s="1"/>
  <c r="E561" i="18" s="1"/>
  <c r="E562" i="18" s="1"/>
  <c r="E563" i="18" s="1"/>
  <c r="E564" i="18" s="1"/>
  <c r="E565" i="18" s="1"/>
  <c r="E566" i="18" s="1"/>
  <c r="E567" i="18" s="1"/>
  <c r="E568" i="18" s="1"/>
  <c r="E569" i="18" s="1"/>
  <c r="E570" i="18" s="1"/>
  <c r="E571" i="18" s="1"/>
  <c r="E572" i="18" s="1"/>
  <c r="E573" i="18" s="1"/>
  <c r="E574" i="18" s="1"/>
  <c r="E575" i="18" s="1"/>
  <c r="E576" i="18" s="1"/>
  <c r="E577" i="18" s="1"/>
  <c r="E578" i="18" s="1"/>
  <c r="E579" i="18" s="1"/>
  <c r="E580" i="18" s="1"/>
  <c r="E581" i="18" s="1"/>
  <c r="E582" i="18" s="1"/>
  <c r="E583" i="18" s="1"/>
  <c r="E584" i="18" s="1"/>
  <c r="E585" i="18" s="1"/>
  <c r="E586" i="18" s="1"/>
  <c r="E587" i="18" s="1"/>
  <c r="E588" i="18" s="1"/>
  <c r="E589" i="18" s="1"/>
  <c r="E590" i="18" s="1"/>
  <c r="E591" i="18" s="1"/>
  <c r="E592" i="18" s="1"/>
  <c r="E593" i="18" s="1"/>
  <c r="E594" i="18" s="1"/>
  <c r="E595" i="18" s="1"/>
  <c r="E596" i="18" s="1"/>
  <c r="E597" i="18" s="1"/>
  <c r="E598" i="18" s="1"/>
  <c r="E599" i="18" s="1"/>
  <c r="E600" i="18" s="1"/>
  <c r="E601" i="18" s="1"/>
  <c r="E602" i="18" s="1"/>
  <c r="E603" i="18" s="1"/>
  <c r="E604" i="18" s="1"/>
  <c r="E605" i="18" s="1"/>
  <c r="E606" i="18" s="1"/>
  <c r="E607" i="18" s="1"/>
  <c r="E608" i="18" s="1"/>
  <c r="E609" i="18" s="1"/>
  <c r="E610" i="18" s="1"/>
  <c r="E611" i="18" s="1"/>
  <c r="E612" i="18" s="1"/>
  <c r="E613" i="18" s="1"/>
  <c r="E614" i="18" s="1"/>
  <c r="E615" i="18" s="1"/>
  <c r="E616" i="18" s="1"/>
  <c r="E617" i="18" s="1"/>
  <c r="E618" i="18" s="1"/>
  <c r="E619" i="18" s="1"/>
  <c r="E620" i="18" s="1"/>
  <c r="E621" i="18" s="1"/>
  <c r="E622" i="18" s="1"/>
  <c r="E623" i="18" s="1"/>
  <c r="E624" i="18" s="1"/>
  <c r="E625" i="18" s="1"/>
  <c r="E626" i="18" s="1"/>
  <c r="E627" i="18" s="1"/>
  <c r="E628" i="18" s="1"/>
  <c r="E629" i="18" s="1"/>
  <c r="E630" i="18" s="1"/>
  <c r="E631" i="18" s="1"/>
  <c r="E632" i="18" s="1"/>
  <c r="E633" i="18" s="1"/>
  <c r="E634" i="18" s="1"/>
  <c r="E635" i="18" s="1"/>
  <c r="E636" i="18" s="1"/>
  <c r="E637" i="18" s="1"/>
  <c r="E638" i="18" s="1"/>
  <c r="E639" i="18" s="1"/>
  <c r="E640" i="18" s="1"/>
  <c r="E641" i="18" s="1"/>
  <c r="E642" i="18" s="1"/>
  <c r="E643" i="18" s="1"/>
  <c r="E644" i="18" s="1"/>
  <c r="E645" i="18" s="1"/>
  <c r="E646" i="18" s="1"/>
  <c r="E647" i="18" s="1"/>
  <c r="E648" i="18" s="1"/>
  <c r="E649" i="18" s="1"/>
  <c r="E650" i="18" s="1"/>
  <c r="E651" i="18" s="1"/>
  <c r="E652" i="18" s="1"/>
  <c r="E653" i="18" s="1"/>
  <c r="E654" i="18" s="1"/>
  <c r="E655" i="18" s="1"/>
  <c r="E656" i="18" s="1"/>
  <c r="E657" i="18" s="1"/>
  <c r="E658" i="18" s="1"/>
  <c r="E659" i="18" s="1"/>
  <c r="E660" i="18" s="1"/>
  <c r="E661" i="18" s="1"/>
  <c r="E662" i="18" s="1"/>
  <c r="E663" i="18" s="1"/>
  <c r="E664" i="18" s="1"/>
  <c r="E665" i="18" s="1"/>
  <c r="E666" i="18" s="1"/>
  <c r="E667" i="18" s="1"/>
  <c r="E668" i="18" s="1"/>
  <c r="E669" i="18" s="1"/>
  <c r="E670" i="18" s="1"/>
  <c r="E671" i="18" s="1"/>
  <c r="E672" i="18" s="1"/>
  <c r="E673" i="18" s="1"/>
  <c r="E674" i="18" s="1"/>
  <c r="E675" i="18" s="1"/>
  <c r="E676" i="18" s="1"/>
  <c r="E677" i="18" s="1"/>
  <c r="E678" i="18" s="1"/>
  <c r="E679" i="18" s="1"/>
  <c r="E680" i="18" s="1"/>
  <c r="E681" i="18" s="1"/>
  <c r="E682" i="18" s="1"/>
  <c r="E683" i="18" s="1"/>
  <c r="E684" i="18" s="1"/>
  <c r="E685" i="18" s="1"/>
  <c r="E686" i="18" s="1"/>
  <c r="E687" i="18" s="1"/>
  <c r="E688" i="18" s="1"/>
  <c r="E689" i="18" s="1"/>
  <c r="E690" i="18" s="1"/>
  <c r="E691" i="18" s="1"/>
  <c r="E692" i="18" s="1"/>
  <c r="E693" i="18" s="1"/>
  <c r="E694" i="18" s="1"/>
  <c r="E695" i="18" s="1"/>
  <c r="E696" i="18" s="1"/>
  <c r="E697" i="18" s="1"/>
  <c r="E698" i="18" s="1"/>
  <c r="E699" i="18" s="1"/>
  <c r="E700" i="18" s="1"/>
  <c r="E701" i="18" s="1"/>
  <c r="E702" i="18" s="1"/>
  <c r="E703" i="18" s="1"/>
  <c r="E704" i="18" s="1"/>
  <c r="E705" i="18" s="1"/>
  <c r="E706" i="18" s="1"/>
  <c r="E707" i="18" s="1"/>
  <c r="E708" i="18" s="1"/>
  <c r="E709" i="18" s="1"/>
  <c r="E710" i="18" s="1"/>
  <c r="E711" i="18" s="1"/>
  <c r="E712" i="18" s="1"/>
  <c r="E713" i="18" s="1"/>
  <c r="E714" i="18" s="1"/>
  <c r="E715" i="18" s="1"/>
  <c r="E716" i="18" s="1"/>
  <c r="E717" i="18" s="1"/>
  <c r="E718" i="18" s="1"/>
  <c r="E719" i="18" s="1"/>
  <c r="E720" i="18" s="1"/>
  <c r="E721" i="18" s="1"/>
  <c r="E722" i="18" s="1"/>
  <c r="E723" i="18" s="1"/>
  <c r="E724" i="18" s="1"/>
  <c r="E725" i="18" s="1"/>
  <c r="E726" i="18" s="1"/>
  <c r="E727" i="18" s="1"/>
  <c r="E728" i="18" s="1"/>
  <c r="E729" i="18" s="1"/>
  <c r="E730" i="18" s="1"/>
  <c r="E731" i="18" s="1"/>
  <c r="E732" i="18" s="1"/>
  <c r="E733" i="18" s="1"/>
  <c r="E734" i="18" s="1"/>
  <c r="E735" i="18" s="1"/>
  <c r="E736" i="18" s="1"/>
  <c r="E737" i="18" s="1"/>
  <c r="E738" i="18" s="1"/>
  <c r="E739" i="18" s="1"/>
  <c r="E740" i="18" s="1"/>
  <c r="E741" i="18" s="1"/>
  <c r="E742" i="18" s="1"/>
  <c r="E743" i="18" s="1"/>
  <c r="E744" i="18" s="1"/>
  <c r="E745" i="18" s="1"/>
  <c r="E746" i="18" s="1"/>
  <c r="E747" i="18" s="1"/>
  <c r="E748" i="18" s="1"/>
  <c r="E749" i="18" s="1"/>
  <c r="E750" i="18" s="1"/>
  <c r="E751" i="18" s="1"/>
  <c r="E752" i="18" s="1"/>
  <c r="E753" i="18" s="1"/>
  <c r="E754" i="18" s="1"/>
  <c r="E755" i="18" s="1"/>
  <c r="E756" i="18" s="1"/>
  <c r="E757" i="18" s="1"/>
  <c r="E758" i="18" s="1"/>
  <c r="E759" i="18" s="1"/>
  <c r="E760" i="18" s="1"/>
  <c r="E761" i="18" s="1"/>
  <c r="E762" i="18" s="1"/>
  <c r="E763" i="18" s="1"/>
  <c r="E764" i="18" s="1"/>
  <c r="E765" i="18" s="1"/>
  <c r="E766" i="18" s="1"/>
  <c r="E767" i="18" s="1"/>
  <c r="E768" i="18" s="1"/>
  <c r="E769" i="18" s="1"/>
  <c r="E770" i="18" s="1"/>
  <c r="E771" i="18" s="1"/>
  <c r="E772" i="18" s="1"/>
  <c r="E773" i="18" s="1"/>
  <c r="E774" i="18" s="1"/>
  <c r="E775" i="18" s="1"/>
  <c r="E776" i="18" s="1"/>
  <c r="E777" i="18" s="1"/>
  <c r="E778" i="18" s="1"/>
  <c r="E779" i="18" s="1"/>
  <c r="E780" i="18" s="1"/>
  <c r="E781" i="18" s="1"/>
  <c r="E782" i="18" s="1"/>
  <c r="E783" i="18" s="1"/>
  <c r="E784" i="18" s="1"/>
  <c r="E785" i="18" s="1"/>
  <c r="E786" i="18" s="1"/>
  <c r="E787" i="18" s="1"/>
  <c r="E788" i="18" s="1"/>
  <c r="E789" i="18" s="1"/>
  <c r="E790" i="18" s="1"/>
  <c r="E791" i="18" s="1"/>
  <c r="D4" i="18"/>
  <c r="D5" i="18" s="1"/>
  <c r="D6" i="18" s="1"/>
  <c r="D7" i="18" s="1"/>
  <c r="D8" i="18" s="1"/>
  <c r="D9" i="18" s="1"/>
  <c r="D10" i="18" s="1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215" i="18" s="1"/>
  <c r="D216" i="18" s="1"/>
  <c r="D217" i="18" s="1"/>
  <c r="D218" i="18" s="1"/>
  <c r="D219" i="18" s="1"/>
  <c r="D220" i="18" s="1"/>
  <c r="D221" i="18" s="1"/>
  <c r="D222" i="18" s="1"/>
  <c r="D223" i="18" s="1"/>
  <c r="D224" i="18" s="1"/>
  <c r="D225" i="18" s="1"/>
  <c r="D226" i="18" s="1"/>
  <c r="D227" i="18" s="1"/>
  <c r="D228" i="18" s="1"/>
  <c r="D229" i="18" s="1"/>
  <c r="D230" i="18" s="1"/>
  <c r="D231" i="18" s="1"/>
  <c r="D232" i="18" s="1"/>
  <c r="D233" i="18" s="1"/>
  <c r="D234" i="18" s="1"/>
  <c r="D235" i="18" s="1"/>
  <c r="D236" i="18" s="1"/>
  <c r="D237" i="18" s="1"/>
  <c r="D238" i="18" s="1"/>
  <c r="D239" i="18" s="1"/>
  <c r="D240" i="18" s="1"/>
  <c r="D241" i="18" s="1"/>
  <c r="D242" i="18" s="1"/>
  <c r="D243" i="18" s="1"/>
  <c r="D244" i="18" s="1"/>
  <c r="D245" i="18" s="1"/>
  <c r="D246" i="18" s="1"/>
  <c r="D247" i="18" s="1"/>
  <c r="D248" i="18" s="1"/>
  <c r="D249" i="18" s="1"/>
  <c r="D250" i="18" s="1"/>
  <c r="D251" i="18" s="1"/>
  <c r="D252" i="18" s="1"/>
  <c r="D253" i="18" s="1"/>
  <c r="D254" i="18" s="1"/>
  <c r="D255" i="18" s="1"/>
  <c r="D256" i="18" s="1"/>
  <c r="D257" i="18" s="1"/>
  <c r="D258" i="18" s="1"/>
  <c r="D259" i="18" s="1"/>
  <c r="D260" i="18" s="1"/>
  <c r="D261" i="18" s="1"/>
  <c r="D262" i="18" s="1"/>
  <c r="D263" i="18" s="1"/>
  <c r="D264" i="18" s="1"/>
  <c r="D265" i="18" s="1"/>
  <c r="D266" i="18" s="1"/>
  <c r="D267" i="18" s="1"/>
  <c r="D268" i="18" s="1"/>
  <c r="D269" i="18" s="1"/>
  <c r="D270" i="18" s="1"/>
  <c r="D271" i="18" s="1"/>
  <c r="D272" i="18" s="1"/>
  <c r="D273" i="18" s="1"/>
  <c r="D274" i="18" s="1"/>
  <c r="D275" i="18" s="1"/>
  <c r="D276" i="18" s="1"/>
  <c r="D277" i="18" s="1"/>
  <c r="D278" i="18" s="1"/>
  <c r="D279" i="18" s="1"/>
  <c r="D280" i="18" s="1"/>
  <c r="D281" i="18" s="1"/>
  <c r="D282" i="18" s="1"/>
  <c r="D283" i="18" s="1"/>
  <c r="D284" i="18" s="1"/>
  <c r="D285" i="18" s="1"/>
  <c r="D286" i="18" s="1"/>
  <c r="D287" i="18" s="1"/>
  <c r="D288" i="18" s="1"/>
  <c r="D289" i="18" s="1"/>
  <c r="D290" i="18" s="1"/>
  <c r="D291" i="18" s="1"/>
  <c r="D292" i="18" s="1"/>
  <c r="D293" i="18" s="1"/>
  <c r="D294" i="18" s="1"/>
  <c r="D295" i="18" s="1"/>
  <c r="D296" i="18" s="1"/>
  <c r="D297" i="18" s="1"/>
  <c r="D298" i="18" s="1"/>
  <c r="D299" i="18" s="1"/>
  <c r="D300" i="18" s="1"/>
  <c r="D301" i="18" s="1"/>
  <c r="D302" i="18" s="1"/>
  <c r="D303" i="18" s="1"/>
  <c r="D304" i="18" s="1"/>
  <c r="D305" i="18" s="1"/>
  <c r="D306" i="18" s="1"/>
  <c r="D307" i="18" s="1"/>
  <c r="D308" i="18" s="1"/>
  <c r="D309" i="18" s="1"/>
  <c r="D310" i="18" s="1"/>
  <c r="D311" i="18" s="1"/>
  <c r="D312" i="18" s="1"/>
  <c r="D313" i="18" s="1"/>
  <c r="D314" i="18" s="1"/>
  <c r="D315" i="18" s="1"/>
  <c r="D316" i="18" s="1"/>
  <c r="D317" i="18" s="1"/>
  <c r="D318" i="18" s="1"/>
  <c r="D319" i="18" s="1"/>
  <c r="D320" i="18" s="1"/>
  <c r="D321" i="18" s="1"/>
  <c r="D322" i="18" s="1"/>
  <c r="D323" i="18" s="1"/>
  <c r="D324" i="18" s="1"/>
  <c r="D325" i="18" s="1"/>
  <c r="D326" i="18" s="1"/>
  <c r="D327" i="18" s="1"/>
  <c r="D328" i="18" s="1"/>
  <c r="D329" i="18" s="1"/>
  <c r="D330" i="18" s="1"/>
  <c r="D331" i="18" s="1"/>
  <c r="D332" i="18" s="1"/>
  <c r="D333" i="18" s="1"/>
  <c r="D334" i="18" s="1"/>
  <c r="D335" i="18" s="1"/>
  <c r="D336" i="18" s="1"/>
  <c r="D337" i="18" s="1"/>
  <c r="D338" i="18" s="1"/>
  <c r="D339" i="18" s="1"/>
  <c r="D340" i="18" s="1"/>
  <c r="D341" i="18" s="1"/>
  <c r="D342" i="18" s="1"/>
  <c r="D343" i="18" s="1"/>
  <c r="D344" i="18" s="1"/>
  <c r="D345" i="18" s="1"/>
  <c r="D346" i="18" s="1"/>
  <c r="D347" i="18" s="1"/>
  <c r="D348" i="18" s="1"/>
  <c r="D349" i="18" s="1"/>
  <c r="D350" i="18" s="1"/>
  <c r="D351" i="18" s="1"/>
  <c r="D352" i="18" s="1"/>
  <c r="D353" i="18" s="1"/>
  <c r="D354" i="18" s="1"/>
  <c r="D355" i="18" s="1"/>
  <c r="D356" i="18" s="1"/>
  <c r="D357" i="18" s="1"/>
  <c r="D358" i="18" s="1"/>
  <c r="D359" i="18" s="1"/>
  <c r="D360" i="18" s="1"/>
  <c r="D361" i="18" s="1"/>
  <c r="D362" i="18" s="1"/>
  <c r="D363" i="18" s="1"/>
  <c r="D364" i="18" s="1"/>
  <c r="D365" i="18" s="1"/>
  <c r="D366" i="18" s="1"/>
  <c r="D367" i="18" s="1"/>
  <c r="D368" i="18" s="1"/>
  <c r="D369" i="18" s="1"/>
  <c r="D370" i="18" s="1"/>
  <c r="D371" i="18" s="1"/>
  <c r="D372" i="18" s="1"/>
  <c r="D373" i="18" s="1"/>
  <c r="D374" i="18" s="1"/>
  <c r="D375" i="18" s="1"/>
  <c r="D376" i="18" s="1"/>
  <c r="D377" i="18" s="1"/>
  <c r="D378" i="18" s="1"/>
  <c r="D379" i="18" s="1"/>
  <c r="D380" i="18" s="1"/>
  <c r="D381" i="18" s="1"/>
  <c r="D382" i="18" s="1"/>
  <c r="D383" i="18" s="1"/>
  <c r="D384" i="18" s="1"/>
  <c r="D385" i="18" s="1"/>
  <c r="D386" i="18" s="1"/>
  <c r="D387" i="18" s="1"/>
  <c r="D388" i="18" s="1"/>
  <c r="D389" i="18" s="1"/>
  <c r="D390" i="18" s="1"/>
  <c r="D391" i="18" s="1"/>
  <c r="D392" i="18" s="1"/>
  <c r="D393" i="18" s="1"/>
  <c r="D394" i="18" s="1"/>
  <c r="D395" i="18" s="1"/>
  <c r="D396" i="18" s="1"/>
  <c r="D397" i="18" s="1"/>
  <c r="D398" i="18" s="1"/>
  <c r="D399" i="18" s="1"/>
  <c r="D400" i="18" s="1"/>
  <c r="D401" i="18" s="1"/>
  <c r="D402" i="18" s="1"/>
  <c r="D403" i="18" s="1"/>
  <c r="D404" i="18" s="1"/>
  <c r="D405" i="18" s="1"/>
  <c r="D406" i="18" s="1"/>
  <c r="D407" i="18" s="1"/>
  <c r="D408" i="18" s="1"/>
  <c r="D409" i="18" s="1"/>
  <c r="D410" i="18" s="1"/>
  <c r="D411" i="18" s="1"/>
  <c r="D412" i="18" s="1"/>
  <c r="D413" i="18" s="1"/>
  <c r="D414" i="18" s="1"/>
  <c r="D415" i="18" s="1"/>
  <c r="D416" i="18" s="1"/>
  <c r="D417" i="18" s="1"/>
  <c r="D418" i="18" s="1"/>
  <c r="D419" i="18" s="1"/>
  <c r="D420" i="18" s="1"/>
  <c r="D421" i="18" s="1"/>
  <c r="D422" i="18" s="1"/>
  <c r="D423" i="18" s="1"/>
  <c r="D424" i="18" s="1"/>
  <c r="D425" i="18" s="1"/>
  <c r="D426" i="18" s="1"/>
  <c r="D427" i="18" s="1"/>
  <c r="D428" i="18" s="1"/>
  <c r="D429" i="18" s="1"/>
  <c r="D430" i="18" s="1"/>
  <c r="D431" i="18" s="1"/>
  <c r="D432" i="18" s="1"/>
  <c r="D433" i="18" s="1"/>
  <c r="D434" i="18" s="1"/>
  <c r="D435" i="18" s="1"/>
  <c r="D436" i="18" s="1"/>
  <c r="D437" i="18" s="1"/>
  <c r="D438" i="18" s="1"/>
  <c r="D439" i="18" s="1"/>
  <c r="D440" i="18" s="1"/>
  <c r="D441" i="18" s="1"/>
  <c r="D442" i="18" s="1"/>
  <c r="D443" i="18" s="1"/>
  <c r="D444" i="18" s="1"/>
  <c r="D445" i="18" s="1"/>
  <c r="D446" i="18" s="1"/>
  <c r="D447" i="18" s="1"/>
  <c r="D448" i="18" s="1"/>
  <c r="D449" i="18" s="1"/>
  <c r="D450" i="18" s="1"/>
  <c r="D451" i="18" s="1"/>
  <c r="D452" i="18" s="1"/>
  <c r="D453" i="18" s="1"/>
  <c r="D454" i="18" s="1"/>
  <c r="D455" i="18" s="1"/>
  <c r="D456" i="18" s="1"/>
  <c r="D457" i="18" s="1"/>
  <c r="D458" i="18" s="1"/>
  <c r="D459" i="18" s="1"/>
  <c r="D460" i="18" s="1"/>
  <c r="D461" i="18" s="1"/>
  <c r="D462" i="18" s="1"/>
  <c r="D463" i="18" s="1"/>
  <c r="D464" i="18" s="1"/>
  <c r="D465" i="18" s="1"/>
  <c r="D466" i="18" s="1"/>
  <c r="D467" i="18" s="1"/>
  <c r="D468" i="18" s="1"/>
  <c r="D469" i="18" s="1"/>
  <c r="D470" i="18" s="1"/>
  <c r="D471" i="18" s="1"/>
  <c r="D472" i="18" s="1"/>
  <c r="D473" i="18" s="1"/>
  <c r="D474" i="18" s="1"/>
  <c r="D475" i="18" s="1"/>
  <c r="D476" i="18" s="1"/>
  <c r="D477" i="18" s="1"/>
  <c r="D478" i="18" s="1"/>
  <c r="D479" i="18" s="1"/>
  <c r="D480" i="18" s="1"/>
  <c r="D481" i="18" s="1"/>
  <c r="D482" i="18" s="1"/>
  <c r="D483" i="18" s="1"/>
  <c r="D484" i="18" s="1"/>
  <c r="D485" i="18" s="1"/>
  <c r="D486" i="18" s="1"/>
  <c r="D487" i="18" s="1"/>
  <c r="D488" i="18" s="1"/>
  <c r="D489" i="18" s="1"/>
  <c r="D490" i="18" s="1"/>
  <c r="D491" i="18" s="1"/>
  <c r="D492" i="18" s="1"/>
  <c r="D493" i="18" s="1"/>
  <c r="D494" i="18" s="1"/>
  <c r="D495" i="18" s="1"/>
  <c r="D496" i="18" s="1"/>
  <c r="D497" i="18" s="1"/>
  <c r="D498" i="18" s="1"/>
  <c r="D499" i="18" s="1"/>
  <c r="D500" i="18" s="1"/>
  <c r="D501" i="18" s="1"/>
  <c r="D502" i="18" s="1"/>
  <c r="D503" i="18" s="1"/>
  <c r="D504" i="18" s="1"/>
  <c r="D505" i="18" s="1"/>
  <c r="D506" i="18" s="1"/>
  <c r="D507" i="18" s="1"/>
  <c r="D508" i="18" s="1"/>
  <c r="D509" i="18" s="1"/>
  <c r="D510" i="18" s="1"/>
  <c r="D511" i="18" s="1"/>
  <c r="D512" i="18" s="1"/>
  <c r="D513" i="18" s="1"/>
  <c r="D514" i="18" s="1"/>
  <c r="D515" i="18" s="1"/>
  <c r="D516" i="18" s="1"/>
  <c r="D517" i="18" s="1"/>
  <c r="D518" i="18" s="1"/>
  <c r="D519" i="18" s="1"/>
  <c r="D520" i="18" s="1"/>
  <c r="D521" i="18" s="1"/>
  <c r="D522" i="18" s="1"/>
  <c r="D523" i="18" s="1"/>
  <c r="D524" i="18" s="1"/>
  <c r="D525" i="18" s="1"/>
  <c r="D526" i="18" s="1"/>
  <c r="D527" i="18" s="1"/>
  <c r="D528" i="18" s="1"/>
  <c r="D529" i="18" s="1"/>
  <c r="D530" i="18" s="1"/>
  <c r="D531" i="18" s="1"/>
  <c r="D532" i="18" s="1"/>
  <c r="D533" i="18" s="1"/>
  <c r="D534" i="18" s="1"/>
  <c r="D535" i="18" s="1"/>
  <c r="D536" i="18" s="1"/>
  <c r="D537" i="18" s="1"/>
  <c r="D538" i="18" s="1"/>
  <c r="D539" i="18" s="1"/>
  <c r="D540" i="18" s="1"/>
  <c r="D541" i="18" s="1"/>
  <c r="D542" i="18" s="1"/>
  <c r="D543" i="18" s="1"/>
  <c r="D544" i="18" s="1"/>
  <c r="D545" i="18" s="1"/>
  <c r="D546" i="18" s="1"/>
  <c r="D547" i="18" s="1"/>
  <c r="D548" i="18" s="1"/>
  <c r="D549" i="18" s="1"/>
  <c r="D550" i="18" s="1"/>
  <c r="D551" i="18" s="1"/>
  <c r="D552" i="18" s="1"/>
  <c r="D553" i="18" s="1"/>
  <c r="D554" i="18" s="1"/>
  <c r="D555" i="18" s="1"/>
  <c r="D556" i="18" s="1"/>
  <c r="D557" i="18" s="1"/>
  <c r="D558" i="18" s="1"/>
  <c r="D559" i="18" s="1"/>
  <c r="D560" i="18" s="1"/>
  <c r="D561" i="18" s="1"/>
  <c r="D562" i="18" s="1"/>
  <c r="D563" i="18" s="1"/>
  <c r="D564" i="18" s="1"/>
  <c r="D565" i="18" s="1"/>
  <c r="D566" i="18" s="1"/>
  <c r="D567" i="18" s="1"/>
  <c r="D568" i="18" s="1"/>
  <c r="D569" i="18" s="1"/>
  <c r="D570" i="18" s="1"/>
  <c r="D571" i="18" s="1"/>
  <c r="D572" i="18" s="1"/>
  <c r="D573" i="18" s="1"/>
  <c r="D574" i="18" s="1"/>
  <c r="D575" i="18" s="1"/>
  <c r="D576" i="18" s="1"/>
  <c r="D577" i="18" s="1"/>
  <c r="D578" i="18" s="1"/>
  <c r="D579" i="18" s="1"/>
  <c r="D580" i="18" s="1"/>
  <c r="D581" i="18" s="1"/>
  <c r="D582" i="18" s="1"/>
  <c r="D583" i="18" s="1"/>
  <c r="D584" i="18" s="1"/>
  <c r="D585" i="18" s="1"/>
  <c r="D586" i="18" s="1"/>
  <c r="D587" i="18" s="1"/>
  <c r="D588" i="18" s="1"/>
  <c r="D589" i="18" s="1"/>
  <c r="D590" i="18" s="1"/>
  <c r="D591" i="18" s="1"/>
  <c r="D592" i="18" s="1"/>
  <c r="D593" i="18" s="1"/>
  <c r="D594" i="18" s="1"/>
  <c r="D595" i="18" s="1"/>
  <c r="D596" i="18" s="1"/>
  <c r="D597" i="18" s="1"/>
  <c r="D598" i="18" s="1"/>
  <c r="D599" i="18" s="1"/>
  <c r="D600" i="18" s="1"/>
  <c r="D601" i="18" s="1"/>
  <c r="D602" i="18" s="1"/>
  <c r="D603" i="18" s="1"/>
  <c r="D604" i="18" s="1"/>
  <c r="D605" i="18" s="1"/>
  <c r="D606" i="18" s="1"/>
  <c r="D607" i="18" s="1"/>
  <c r="D608" i="18" s="1"/>
  <c r="D609" i="18" s="1"/>
  <c r="D610" i="18" s="1"/>
  <c r="D611" i="18" s="1"/>
  <c r="D612" i="18" s="1"/>
  <c r="D613" i="18" s="1"/>
  <c r="D614" i="18" s="1"/>
  <c r="D615" i="18" s="1"/>
  <c r="D616" i="18" s="1"/>
  <c r="D617" i="18" s="1"/>
  <c r="D618" i="18" s="1"/>
  <c r="D619" i="18" s="1"/>
  <c r="D620" i="18" s="1"/>
  <c r="D621" i="18" s="1"/>
  <c r="D622" i="18" s="1"/>
  <c r="D623" i="18" s="1"/>
  <c r="D624" i="18" s="1"/>
  <c r="D625" i="18" s="1"/>
  <c r="D626" i="18" s="1"/>
  <c r="D627" i="18" s="1"/>
  <c r="D628" i="18" s="1"/>
  <c r="D629" i="18" s="1"/>
  <c r="D630" i="18" s="1"/>
  <c r="D631" i="18" s="1"/>
  <c r="D632" i="18" s="1"/>
  <c r="D633" i="18" s="1"/>
  <c r="D634" i="18" s="1"/>
  <c r="D635" i="18" s="1"/>
  <c r="D636" i="18" s="1"/>
  <c r="D637" i="18" s="1"/>
  <c r="D638" i="18" s="1"/>
  <c r="D639" i="18" s="1"/>
  <c r="D640" i="18" s="1"/>
  <c r="D641" i="18" s="1"/>
  <c r="D642" i="18" s="1"/>
  <c r="D643" i="18" s="1"/>
  <c r="D644" i="18" s="1"/>
  <c r="D645" i="18" s="1"/>
  <c r="D646" i="18" s="1"/>
  <c r="D647" i="18" s="1"/>
  <c r="D648" i="18" s="1"/>
  <c r="D649" i="18" s="1"/>
  <c r="D650" i="18" s="1"/>
  <c r="D651" i="18" s="1"/>
  <c r="D652" i="18" s="1"/>
  <c r="D653" i="18" s="1"/>
  <c r="D654" i="18" s="1"/>
  <c r="D655" i="18" s="1"/>
  <c r="D656" i="18" s="1"/>
  <c r="D657" i="18" s="1"/>
  <c r="D658" i="18" s="1"/>
  <c r="D659" i="18" s="1"/>
  <c r="D660" i="18" s="1"/>
  <c r="D661" i="18" s="1"/>
  <c r="D662" i="18" s="1"/>
  <c r="D663" i="18" s="1"/>
  <c r="D664" i="18" s="1"/>
  <c r="D665" i="18" s="1"/>
  <c r="D666" i="18" s="1"/>
  <c r="D667" i="18" s="1"/>
  <c r="D668" i="18" s="1"/>
  <c r="D669" i="18" s="1"/>
  <c r="D670" i="18" s="1"/>
  <c r="D671" i="18" s="1"/>
  <c r="D672" i="18" s="1"/>
  <c r="D673" i="18" s="1"/>
  <c r="D674" i="18" s="1"/>
  <c r="D675" i="18" s="1"/>
  <c r="D676" i="18" s="1"/>
  <c r="D677" i="18" s="1"/>
  <c r="D678" i="18" s="1"/>
  <c r="D679" i="18" s="1"/>
  <c r="D680" i="18" s="1"/>
  <c r="D681" i="18" s="1"/>
  <c r="D682" i="18" s="1"/>
  <c r="D683" i="18" s="1"/>
  <c r="D684" i="18" s="1"/>
  <c r="D685" i="18" s="1"/>
  <c r="D686" i="18" s="1"/>
  <c r="D687" i="18" s="1"/>
  <c r="D688" i="18" s="1"/>
  <c r="D689" i="18" s="1"/>
  <c r="D690" i="18" s="1"/>
  <c r="D691" i="18" s="1"/>
  <c r="D692" i="18" s="1"/>
  <c r="D693" i="18" s="1"/>
  <c r="D694" i="18" s="1"/>
  <c r="D695" i="18" s="1"/>
  <c r="D696" i="18" s="1"/>
  <c r="D697" i="18" s="1"/>
  <c r="D698" i="18" s="1"/>
  <c r="D699" i="18" s="1"/>
  <c r="D700" i="18" s="1"/>
  <c r="D701" i="18" s="1"/>
  <c r="D702" i="18" s="1"/>
  <c r="D703" i="18" s="1"/>
  <c r="D704" i="18" s="1"/>
  <c r="D705" i="18" s="1"/>
  <c r="D706" i="18" s="1"/>
  <c r="D707" i="18" s="1"/>
  <c r="D708" i="18" s="1"/>
  <c r="D709" i="18" s="1"/>
  <c r="D710" i="18" s="1"/>
  <c r="D711" i="18" s="1"/>
  <c r="D712" i="18" s="1"/>
  <c r="D713" i="18" s="1"/>
  <c r="D714" i="18" s="1"/>
  <c r="D715" i="18" s="1"/>
  <c r="D716" i="18" s="1"/>
  <c r="D717" i="18" s="1"/>
  <c r="D718" i="18" s="1"/>
  <c r="D719" i="18" s="1"/>
  <c r="D720" i="18" s="1"/>
  <c r="D721" i="18" s="1"/>
  <c r="D722" i="18" s="1"/>
  <c r="D723" i="18" s="1"/>
  <c r="D724" i="18" s="1"/>
  <c r="D725" i="18" s="1"/>
  <c r="D726" i="18" s="1"/>
  <c r="D727" i="18" s="1"/>
  <c r="D728" i="18" s="1"/>
  <c r="D729" i="18" s="1"/>
  <c r="D730" i="18" s="1"/>
  <c r="D731" i="18" s="1"/>
  <c r="D732" i="18" s="1"/>
  <c r="D733" i="18" s="1"/>
  <c r="D734" i="18" s="1"/>
  <c r="D735" i="18" s="1"/>
  <c r="D736" i="18" s="1"/>
  <c r="D737" i="18" s="1"/>
  <c r="D738" i="18" s="1"/>
  <c r="D739" i="18" s="1"/>
  <c r="D740" i="18" s="1"/>
  <c r="D741" i="18" s="1"/>
  <c r="D742" i="18" s="1"/>
  <c r="D743" i="18" s="1"/>
  <c r="D744" i="18" s="1"/>
  <c r="D745" i="18" s="1"/>
  <c r="D746" i="18" s="1"/>
  <c r="D747" i="18" s="1"/>
  <c r="D748" i="18" s="1"/>
  <c r="D749" i="18" s="1"/>
  <c r="D750" i="18" s="1"/>
  <c r="D751" i="18" s="1"/>
  <c r="D752" i="18" s="1"/>
  <c r="D753" i="18" s="1"/>
  <c r="D754" i="18" s="1"/>
  <c r="D755" i="18" s="1"/>
  <c r="D756" i="18" s="1"/>
  <c r="D757" i="18" s="1"/>
  <c r="D758" i="18" s="1"/>
  <c r="D759" i="18" s="1"/>
  <c r="D760" i="18" s="1"/>
  <c r="D761" i="18" s="1"/>
  <c r="D762" i="18" s="1"/>
  <c r="D763" i="18" s="1"/>
  <c r="D764" i="18" s="1"/>
  <c r="D765" i="18" s="1"/>
  <c r="D766" i="18" s="1"/>
  <c r="D767" i="18" s="1"/>
  <c r="D768" i="18" s="1"/>
  <c r="D769" i="18" s="1"/>
  <c r="D770" i="18" s="1"/>
  <c r="D771" i="18" s="1"/>
  <c r="D772" i="18" s="1"/>
  <c r="D773" i="18" s="1"/>
  <c r="D774" i="18" s="1"/>
  <c r="D775" i="18" s="1"/>
  <c r="D776" i="18" s="1"/>
  <c r="D777" i="18" s="1"/>
  <c r="D778" i="18" s="1"/>
  <c r="D779" i="18" s="1"/>
  <c r="D780" i="18" s="1"/>
  <c r="D781" i="18" s="1"/>
  <c r="D782" i="18" s="1"/>
  <c r="D783" i="18" s="1"/>
  <c r="D784" i="18" s="1"/>
  <c r="D785" i="18" s="1"/>
  <c r="D786" i="18" s="1"/>
  <c r="D787" i="18" s="1"/>
  <c r="D788" i="18" s="1"/>
  <c r="D789" i="18" s="1"/>
  <c r="D790" i="18" s="1"/>
  <c r="D791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C516" i="18" s="1"/>
  <c r="C517" i="18" s="1"/>
  <c r="C518" i="18" s="1"/>
  <c r="C519" i="18" s="1"/>
  <c r="C520" i="18" s="1"/>
  <c r="C521" i="18" s="1"/>
  <c r="C522" i="18" s="1"/>
  <c r="C523" i="18" s="1"/>
  <c r="C524" i="18" s="1"/>
  <c r="C525" i="18" s="1"/>
  <c r="C526" i="18" s="1"/>
  <c r="C527" i="18" s="1"/>
  <c r="C528" i="18" s="1"/>
  <c r="C529" i="18" s="1"/>
  <c r="C530" i="18" s="1"/>
  <c r="C531" i="18" s="1"/>
  <c r="C532" i="18" s="1"/>
  <c r="C533" i="18" s="1"/>
  <c r="C534" i="18" s="1"/>
  <c r="C535" i="18" s="1"/>
  <c r="C536" i="18" s="1"/>
  <c r="C537" i="18" s="1"/>
  <c r="C538" i="18" s="1"/>
  <c r="C539" i="18" s="1"/>
  <c r="C540" i="18" s="1"/>
  <c r="C541" i="18" s="1"/>
  <c r="C542" i="18" s="1"/>
  <c r="C543" i="18" s="1"/>
  <c r="C544" i="18" s="1"/>
  <c r="C545" i="18" s="1"/>
  <c r="C546" i="18" s="1"/>
  <c r="C547" i="18" s="1"/>
  <c r="C548" i="18" s="1"/>
  <c r="C549" i="18" s="1"/>
  <c r="C550" i="18" s="1"/>
  <c r="C551" i="18" s="1"/>
  <c r="C552" i="18" s="1"/>
  <c r="C553" i="18" s="1"/>
  <c r="C554" i="18" s="1"/>
  <c r="C555" i="18" s="1"/>
  <c r="C556" i="18" s="1"/>
  <c r="C557" i="18" s="1"/>
  <c r="C558" i="18" s="1"/>
  <c r="C559" i="18" s="1"/>
  <c r="C560" i="18" s="1"/>
  <c r="C561" i="18" s="1"/>
  <c r="C562" i="18" s="1"/>
  <c r="C563" i="18" s="1"/>
  <c r="C564" i="18" s="1"/>
  <c r="C565" i="18" s="1"/>
  <c r="C566" i="18" s="1"/>
  <c r="C567" i="18" s="1"/>
  <c r="C568" i="18" s="1"/>
  <c r="C569" i="18" s="1"/>
  <c r="C570" i="18" s="1"/>
  <c r="C571" i="18" s="1"/>
  <c r="C572" i="18" s="1"/>
  <c r="C573" i="18" s="1"/>
  <c r="C574" i="18" s="1"/>
  <c r="C575" i="18" s="1"/>
  <c r="C576" i="18" s="1"/>
  <c r="C577" i="18" s="1"/>
  <c r="C578" i="18" s="1"/>
  <c r="C579" i="18" s="1"/>
  <c r="C580" i="18" s="1"/>
  <c r="C581" i="18" s="1"/>
  <c r="C582" i="18" s="1"/>
  <c r="C583" i="18" s="1"/>
  <c r="C584" i="18" s="1"/>
  <c r="C585" i="18" s="1"/>
  <c r="C586" i="18" s="1"/>
  <c r="C587" i="18" s="1"/>
  <c r="C588" i="18" s="1"/>
  <c r="C589" i="18" s="1"/>
  <c r="C590" i="18" s="1"/>
  <c r="C591" i="18" s="1"/>
  <c r="C592" i="18" s="1"/>
  <c r="C593" i="18" s="1"/>
  <c r="C594" i="18" s="1"/>
  <c r="C595" i="18" s="1"/>
  <c r="C596" i="18" s="1"/>
  <c r="C597" i="18" s="1"/>
  <c r="C598" i="18" s="1"/>
  <c r="C599" i="18" s="1"/>
  <c r="C600" i="18" s="1"/>
  <c r="C601" i="18" s="1"/>
  <c r="C602" i="18" s="1"/>
  <c r="C603" i="18" s="1"/>
  <c r="C604" i="18" s="1"/>
  <c r="C605" i="18" s="1"/>
  <c r="C606" i="18" s="1"/>
  <c r="C607" i="18" s="1"/>
  <c r="C608" i="18" s="1"/>
  <c r="C609" i="18" s="1"/>
  <c r="C610" i="18" s="1"/>
  <c r="C611" i="18" s="1"/>
  <c r="C612" i="18" s="1"/>
  <c r="C613" i="18" s="1"/>
  <c r="C614" i="18" s="1"/>
  <c r="C615" i="18" s="1"/>
  <c r="C616" i="18" s="1"/>
  <c r="C617" i="18" s="1"/>
  <c r="C618" i="18" s="1"/>
  <c r="C619" i="18" s="1"/>
  <c r="C620" i="18" s="1"/>
  <c r="C621" i="18" s="1"/>
  <c r="C622" i="18" s="1"/>
  <c r="C623" i="18" s="1"/>
  <c r="C624" i="18" s="1"/>
  <c r="C625" i="18" s="1"/>
  <c r="C626" i="18" s="1"/>
  <c r="C627" i="18" s="1"/>
  <c r="C628" i="18" s="1"/>
  <c r="C629" i="18" s="1"/>
  <c r="C630" i="18" s="1"/>
  <c r="C631" i="18" s="1"/>
  <c r="C632" i="18" s="1"/>
  <c r="C633" i="18" s="1"/>
  <c r="C634" i="18" s="1"/>
  <c r="C635" i="18" s="1"/>
  <c r="C636" i="18" s="1"/>
  <c r="C637" i="18" s="1"/>
  <c r="C638" i="18" s="1"/>
  <c r="C639" i="18" s="1"/>
  <c r="C640" i="18" s="1"/>
  <c r="C641" i="18" s="1"/>
  <c r="C642" i="18" s="1"/>
  <c r="C643" i="18" s="1"/>
  <c r="C644" i="18" s="1"/>
  <c r="C645" i="18" s="1"/>
  <c r="C646" i="18" s="1"/>
  <c r="C647" i="18" s="1"/>
  <c r="C648" i="18" s="1"/>
  <c r="C649" i="18" s="1"/>
  <c r="C650" i="18" s="1"/>
  <c r="C651" i="18" s="1"/>
  <c r="C652" i="18" s="1"/>
  <c r="C653" i="18" s="1"/>
  <c r="C654" i="18" s="1"/>
  <c r="C655" i="18" s="1"/>
  <c r="C656" i="18" s="1"/>
  <c r="C657" i="18" s="1"/>
  <c r="C658" i="18" s="1"/>
  <c r="C659" i="18" s="1"/>
  <c r="C660" i="18" s="1"/>
  <c r="C661" i="18" s="1"/>
  <c r="C662" i="18" s="1"/>
  <c r="C663" i="18" s="1"/>
  <c r="C664" i="18" s="1"/>
  <c r="C665" i="18" s="1"/>
  <c r="C666" i="18" s="1"/>
  <c r="C667" i="18" s="1"/>
  <c r="C668" i="18" s="1"/>
  <c r="C669" i="18" s="1"/>
  <c r="C670" i="18" s="1"/>
  <c r="C671" i="18" s="1"/>
  <c r="C672" i="18" s="1"/>
  <c r="C673" i="18" s="1"/>
  <c r="C674" i="18" s="1"/>
  <c r="C675" i="18" s="1"/>
  <c r="C676" i="18" s="1"/>
  <c r="C677" i="18" s="1"/>
  <c r="C678" i="18" s="1"/>
  <c r="C679" i="18" s="1"/>
  <c r="C680" i="18" s="1"/>
  <c r="C681" i="18" s="1"/>
  <c r="C682" i="18" s="1"/>
  <c r="C683" i="18" s="1"/>
  <c r="C684" i="18" s="1"/>
  <c r="C685" i="18" s="1"/>
  <c r="C686" i="18" s="1"/>
  <c r="C687" i="18" s="1"/>
  <c r="C688" i="18" s="1"/>
  <c r="C689" i="18" s="1"/>
  <c r="C690" i="18" s="1"/>
  <c r="C691" i="18" s="1"/>
  <c r="C692" i="18" s="1"/>
  <c r="C693" i="18" s="1"/>
  <c r="C694" i="18" s="1"/>
  <c r="C695" i="18" s="1"/>
  <c r="C696" i="18" s="1"/>
  <c r="C697" i="18" s="1"/>
  <c r="C698" i="18" s="1"/>
  <c r="C699" i="18" s="1"/>
  <c r="C700" i="18" s="1"/>
  <c r="C701" i="18" s="1"/>
  <c r="C702" i="18" s="1"/>
  <c r="C703" i="18" s="1"/>
  <c r="C704" i="18" s="1"/>
  <c r="C705" i="18" s="1"/>
  <c r="C706" i="18" s="1"/>
  <c r="C707" i="18" s="1"/>
  <c r="C708" i="18" s="1"/>
  <c r="C709" i="18" s="1"/>
  <c r="C710" i="18" s="1"/>
  <c r="C711" i="18" s="1"/>
  <c r="C712" i="18" s="1"/>
  <c r="C713" i="18" s="1"/>
  <c r="C714" i="18" s="1"/>
  <c r="C715" i="18" s="1"/>
  <c r="C716" i="18" s="1"/>
  <c r="C717" i="18" s="1"/>
  <c r="C718" i="18" s="1"/>
  <c r="C719" i="18" s="1"/>
  <c r="C720" i="18" s="1"/>
  <c r="C721" i="18" s="1"/>
  <c r="C722" i="18" s="1"/>
  <c r="C723" i="18" s="1"/>
  <c r="C724" i="18" s="1"/>
  <c r="C725" i="18" s="1"/>
  <c r="C726" i="18" s="1"/>
  <c r="C727" i="18" s="1"/>
  <c r="C728" i="18" s="1"/>
  <c r="C729" i="18" s="1"/>
  <c r="C730" i="18" s="1"/>
  <c r="C731" i="18" s="1"/>
  <c r="C732" i="18" s="1"/>
  <c r="C733" i="18" s="1"/>
  <c r="C734" i="18" s="1"/>
  <c r="C735" i="18" s="1"/>
  <c r="C736" i="18" s="1"/>
  <c r="C737" i="18" s="1"/>
  <c r="C738" i="18" s="1"/>
  <c r="C739" i="18" s="1"/>
  <c r="C740" i="18" s="1"/>
  <c r="C741" i="18" s="1"/>
  <c r="C742" i="18" s="1"/>
  <c r="C743" i="18" s="1"/>
  <c r="C744" i="18" s="1"/>
  <c r="C745" i="18" s="1"/>
  <c r="C746" i="18" s="1"/>
  <c r="C747" i="18" s="1"/>
  <c r="C748" i="18" s="1"/>
  <c r="C749" i="18" s="1"/>
  <c r="C750" i="18" s="1"/>
  <c r="C751" i="18" s="1"/>
  <c r="C752" i="18" s="1"/>
  <c r="C753" i="18" s="1"/>
  <c r="C754" i="18" s="1"/>
  <c r="C755" i="18" s="1"/>
  <c r="C756" i="18" s="1"/>
  <c r="C757" i="18" s="1"/>
  <c r="C758" i="18" s="1"/>
  <c r="C759" i="18" s="1"/>
  <c r="C760" i="18" s="1"/>
  <c r="C761" i="18" s="1"/>
  <c r="C762" i="18" s="1"/>
  <c r="C763" i="18" s="1"/>
  <c r="C764" i="18" s="1"/>
  <c r="C765" i="18" s="1"/>
  <c r="C766" i="18" s="1"/>
  <c r="C767" i="18" s="1"/>
  <c r="C768" i="18" s="1"/>
  <c r="C769" i="18" s="1"/>
  <c r="C770" i="18" s="1"/>
  <c r="C771" i="18" s="1"/>
  <c r="C772" i="18" s="1"/>
  <c r="C773" i="18" s="1"/>
  <c r="C774" i="18" s="1"/>
  <c r="C775" i="18" s="1"/>
  <c r="C776" i="18" s="1"/>
  <c r="C777" i="18" s="1"/>
  <c r="C778" i="18" s="1"/>
  <c r="C779" i="18" s="1"/>
  <c r="C780" i="18" s="1"/>
  <c r="C781" i="18" s="1"/>
  <c r="C782" i="18" s="1"/>
  <c r="C783" i="18" s="1"/>
  <c r="C784" i="18" s="1"/>
  <c r="C785" i="18" s="1"/>
  <c r="C786" i="18" s="1"/>
  <c r="C787" i="18" s="1"/>
  <c r="C788" i="18" s="1"/>
  <c r="C789" i="18" s="1"/>
  <c r="C790" i="18" s="1"/>
  <c r="C79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83" i="18" s="1"/>
  <c r="B84" i="18" s="1"/>
  <c r="B85" i="18" s="1"/>
  <c r="B86" i="18" s="1"/>
  <c r="B87" i="18" s="1"/>
  <c r="B88" i="18" s="1"/>
  <c r="B89" i="18" s="1"/>
  <c r="B90" i="18" s="1"/>
  <c r="B91" i="18" s="1"/>
  <c r="B92" i="18" s="1"/>
  <c r="B93" i="18" s="1"/>
  <c r="B94" i="18" s="1"/>
  <c r="B95" i="18" s="1"/>
  <c r="B96" i="18" s="1"/>
  <c r="B97" i="18" s="1"/>
  <c r="B98" i="18" s="1"/>
  <c r="B99" i="18" s="1"/>
  <c r="B100" i="18" s="1"/>
  <c r="B101" i="18" s="1"/>
  <c r="B102" i="18" s="1"/>
  <c r="B103" i="18" s="1"/>
  <c r="B104" i="18" s="1"/>
  <c r="B105" i="18" s="1"/>
  <c r="B106" i="18" s="1"/>
  <c r="B107" i="18" s="1"/>
  <c r="B108" i="18" s="1"/>
  <c r="B109" i="18" s="1"/>
  <c r="B110" i="18" s="1"/>
  <c r="B111" i="18" s="1"/>
  <c r="B112" i="18" s="1"/>
  <c r="B113" i="18" s="1"/>
  <c r="B114" i="18" s="1"/>
  <c r="B115" i="18" s="1"/>
  <c r="B116" i="18" s="1"/>
  <c r="B117" i="18" s="1"/>
  <c r="B118" i="18" s="1"/>
  <c r="B119" i="18" s="1"/>
  <c r="B120" i="18" s="1"/>
  <c r="B121" i="18" s="1"/>
  <c r="B122" i="18" s="1"/>
  <c r="B123" i="18" s="1"/>
  <c r="B124" i="18" s="1"/>
  <c r="B125" i="18" s="1"/>
  <c r="B126" i="18" s="1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B137" i="18" s="1"/>
  <c r="B138" i="18" s="1"/>
  <c r="B139" i="18" s="1"/>
  <c r="B140" i="18" s="1"/>
  <c r="B141" i="18" s="1"/>
  <c r="B142" i="18" s="1"/>
  <c r="B143" i="18" s="1"/>
  <c r="B144" i="18" s="1"/>
  <c r="B145" i="18" s="1"/>
  <c r="B146" i="18" s="1"/>
  <c r="B147" i="18" s="1"/>
  <c r="B148" i="18" s="1"/>
  <c r="B149" i="18" s="1"/>
  <c r="B150" i="18" s="1"/>
  <c r="B151" i="18" s="1"/>
  <c r="B152" i="18" s="1"/>
  <c r="B153" i="18" s="1"/>
  <c r="B154" i="18" s="1"/>
  <c r="B155" i="18" s="1"/>
  <c r="B156" i="18" s="1"/>
  <c r="B157" i="18" s="1"/>
  <c r="B158" i="18" s="1"/>
  <c r="B159" i="18" s="1"/>
  <c r="B160" i="18" s="1"/>
  <c r="B161" i="18" s="1"/>
  <c r="B162" i="18" s="1"/>
  <c r="B163" i="18" s="1"/>
  <c r="B164" i="18" s="1"/>
  <c r="B165" i="18" s="1"/>
  <c r="B166" i="18" s="1"/>
  <c r="B167" i="18" s="1"/>
  <c r="B168" i="18" s="1"/>
  <c r="B169" i="18" s="1"/>
  <c r="B170" i="18" s="1"/>
  <c r="B171" i="18" s="1"/>
  <c r="B172" i="18" s="1"/>
  <c r="B173" i="18" s="1"/>
  <c r="B174" i="18" s="1"/>
  <c r="B175" i="18" s="1"/>
  <c r="B176" i="18" s="1"/>
  <c r="B177" i="18" s="1"/>
  <c r="B178" i="18" s="1"/>
  <c r="B179" i="18" s="1"/>
  <c r="B180" i="18" s="1"/>
  <c r="B181" i="18" s="1"/>
  <c r="B182" i="18" s="1"/>
  <c r="B183" i="18" s="1"/>
  <c r="B184" i="18" s="1"/>
  <c r="B185" i="18" s="1"/>
  <c r="B186" i="18" s="1"/>
  <c r="B187" i="18" s="1"/>
  <c r="B188" i="18" s="1"/>
  <c r="B189" i="18" s="1"/>
  <c r="B190" i="18" s="1"/>
  <c r="B191" i="18" s="1"/>
  <c r="B192" i="18" s="1"/>
  <c r="B193" i="18" s="1"/>
  <c r="B194" i="18" s="1"/>
  <c r="B195" i="18" s="1"/>
  <c r="B196" i="18" s="1"/>
  <c r="B197" i="18" s="1"/>
  <c r="B198" i="18" s="1"/>
  <c r="B199" i="18" s="1"/>
  <c r="B200" i="18" s="1"/>
  <c r="B201" i="18" s="1"/>
  <c r="B202" i="18" s="1"/>
  <c r="B203" i="18" s="1"/>
  <c r="B204" i="18" s="1"/>
  <c r="B205" i="18" s="1"/>
  <c r="B206" i="18" s="1"/>
  <c r="B207" i="18" s="1"/>
  <c r="B208" i="18" s="1"/>
  <c r="B209" i="18" s="1"/>
  <c r="B210" i="18" s="1"/>
  <c r="B211" i="18" s="1"/>
  <c r="B212" i="18" s="1"/>
  <c r="B213" i="18" s="1"/>
  <c r="B214" i="18" s="1"/>
  <c r="B215" i="18" s="1"/>
  <c r="B216" i="18" s="1"/>
  <c r="B217" i="18" s="1"/>
  <c r="B218" i="18" s="1"/>
  <c r="B219" i="18" s="1"/>
  <c r="B220" i="18" s="1"/>
  <c r="B221" i="18" s="1"/>
  <c r="B222" i="18" s="1"/>
  <c r="B223" i="18" s="1"/>
  <c r="B224" i="18" s="1"/>
  <c r="B225" i="18" s="1"/>
  <c r="B226" i="18" s="1"/>
  <c r="B227" i="18" s="1"/>
  <c r="B228" i="18" s="1"/>
  <c r="B229" i="18" s="1"/>
  <c r="B230" i="18" s="1"/>
  <c r="B231" i="18" s="1"/>
  <c r="B232" i="18" s="1"/>
  <c r="B233" i="18" s="1"/>
  <c r="B234" i="18" s="1"/>
  <c r="B235" i="18" s="1"/>
  <c r="B236" i="18" s="1"/>
  <c r="B237" i="18" s="1"/>
  <c r="B238" i="18" s="1"/>
  <c r="B239" i="18" s="1"/>
  <c r="B240" i="18" s="1"/>
  <c r="B241" i="18" s="1"/>
  <c r="B242" i="18" s="1"/>
  <c r="B243" i="18" s="1"/>
  <c r="B244" i="18" s="1"/>
  <c r="B245" i="18" s="1"/>
  <c r="B246" i="18" s="1"/>
  <c r="B247" i="18" s="1"/>
  <c r="B248" i="18" s="1"/>
  <c r="B249" i="18" s="1"/>
  <c r="B250" i="18" s="1"/>
  <c r="B251" i="18" s="1"/>
  <c r="B252" i="18" s="1"/>
  <c r="B253" i="18" s="1"/>
  <c r="B254" i="18" s="1"/>
  <c r="B255" i="18" s="1"/>
  <c r="B256" i="18" s="1"/>
  <c r="B257" i="18" s="1"/>
  <c r="B258" i="18" s="1"/>
  <c r="B259" i="18" s="1"/>
  <c r="B260" i="18" s="1"/>
  <c r="B261" i="18" s="1"/>
  <c r="B262" i="18" s="1"/>
  <c r="B263" i="18" s="1"/>
  <c r="B264" i="18" s="1"/>
  <c r="B265" i="18" s="1"/>
  <c r="B266" i="18" s="1"/>
  <c r="B267" i="18" s="1"/>
  <c r="B268" i="18" s="1"/>
  <c r="B269" i="18" s="1"/>
  <c r="B270" i="18" s="1"/>
  <c r="B271" i="18" s="1"/>
  <c r="B272" i="18" s="1"/>
  <c r="B273" i="18" s="1"/>
  <c r="B274" i="18" s="1"/>
  <c r="B275" i="18" s="1"/>
  <c r="B276" i="18" s="1"/>
  <c r="B277" i="18" s="1"/>
  <c r="B278" i="18" s="1"/>
  <c r="B279" i="18" s="1"/>
  <c r="B280" i="18" s="1"/>
  <c r="B281" i="18" s="1"/>
  <c r="B282" i="18" s="1"/>
  <c r="B283" i="18" s="1"/>
  <c r="B284" i="18" s="1"/>
  <c r="B285" i="18" s="1"/>
  <c r="B286" i="18" s="1"/>
  <c r="B287" i="18" s="1"/>
  <c r="B288" i="18" s="1"/>
  <c r="B289" i="18" s="1"/>
  <c r="B290" i="18" s="1"/>
  <c r="B291" i="18" s="1"/>
  <c r="B292" i="18" s="1"/>
  <c r="B293" i="18" s="1"/>
  <c r="B294" i="18" s="1"/>
  <c r="B295" i="18" s="1"/>
  <c r="B296" i="18" s="1"/>
  <c r="B297" i="18" s="1"/>
  <c r="B298" i="18" s="1"/>
  <c r="B299" i="18" s="1"/>
  <c r="B300" i="18" s="1"/>
  <c r="B301" i="18" s="1"/>
  <c r="B302" i="18" s="1"/>
  <c r="B303" i="18" s="1"/>
  <c r="B304" i="18" s="1"/>
  <c r="B305" i="18" s="1"/>
  <c r="B306" i="18" s="1"/>
  <c r="B307" i="18" s="1"/>
  <c r="B308" i="18" s="1"/>
  <c r="B309" i="18" s="1"/>
  <c r="B310" i="18" s="1"/>
  <c r="B311" i="18" s="1"/>
  <c r="B312" i="18" s="1"/>
  <c r="B313" i="18" s="1"/>
  <c r="B314" i="18" s="1"/>
  <c r="B315" i="18" s="1"/>
  <c r="B316" i="18" s="1"/>
  <c r="B317" i="18" s="1"/>
  <c r="B318" i="18" s="1"/>
  <c r="B319" i="18" s="1"/>
  <c r="B320" i="18" s="1"/>
  <c r="B321" i="18" s="1"/>
  <c r="B322" i="18" s="1"/>
  <c r="B323" i="18" s="1"/>
  <c r="B324" i="18" s="1"/>
  <c r="B325" i="18" s="1"/>
  <c r="B326" i="18" s="1"/>
  <c r="B327" i="18" s="1"/>
  <c r="B328" i="18" s="1"/>
  <c r="B329" i="18" s="1"/>
  <c r="B330" i="18" s="1"/>
  <c r="B331" i="18" s="1"/>
  <c r="B332" i="18" s="1"/>
  <c r="B333" i="18" s="1"/>
  <c r="B334" i="18" s="1"/>
  <c r="B335" i="18" s="1"/>
  <c r="B336" i="18" s="1"/>
  <c r="B337" i="18" s="1"/>
  <c r="B338" i="18" s="1"/>
  <c r="B339" i="18" s="1"/>
  <c r="B340" i="18" s="1"/>
  <c r="B341" i="18" s="1"/>
  <c r="B342" i="18" s="1"/>
  <c r="B343" i="18" s="1"/>
  <c r="B344" i="18" s="1"/>
  <c r="B345" i="18" s="1"/>
  <c r="B346" i="18" s="1"/>
  <c r="B347" i="18" s="1"/>
  <c r="B348" i="18" s="1"/>
  <c r="B349" i="18" s="1"/>
  <c r="B350" i="18" s="1"/>
  <c r="B351" i="18" s="1"/>
  <c r="B352" i="18" s="1"/>
  <c r="B353" i="18" s="1"/>
  <c r="B354" i="18" s="1"/>
  <c r="B355" i="18" s="1"/>
  <c r="B356" i="18" s="1"/>
  <c r="B357" i="18" s="1"/>
  <c r="B358" i="18" s="1"/>
  <c r="B359" i="18" s="1"/>
  <c r="B360" i="18" s="1"/>
  <c r="B361" i="18" s="1"/>
  <c r="B362" i="18" s="1"/>
  <c r="B363" i="18" s="1"/>
  <c r="B364" i="18" s="1"/>
  <c r="B365" i="18" s="1"/>
  <c r="B366" i="18" s="1"/>
  <c r="B367" i="18" s="1"/>
  <c r="B368" i="18" s="1"/>
  <c r="B369" i="18" s="1"/>
  <c r="B370" i="18" s="1"/>
  <c r="B371" i="18" s="1"/>
  <c r="B372" i="18" s="1"/>
  <c r="B373" i="18" s="1"/>
  <c r="B374" i="18" s="1"/>
  <c r="B375" i="18" s="1"/>
  <c r="B376" i="18" s="1"/>
  <c r="B377" i="18" s="1"/>
  <c r="B378" i="18" s="1"/>
  <c r="B379" i="18" s="1"/>
  <c r="B380" i="18" s="1"/>
  <c r="B381" i="18" s="1"/>
  <c r="B382" i="18" s="1"/>
  <c r="B383" i="18" s="1"/>
  <c r="B384" i="18" s="1"/>
  <c r="B385" i="18" s="1"/>
  <c r="B386" i="18" s="1"/>
  <c r="B387" i="18" s="1"/>
  <c r="B388" i="18" s="1"/>
  <c r="B389" i="18" s="1"/>
  <c r="B390" i="18" s="1"/>
  <c r="B391" i="18" s="1"/>
  <c r="B392" i="18" s="1"/>
  <c r="B393" i="18" s="1"/>
  <c r="B394" i="18" s="1"/>
  <c r="B395" i="18" s="1"/>
  <c r="B396" i="18" s="1"/>
  <c r="B397" i="18" s="1"/>
  <c r="B398" i="18" s="1"/>
  <c r="B399" i="18" s="1"/>
  <c r="B400" i="18" s="1"/>
  <c r="B401" i="18" s="1"/>
  <c r="B402" i="18" s="1"/>
  <c r="B403" i="18" s="1"/>
  <c r="B404" i="18" s="1"/>
  <c r="B405" i="18" s="1"/>
  <c r="B406" i="18" s="1"/>
  <c r="B407" i="18" s="1"/>
  <c r="B408" i="18" s="1"/>
  <c r="B409" i="18" s="1"/>
  <c r="B410" i="18" s="1"/>
  <c r="B411" i="18" s="1"/>
  <c r="B412" i="18" s="1"/>
  <c r="B413" i="18" s="1"/>
  <c r="B414" i="18" s="1"/>
  <c r="B415" i="18" s="1"/>
  <c r="B416" i="18" s="1"/>
  <c r="B417" i="18" s="1"/>
  <c r="B418" i="18" s="1"/>
  <c r="B419" i="18" s="1"/>
  <c r="B420" i="18" s="1"/>
  <c r="B421" i="18" s="1"/>
  <c r="B422" i="18" s="1"/>
  <c r="B423" i="18" s="1"/>
  <c r="B424" i="18" s="1"/>
  <c r="B425" i="18" s="1"/>
  <c r="B426" i="18" s="1"/>
  <c r="B427" i="18" s="1"/>
  <c r="B428" i="18" s="1"/>
  <c r="B429" i="18" s="1"/>
  <c r="B430" i="18" s="1"/>
  <c r="B431" i="18" s="1"/>
  <c r="B432" i="18" s="1"/>
  <c r="B433" i="18" s="1"/>
  <c r="B434" i="18" s="1"/>
  <c r="B435" i="18" s="1"/>
  <c r="B436" i="18" s="1"/>
  <c r="B437" i="18" s="1"/>
  <c r="B438" i="18" s="1"/>
  <c r="B439" i="18" s="1"/>
  <c r="B440" i="18" s="1"/>
  <c r="B441" i="18" s="1"/>
  <c r="B442" i="18" s="1"/>
  <c r="B443" i="18" s="1"/>
  <c r="B444" i="18" s="1"/>
  <c r="B445" i="18" s="1"/>
  <c r="B446" i="18" s="1"/>
  <c r="B447" i="18" s="1"/>
  <c r="B448" i="18" s="1"/>
  <c r="B449" i="18" s="1"/>
  <c r="B450" i="18" s="1"/>
  <c r="B451" i="18" s="1"/>
  <c r="B452" i="18" s="1"/>
  <c r="B453" i="18" s="1"/>
  <c r="B454" i="18" s="1"/>
  <c r="B455" i="18" s="1"/>
  <c r="B456" i="18" s="1"/>
  <c r="B457" i="18" s="1"/>
  <c r="B458" i="18" s="1"/>
  <c r="B459" i="18" s="1"/>
  <c r="B460" i="18" s="1"/>
  <c r="B461" i="18" s="1"/>
  <c r="B462" i="18" s="1"/>
  <c r="B463" i="18" s="1"/>
  <c r="B464" i="18" s="1"/>
  <c r="B465" i="18" s="1"/>
  <c r="B466" i="18" s="1"/>
  <c r="B467" i="18" s="1"/>
  <c r="B468" i="18" s="1"/>
  <c r="B469" i="18" s="1"/>
  <c r="B470" i="18" s="1"/>
  <c r="B471" i="18" s="1"/>
  <c r="B472" i="18" s="1"/>
  <c r="B473" i="18" s="1"/>
  <c r="B474" i="18" s="1"/>
  <c r="B475" i="18" s="1"/>
  <c r="B476" i="18" s="1"/>
  <c r="B477" i="18" s="1"/>
  <c r="B478" i="18" s="1"/>
  <c r="B479" i="18" s="1"/>
  <c r="B480" i="18" s="1"/>
  <c r="B481" i="18" s="1"/>
  <c r="B482" i="18" s="1"/>
  <c r="B483" i="18" s="1"/>
  <c r="B484" i="18" s="1"/>
  <c r="B485" i="18" s="1"/>
  <c r="B486" i="18" s="1"/>
  <c r="B487" i="18" s="1"/>
  <c r="B488" i="18" s="1"/>
  <c r="B489" i="18" s="1"/>
  <c r="B490" i="18" s="1"/>
  <c r="B491" i="18" s="1"/>
  <c r="B492" i="18" s="1"/>
  <c r="B493" i="18" s="1"/>
  <c r="B494" i="18" s="1"/>
  <c r="B495" i="18" s="1"/>
  <c r="B496" i="18" s="1"/>
  <c r="B497" i="18" s="1"/>
  <c r="B498" i="18" s="1"/>
  <c r="B499" i="18" s="1"/>
  <c r="B500" i="18" s="1"/>
  <c r="B501" i="18" s="1"/>
  <c r="B502" i="18" s="1"/>
  <c r="B503" i="18" s="1"/>
  <c r="B504" i="18" s="1"/>
  <c r="B505" i="18" s="1"/>
  <c r="B506" i="18" s="1"/>
  <c r="B507" i="18" s="1"/>
  <c r="B508" i="18" s="1"/>
  <c r="B509" i="18" s="1"/>
  <c r="B510" i="18" s="1"/>
  <c r="B511" i="18" s="1"/>
  <c r="B512" i="18" s="1"/>
  <c r="B513" i="18" s="1"/>
  <c r="B514" i="18" s="1"/>
  <c r="B515" i="18" s="1"/>
  <c r="B516" i="18" s="1"/>
  <c r="B517" i="18" s="1"/>
  <c r="B518" i="18" s="1"/>
  <c r="B519" i="18" s="1"/>
  <c r="B520" i="18" s="1"/>
  <c r="B521" i="18" s="1"/>
  <c r="B522" i="18" s="1"/>
  <c r="B523" i="18" s="1"/>
  <c r="B524" i="18" s="1"/>
  <c r="B525" i="18" s="1"/>
  <c r="B526" i="18" s="1"/>
  <c r="B527" i="18" s="1"/>
  <c r="B528" i="18" s="1"/>
  <c r="B529" i="18" s="1"/>
  <c r="B530" i="18" s="1"/>
  <c r="B531" i="18" s="1"/>
  <c r="B532" i="18" s="1"/>
  <c r="B533" i="18" s="1"/>
  <c r="B534" i="18" s="1"/>
  <c r="B535" i="18" s="1"/>
  <c r="B536" i="18" s="1"/>
  <c r="B537" i="18" s="1"/>
  <c r="B538" i="18" s="1"/>
  <c r="B539" i="18" s="1"/>
  <c r="B540" i="18" s="1"/>
  <c r="B541" i="18" s="1"/>
  <c r="B542" i="18" s="1"/>
  <c r="B543" i="18" s="1"/>
  <c r="B544" i="18" s="1"/>
  <c r="B545" i="18" s="1"/>
  <c r="B546" i="18" s="1"/>
  <c r="B547" i="18" s="1"/>
  <c r="B548" i="18" s="1"/>
  <c r="B549" i="18" s="1"/>
  <c r="B550" i="18" s="1"/>
  <c r="B551" i="18" s="1"/>
  <c r="B552" i="18" s="1"/>
  <c r="B553" i="18" s="1"/>
  <c r="B554" i="18" s="1"/>
  <c r="B555" i="18" s="1"/>
  <c r="B556" i="18" s="1"/>
  <c r="B557" i="18" s="1"/>
  <c r="B558" i="18" s="1"/>
  <c r="B559" i="18" s="1"/>
  <c r="B560" i="18" s="1"/>
  <c r="B561" i="18" s="1"/>
  <c r="B562" i="18" s="1"/>
  <c r="B563" i="18" s="1"/>
  <c r="B564" i="18" s="1"/>
  <c r="B565" i="18" s="1"/>
  <c r="B566" i="18" s="1"/>
  <c r="B567" i="18" s="1"/>
  <c r="B568" i="18" s="1"/>
  <c r="B569" i="18" s="1"/>
  <c r="B570" i="18" s="1"/>
  <c r="B571" i="18" s="1"/>
  <c r="B572" i="18" s="1"/>
  <c r="B573" i="18" s="1"/>
  <c r="B574" i="18" s="1"/>
  <c r="B575" i="18" s="1"/>
  <c r="B576" i="18" s="1"/>
  <c r="B577" i="18" s="1"/>
  <c r="B578" i="18" s="1"/>
  <c r="B579" i="18" s="1"/>
  <c r="B580" i="18" s="1"/>
  <c r="B581" i="18" s="1"/>
  <c r="B582" i="18" s="1"/>
  <c r="B583" i="18" s="1"/>
  <c r="B584" i="18" s="1"/>
  <c r="B585" i="18" s="1"/>
  <c r="B586" i="18" s="1"/>
  <c r="B587" i="18" s="1"/>
  <c r="B588" i="18" s="1"/>
  <c r="B589" i="18" s="1"/>
  <c r="B590" i="18" s="1"/>
  <c r="B591" i="18" s="1"/>
  <c r="B592" i="18" s="1"/>
  <c r="B593" i="18" s="1"/>
  <c r="B594" i="18" s="1"/>
  <c r="B595" i="18" s="1"/>
  <c r="B596" i="18" s="1"/>
  <c r="B597" i="18" s="1"/>
  <c r="B598" i="18" s="1"/>
  <c r="B599" i="18" s="1"/>
  <c r="B600" i="18" s="1"/>
  <c r="B601" i="18" s="1"/>
  <c r="B602" i="18" s="1"/>
  <c r="B603" i="18" s="1"/>
  <c r="B604" i="18" s="1"/>
  <c r="B605" i="18" s="1"/>
  <c r="B606" i="18" s="1"/>
  <c r="B607" i="18" s="1"/>
  <c r="B608" i="18" s="1"/>
  <c r="B609" i="18" s="1"/>
  <c r="B610" i="18" s="1"/>
  <c r="B611" i="18" s="1"/>
  <c r="B612" i="18" s="1"/>
  <c r="B613" i="18" s="1"/>
  <c r="B614" i="18" s="1"/>
  <c r="B615" i="18" s="1"/>
  <c r="B616" i="18" s="1"/>
  <c r="B617" i="18" s="1"/>
  <c r="B618" i="18" s="1"/>
  <c r="B619" i="18" s="1"/>
  <c r="B620" i="18" s="1"/>
  <c r="B621" i="18" s="1"/>
  <c r="B622" i="18" s="1"/>
  <c r="B623" i="18" s="1"/>
  <c r="B624" i="18" s="1"/>
  <c r="B625" i="18" s="1"/>
  <c r="B626" i="18" s="1"/>
  <c r="B627" i="18" s="1"/>
  <c r="B628" i="18" s="1"/>
  <c r="B629" i="18" s="1"/>
  <c r="B630" i="18" s="1"/>
  <c r="B631" i="18" s="1"/>
  <c r="B632" i="18" s="1"/>
  <c r="B633" i="18" s="1"/>
  <c r="B634" i="18" s="1"/>
  <c r="B635" i="18" s="1"/>
  <c r="B636" i="18" s="1"/>
  <c r="B637" i="18" s="1"/>
  <c r="B638" i="18" s="1"/>
  <c r="B639" i="18" s="1"/>
  <c r="B640" i="18" s="1"/>
  <c r="B641" i="18" s="1"/>
  <c r="B642" i="18" s="1"/>
  <c r="B643" i="18" s="1"/>
  <c r="B644" i="18" s="1"/>
  <c r="B645" i="18" s="1"/>
  <c r="B646" i="18" s="1"/>
  <c r="B647" i="18" s="1"/>
  <c r="B648" i="18" s="1"/>
  <c r="B649" i="18" s="1"/>
  <c r="B650" i="18" s="1"/>
  <c r="B651" i="18" s="1"/>
  <c r="B652" i="18" s="1"/>
  <c r="B653" i="18" s="1"/>
  <c r="B654" i="18" s="1"/>
  <c r="B655" i="18" s="1"/>
  <c r="B656" i="18" s="1"/>
  <c r="B657" i="18" s="1"/>
  <c r="B658" i="18" s="1"/>
  <c r="B659" i="18" s="1"/>
  <c r="B660" i="18" s="1"/>
  <c r="B661" i="18" s="1"/>
  <c r="B662" i="18" s="1"/>
  <c r="B663" i="18" s="1"/>
  <c r="B664" i="18" s="1"/>
  <c r="B665" i="18" s="1"/>
  <c r="B666" i="18" s="1"/>
  <c r="B667" i="18" s="1"/>
  <c r="B668" i="18" s="1"/>
  <c r="B669" i="18" s="1"/>
  <c r="B670" i="18" s="1"/>
  <c r="B671" i="18" s="1"/>
  <c r="B672" i="18" s="1"/>
  <c r="B673" i="18" s="1"/>
  <c r="B674" i="18" s="1"/>
  <c r="B675" i="18" s="1"/>
  <c r="B676" i="18" s="1"/>
  <c r="B677" i="18" s="1"/>
  <c r="B678" i="18" s="1"/>
  <c r="B679" i="18" s="1"/>
  <c r="B680" i="18" s="1"/>
  <c r="B681" i="18" s="1"/>
  <c r="B682" i="18" s="1"/>
  <c r="B683" i="18" s="1"/>
  <c r="B684" i="18" s="1"/>
  <c r="B685" i="18" s="1"/>
  <c r="B686" i="18" s="1"/>
  <c r="B687" i="18" s="1"/>
  <c r="B688" i="18" s="1"/>
  <c r="B689" i="18" s="1"/>
  <c r="B690" i="18" s="1"/>
  <c r="B691" i="18" s="1"/>
  <c r="B692" i="18" s="1"/>
  <c r="B693" i="18" s="1"/>
  <c r="B694" i="18" s="1"/>
  <c r="B695" i="18" s="1"/>
  <c r="B696" i="18" s="1"/>
  <c r="B697" i="18" s="1"/>
  <c r="B698" i="18" s="1"/>
  <c r="B699" i="18" s="1"/>
  <c r="B700" i="18" s="1"/>
  <c r="B701" i="18" s="1"/>
  <c r="B702" i="18" s="1"/>
  <c r="B703" i="18" s="1"/>
  <c r="B704" i="18" s="1"/>
  <c r="B705" i="18" s="1"/>
  <c r="B706" i="18" s="1"/>
  <c r="B707" i="18" s="1"/>
  <c r="B708" i="18" s="1"/>
  <c r="B709" i="18" s="1"/>
  <c r="B710" i="18" s="1"/>
  <c r="B711" i="18" s="1"/>
  <c r="B712" i="18" s="1"/>
  <c r="B713" i="18" s="1"/>
  <c r="B714" i="18" s="1"/>
  <c r="B715" i="18" s="1"/>
  <c r="B716" i="18" s="1"/>
  <c r="B717" i="18" s="1"/>
  <c r="B718" i="18" s="1"/>
  <c r="B719" i="18" s="1"/>
  <c r="B720" i="18" s="1"/>
  <c r="B721" i="18" s="1"/>
  <c r="B722" i="18" s="1"/>
  <c r="B723" i="18" s="1"/>
  <c r="B724" i="18" s="1"/>
  <c r="B725" i="18" s="1"/>
  <c r="B726" i="18" s="1"/>
  <c r="B727" i="18" s="1"/>
  <c r="B728" i="18" s="1"/>
  <c r="B729" i="18" s="1"/>
  <c r="B730" i="18" s="1"/>
  <c r="B731" i="18" s="1"/>
  <c r="B732" i="18" s="1"/>
  <c r="B733" i="18" s="1"/>
  <c r="B734" i="18" s="1"/>
  <c r="B735" i="18" s="1"/>
  <c r="B736" i="18" s="1"/>
  <c r="B737" i="18" s="1"/>
  <c r="B738" i="18" s="1"/>
  <c r="B739" i="18" s="1"/>
  <c r="B740" i="18" s="1"/>
  <c r="B741" i="18" s="1"/>
  <c r="B742" i="18" s="1"/>
  <c r="B743" i="18" s="1"/>
  <c r="B744" i="18" s="1"/>
  <c r="B745" i="18" s="1"/>
  <c r="B746" i="18" s="1"/>
  <c r="B747" i="18" s="1"/>
  <c r="B748" i="18" s="1"/>
  <c r="B749" i="18" s="1"/>
  <c r="B750" i="18" s="1"/>
  <c r="B751" i="18" s="1"/>
  <c r="B752" i="18" s="1"/>
  <c r="B753" i="18" s="1"/>
  <c r="B754" i="18" s="1"/>
  <c r="B755" i="18" s="1"/>
  <c r="B756" i="18" s="1"/>
  <c r="B757" i="18" s="1"/>
  <c r="B758" i="18" s="1"/>
  <c r="B759" i="18" s="1"/>
  <c r="B760" i="18" s="1"/>
  <c r="B761" i="18" s="1"/>
  <c r="B762" i="18" s="1"/>
  <c r="B763" i="18" s="1"/>
  <c r="B764" i="18" s="1"/>
  <c r="B765" i="18" s="1"/>
  <c r="B766" i="18" s="1"/>
  <c r="B767" i="18" s="1"/>
  <c r="B768" i="18" s="1"/>
  <c r="B769" i="18" s="1"/>
  <c r="B770" i="18" s="1"/>
  <c r="B771" i="18" s="1"/>
  <c r="B772" i="18" s="1"/>
  <c r="B773" i="18" s="1"/>
  <c r="B774" i="18" s="1"/>
  <c r="B775" i="18" s="1"/>
  <c r="B776" i="18" s="1"/>
  <c r="B777" i="18" s="1"/>
  <c r="B778" i="18" s="1"/>
  <c r="B779" i="18" s="1"/>
  <c r="B780" i="18" s="1"/>
  <c r="B781" i="18" s="1"/>
  <c r="B782" i="18" s="1"/>
  <c r="B783" i="18" s="1"/>
  <c r="B784" i="18" s="1"/>
  <c r="B785" i="18" s="1"/>
  <c r="B786" i="18" s="1"/>
  <c r="B787" i="18" s="1"/>
  <c r="B788" i="18" s="1"/>
  <c r="B789" i="18" s="1"/>
  <c r="B790" i="18" s="1"/>
  <c r="B791" i="18" s="1"/>
  <c r="I3" i="18"/>
  <c r="H3" i="18"/>
  <c r="G3" i="18"/>
  <c r="F3" i="18"/>
  <c r="E3" i="18"/>
  <c r="D3" i="18"/>
  <c r="C3" i="18"/>
  <c r="B3" i="18"/>
  <c r="AF791" i="1"/>
  <c r="AC791" i="17"/>
  <c r="Z791" i="17"/>
  <c r="B791" i="14"/>
  <c r="I791" i="14"/>
  <c r="B791" i="21" s="1" a="1"/>
  <c r="B791" i="21" s="1"/>
  <c r="P791" i="14"/>
  <c r="Q791" i="14"/>
  <c r="J791" i="14"/>
  <c r="K791" i="14"/>
  <c r="L791" i="14"/>
  <c r="M791" i="14"/>
  <c r="N791" i="14"/>
  <c r="O791" i="14"/>
  <c r="AF790" i="1"/>
  <c r="Z790" i="17"/>
  <c r="AC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P790" i="14"/>
  <c r="Q790" i="14"/>
  <c r="J790" i="14"/>
  <c r="K790" i="14"/>
  <c r="L790" i="14"/>
  <c r="M790" i="14"/>
  <c r="N790" i="14"/>
  <c r="O790" i="14"/>
  <c r="Z789" i="17"/>
  <c r="Z788" i="17"/>
  <c r="Z787" i="17"/>
  <c r="Z786" i="17"/>
  <c r="Z785" i="17"/>
  <c r="Z784" i="17"/>
  <c r="Z783" i="17"/>
  <c r="Z782" i="17"/>
  <c r="Z781" i="17"/>
  <c r="Z780" i="17"/>
  <c r="Z779" i="17"/>
  <c r="Z778" i="17"/>
  <c r="Z777" i="17"/>
  <c r="Z776" i="17"/>
  <c r="Z775" i="17"/>
  <c r="Z774" i="17"/>
  <c r="Z773" i="17"/>
  <c r="Z772" i="17"/>
  <c r="Z771" i="17"/>
  <c r="Z770" i="17"/>
  <c r="Z769" i="17"/>
  <c r="Z768" i="17"/>
  <c r="Z767" i="17"/>
  <c r="Z766" i="17"/>
  <c r="Z764" i="17"/>
  <c r="Z763" i="17"/>
  <c r="Z762" i="17"/>
  <c r="Z761" i="17"/>
  <c r="Z760" i="17"/>
  <c r="Z759" i="17"/>
  <c r="Z758" i="17"/>
  <c r="Z757" i="17"/>
  <c r="Z756" i="17"/>
  <c r="Z755" i="17"/>
  <c r="Z754" i="17"/>
  <c r="Z753" i="17"/>
  <c r="Z752" i="17"/>
  <c r="Z751" i="17"/>
  <c r="Z750" i="17"/>
  <c r="Z749" i="17"/>
  <c r="Z748" i="17"/>
  <c r="Z747" i="17"/>
  <c r="Z746" i="17"/>
  <c r="Z745" i="17"/>
  <c r="Z744" i="17"/>
  <c r="Z743" i="17"/>
  <c r="Z742" i="17"/>
  <c r="Z741" i="17"/>
  <c r="Z740" i="17"/>
  <c r="Z739" i="17"/>
  <c r="Z738" i="17"/>
  <c r="Z737" i="17"/>
  <c r="Z736" i="17"/>
  <c r="Z735" i="17"/>
  <c r="Z734" i="17"/>
  <c r="Z733" i="17"/>
  <c r="Z732" i="17"/>
  <c r="Z731" i="17"/>
  <c r="Z730" i="17"/>
  <c r="Z729" i="17"/>
  <c r="Z728" i="17"/>
  <c r="Z727" i="17"/>
  <c r="Z726" i="17"/>
  <c r="Z725" i="17"/>
  <c r="Z724" i="17"/>
  <c r="Z723" i="17"/>
  <c r="Z722" i="17"/>
  <c r="Z721" i="17"/>
  <c r="Z720" i="17"/>
  <c r="Z719" i="17"/>
  <c r="Z718" i="17"/>
  <c r="Z717" i="17"/>
  <c r="Z716" i="17"/>
  <c r="Z715" i="17"/>
  <c r="Z714" i="17"/>
  <c r="Z713" i="17"/>
  <c r="Z712" i="17"/>
  <c r="Z711" i="17"/>
  <c r="Z710" i="17"/>
  <c r="Z709" i="17"/>
  <c r="Z708" i="17"/>
  <c r="Z707" i="17"/>
  <c r="Z706" i="17"/>
  <c r="Z705" i="17"/>
  <c r="Z704" i="17"/>
  <c r="Z703" i="17"/>
  <c r="Z702" i="17"/>
  <c r="Z701" i="17"/>
  <c r="Z700" i="17"/>
  <c r="Z699" i="17"/>
  <c r="Z698" i="17"/>
  <c r="Z697" i="17"/>
  <c r="Z696" i="17"/>
  <c r="Z695" i="17"/>
  <c r="Z694" i="17"/>
  <c r="Z693" i="17"/>
  <c r="Z692" i="17"/>
  <c r="Z691" i="17"/>
  <c r="Z690" i="17"/>
  <c r="Z689" i="17"/>
  <c r="Z688" i="17"/>
  <c r="Z687" i="17"/>
  <c r="Z686" i="17"/>
  <c r="Z685" i="17"/>
  <c r="Z684" i="17"/>
  <c r="Z683" i="17"/>
  <c r="Z682" i="17"/>
  <c r="Z681" i="17"/>
  <c r="Z680" i="17"/>
  <c r="Z679" i="17"/>
  <c r="Z678" i="17"/>
  <c r="Z677" i="17"/>
  <c r="Z676" i="17"/>
  <c r="Z675" i="17"/>
  <c r="Z674" i="17"/>
  <c r="Z673" i="17"/>
  <c r="Z672" i="17"/>
  <c r="Z671" i="17"/>
  <c r="Z670" i="17"/>
  <c r="Z669" i="17"/>
  <c r="Z668" i="17"/>
  <c r="Z667" i="17"/>
  <c r="Z666" i="17"/>
  <c r="Z665" i="17"/>
  <c r="Z664" i="17"/>
  <c r="Z663" i="17"/>
  <c r="Z662" i="17"/>
  <c r="Z661" i="17"/>
  <c r="Z660" i="17"/>
  <c r="Z659" i="17"/>
  <c r="Z658" i="17"/>
  <c r="Z657" i="17"/>
  <c r="Z656" i="17"/>
  <c r="Z655" i="17"/>
  <c r="Z654" i="17"/>
  <c r="Z653" i="17"/>
  <c r="Z652" i="17"/>
  <c r="Z651" i="17"/>
  <c r="Z650" i="17"/>
  <c r="Z649" i="17"/>
  <c r="Z648" i="17"/>
  <c r="Z647" i="17"/>
  <c r="Z646" i="17"/>
  <c r="Z645" i="17"/>
  <c r="Z644" i="17"/>
  <c r="Z643" i="17"/>
  <c r="Z642" i="17"/>
  <c r="Z641" i="17"/>
  <c r="Z640" i="17"/>
  <c r="Z639" i="17"/>
  <c r="Z638" i="17"/>
  <c r="Z637" i="17"/>
  <c r="Z636" i="17"/>
  <c r="Z635" i="17"/>
  <c r="Z634" i="17"/>
  <c r="Z633" i="17"/>
  <c r="Z632" i="17"/>
  <c r="Z631" i="17"/>
  <c r="Z630" i="17"/>
  <c r="Z629" i="17"/>
  <c r="Z628" i="17"/>
  <c r="Z627" i="17"/>
  <c r="Z626" i="17"/>
  <c r="Z625" i="17"/>
  <c r="Z624" i="17"/>
  <c r="Z623" i="17"/>
  <c r="Z622" i="17"/>
  <c r="Z621" i="17"/>
  <c r="Z620" i="17"/>
  <c r="Z619" i="17"/>
  <c r="Z618" i="17"/>
  <c r="Z617" i="17"/>
  <c r="Z616" i="17"/>
  <c r="Z615" i="17"/>
  <c r="Z614" i="17"/>
  <c r="Z613" i="17"/>
  <c r="Z612" i="17"/>
  <c r="Z611" i="17"/>
  <c r="Z610" i="17"/>
  <c r="Z609" i="17"/>
  <c r="Z608" i="17"/>
  <c r="Z607" i="17"/>
  <c r="Z606" i="17"/>
  <c r="Z605" i="17"/>
  <c r="Z604" i="17"/>
  <c r="Z603" i="17"/>
  <c r="Z602" i="17"/>
  <c r="Z601" i="17"/>
  <c r="Z600" i="17"/>
  <c r="Z599" i="17"/>
  <c r="Z598" i="17"/>
  <c r="Z597" i="17"/>
  <c r="Z596" i="17"/>
  <c r="Z595" i="17"/>
  <c r="Z594" i="17"/>
  <c r="Z593" i="17"/>
  <c r="Z592" i="17"/>
  <c r="Z591" i="17"/>
  <c r="Z590" i="17"/>
  <c r="Z589" i="17"/>
  <c r="Z588" i="17"/>
  <c r="Z587" i="17"/>
  <c r="Z586" i="17"/>
  <c r="Z585" i="17"/>
  <c r="Z584" i="17"/>
  <c r="Z583" i="17"/>
  <c r="Z582" i="17"/>
  <c r="Z581" i="17"/>
  <c r="Z580" i="17"/>
  <c r="Z579" i="17"/>
  <c r="Z578" i="17"/>
  <c r="Z577" i="17"/>
  <c r="Z576" i="17"/>
  <c r="Z575" i="17"/>
  <c r="Z574" i="17"/>
  <c r="Z573" i="17"/>
  <c r="Z572" i="17"/>
  <c r="Z571" i="17"/>
  <c r="Z570" i="17"/>
  <c r="Z569" i="17"/>
  <c r="Z568" i="17"/>
  <c r="Z567" i="17"/>
  <c r="Z566" i="17"/>
  <c r="Z565" i="17"/>
  <c r="Z564" i="17"/>
  <c r="Z563" i="17"/>
  <c r="Z562" i="17"/>
  <c r="Z561" i="17"/>
  <c r="Z560" i="17"/>
  <c r="Z559" i="17"/>
  <c r="Z558" i="17"/>
  <c r="Z557" i="17"/>
  <c r="Z556" i="17"/>
  <c r="Z555" i="17"/>
  <c r="Z554" i="17"/>
  <c r="Z553" i="17"/>
  <c r="Z552" i="17"/>
  <c r="Z551" i="17"/>
  <c r="Z550" i="17"/>
  <c r="Z549" i="17"/>
  <c r="Z548" i="17"/>
  <c r="Z547" i="17"/>
  <c r="Z546" i="17"/>
  <c r="Z545" i="17"/>
  <c r="Z544" i="17"/>
  <c r="Z543" i="17"/>
  <c r="Z542" i="17"/>
  <c r="Z541" i="17"/>
  <c r="Z540" i="17"/>
  <c r="Z539" i="17"/>
  <c r="Z538" i="17"/>
  <c r="Z537" i="17"/>
  <c r="Z536" i="17"/>
  <c r="Z535" i="17"/>
  <c r="Z534" i="17"/>
  <c r="Z533" i="17"/>
  <c r="Z532" i="17"/>
  <c r="Z531" i="17"/>
  <c r="Z530" i="17"/>
  <c r="Z529" i="17"/>
  <c r="Z528" i="17"/>
  <c r="Z527" i="17"/>
  <c r="Z526" i="17"/>
  <c r="Z525" i="17"/>
  <c r="Z524" i="17"/>
  <c r="Z523" i="17"/>
  <c r="Z522" i="17"/>
  <c r="Z521" i="17"/>
  <c r="Z520" i="17"/>
  <c r="Z519" i="17"/>
  <c r="Z518" i="17"/>
  <c r="Z517" i="17"/>
  <c r="Z516" i="17"/>
  <c r="Z515" i="17"/>
  <c r="Z514" i="17"/>
  <c r="Z513" i="17"/>
  <c r="Z512" i="17"/>
  <c r="Z511" i="17"/>
  <c r="Z510" i="17"/>
  <c r="Z509" i="17"/>
  <c r="Z508" i="17"/>
  <c r="Z507" i="17"/>
  <c r="Z506" i="17"/>
  <c r="Z505" i="17"/>
  <c r="Z504" i="17"/>
  <c r="Z503" i="17"/>
  <c r="Z502" i="17"/>
  <c r="Z501" i="17"/>
  <c r="Z500" i="17"/>
  <c r="Z499" i="17"/>
  <c r="Z498" i="17"/>
  <c r="Z497" i="17"/>
  <c r="Z496" i="17"/>
  <c r="Z495" i="17"/>
  <c r="Z494" i="17"/>
  <c r="Z493" i="17"/>
  <c r="Z492" i="17"/>
  <c r="Z491" i="17"/>
  <c r="Z490" i="17"/>
  <c r="Z489" i="17"/>
  <c r="Z488" i="17"/>
  <c r="Z487" i="17"/>
  <c r="Z486" i="17"/>
  <c r="Z485" i="17"/>
  <c r="Z484" i="17"/>
  <c r="Z483" i="17"/>
  <c r="Z482" i="17"/>
  <c r="Z481" i="17"/>
  <c r="Z480" i="17"/>
  <c r="Z479" i="17"/>
  <c r="Z478" i="17"/>
  <c r="Z477" i="17"/>
  <c r="Z476" i="17"/>
  <c r="Z475" i="17"/>
  <c r="Z474" i="17"/>
  <c r="Z473" i="17"/>
  <c r="Z472" i="17"/>
  <c r="Z471" i="17"/>
  <c r="Z470" i="17"/>
  <c r="Z469" i="17"/>
  <c r="Z468" i="17"/>
  <c r="Z467" i="17"/>
  <c r="Z466" i="17"/>
  <c r="Z465" i="17"/>
  <c r="Z464" i="17"/>
  <c r="Z463" i="17"/>
  <c r="Z462" i="17"/>
  <c r="Z461" i="17"/>
  <c r="Z460" i="17"/>
  <c r="Z459" i="17"/>
  <c r="Z458" i="17"/>
  <c r="Z457" i="17"/>
  <c r="Z456" i="17"/>
  <c r="Z455" i="17"/>
  <c r="Z454" i="17"/>
  <c r="Z453" i="17"/>
  <c r="Z452" i="17"/>
  <c r="Z451" i="17"/>
  <c r="Z450" i="17"/>
  <c r="Z449" i="17"/>
  <c r="Z448" i="17"/>
  <c r="Z447" i="17"/>
  <c r="Z446" i="17"/>
  <c r="Z445" i="17"/>
  <c r="Z444" i="17"/>
  <c r="Z443" i="17"/>
  <c r="Z442" i="17"/>
  <c r="Z441" i="17"/>
  <c r="Z440" i="17"/>
  <c r="Z439" i="17"/>
  <c r="Z438" i="17"/>
  <c r="Z437" i="17"/>
  <c r="Z436" i="17"/>
  <c r="Z435" i="17"/>
  <c r="Z434" i="17"/>
  <c r="Z433" i="17"/>
  <c r="Z432" i="17"/>
  <c r="Z431" i="17"/>
  <c r="Z430" i="17"/>
  <c r="Z429" i="17"/>
  <c r="Z428" i="17"/>
  <c r="Z427" i="17"/>
  <c r="Z426" i="17"/>
  <c r="Z425" i="17"/>
  <c r="Z424" i="17"/>
  <c r="Z423" i="17"/>
  <c r="Z422" i="17"/>
  <c r="Z421" i="17"/>
  <c r="Z420" i="17"/>
  <c r="Z419" i="17"/>
  <c r="Z418" i="17"/>
  <c r="Z417" i="17"/>
  <c r="Z416" i="17"/>
  <c r="Z415" i="17"/>
  <c r="Z414" i="17"/>
  <c r="Z413" i="17"/>
  <c r="Z412" i="17"/>
  <c r="Z411" i="17"/>
  <c r="Z410" i="17"/>
  <c r="Z409" i="17"/>
  <c r="Z408" i="17"/>
  <c r="Z407" i="17"/>
  <c r="Z406" i="17"/>
  <c r="Z405" i="17"/>
  <c r="Z404" i="17"/>
  <c r="Z403" i="17"/>
  <c r="Z402" i="17"/>
  <c r="Z401" i="17"/>
  <c r="Z400" i="17"/>
  <c r="Z399" i="17"/>
  <c r="Z398" i="17"/>
  <c r="Z397" i="17"/>
  <c r="Z396" i="17"/>
  <c r="Z395" i="17"/>
  <c r="Z394" i="17"/>
  <c r="Z393" i="17"/>
  <c r="Z392" i="17"/>
  <c r="Z391" i="17"/>
  <c r="Z390" i="17"/>
  <c r="Z389" i="17"/>
  <c r="Z388" i="17"/>
  <c r="Z387" i="17"/>
  <c r="Z386" i="17"/>
  <c r="Z385" i="17"/>
  <c r="Z384" i="17"/>
  <c r="Z383" i="17"/>
  <c r="Z382" i="17"/>
  <c r="Z381" i="17"/>
  <c r="Z380" i="17"/>
  <c r="Z379" i="17"/>
  <c r="Z378" i="17"/>
  <c r="Z377" i="17"/>
  <c r="Z376" i="17"/>
  <c r="Z375" i="17"/>
  <c r="Z374" i="17"/>
  <c r="Z373" i="17"/>
  <c r="Z372" i="17"/>
  <c r="Z371" i="17"/>
  <c r="Z370" i="17"/>
  <c r="Z369" i="17"/>
  <c r="Z368" i="17"/>
  <c r="Z367" i="17"/>
  <c r="Z366" i="17"/>
  <c r="Z365" i="17"/>
  <c r="Z364" i="17"/>
  <c r="Z363" i="17"/>
  <c r="Z362" i="17"/>
  <c r="Z361" i="17"/>
  <c r="Z360" i="17"/>
  <c r="Z359" i="17"/>
  <c r="Z358" i="17"/>
  <c r="Z357" i="17"/>
  <c r="Z356" i="17"/>
  <c r="Z355" i="17"/>
  <c r="Z354" i="17"/>
  <c r="Z353" i="17"/>
  <c r="Z352" i="17"/>
  <c r="Z351" i="17"/>
  <c r="Z350" i="17"/>
  <c r="Z349" i="17"/>
  <c r="Z348" i="17"/>
  <c r="Z347" i="17"/>
  <c r="Z346" i="17"/>
  <c r="Z345" i="17"/>
  <c r="Z344" i="17"/>
  <c r="Z343" i="17"/>
  <c r="Z342" i="17"/>
  <c r="Z341" i="17"/>
  <c r="Z340" i="17"/>
  <c r="Z339" i="17"/>
  <c r="Z338" i="17"/>
  <c r="Z337" i="17"/>
  <c r="Z336" i="17"/>
  <c r="Z335" i="17"/>
  <c r="Z334" i="17"/>
  <c r="Z333" i="17"/>
  <c r="Z332" i="17"/>
  <c r="Z331" i="17"/>
  <c r="Z330" i="17"/>
  <c r="Z329" i="17"/>
  <c r="Z328" i="17"/>
  <c r="Z327" i="17"/>
  <c r="Z326" i="17"/>
  <c r="Z325" i="17"/>
  <c r="Z324" i="17"/>
  <c r="Z323" i="17"/>
  <c r="Z322" i="17"/>
  <c r="Z321" i="17"/>
  <c r="Z320" i="17"/>
  <c r="Z319" i="17"/>
  <c r="Z318" i="17"/>
  <c r="Z317" i="17"/>
  <c r="Z316" i="17"/>
  <c r="Z315" i="17"/>
  <c r="Z314" i="17"/>
  <c r="Z313" i="17"/>
  <c r="Z312" i="17"/>
  <c r="Z311" i="17"/>
  <c r="Z310" i="17"/>
  <c r="Z309" i="17"/>
  <c r="Z308" i="17"/>
  <c r="Z307" i="17"/>
  <c r="Z306" i="17"/>
  <c r="Z305" i="17"/>
  <c r="Z304" i="17"/>
  <c r="Z303" i="17"/>
  <c r="Z302" i="17"/>
  <c r="Z301" i="17"/>
  <c r="Z300" i="17"/>
  <c r="Z299" i="17"/>
  <c r="Z298" i="17"/>
  <c r="Z297" i="17"/>
  <c r="Z296" i="17"/>
  <c r="Z295" i="17"/>
  <c r="Z294" i="17"/>
  <c r="Z293" i="17"/>
  <c r="Z292" i="17"/>
  <c r="Z291" i="17"/>
  <c r="Z290" i="17"/>
  <c r="Z289" i="17"/>
  <c r="Z288" i="17"/>
  <c r="Z287" i="17"/>
  <c r="Z286" i="17"/>
  <c r="Z285" i="17"/>
  <c r="Z284" i="17"/>
  <c r="Z283" i="17"/>
  <c r="Z282" i="17"/>
  <c r="Z281" i="17"/>
  <c r="Z280" i="17"/>
  <c r="Z279" i="17"/>
  <c r="Z278" i="17"/>
  <c r="Z277" i="17"/>
  <c r="Z276" i="17"/>
  <c r="Z275" i="17"/>
  <c r="Z274" i="17"/>
  <c r="Z273" i="17"/>
  <c r="Z272" i="17"/>
  <c r="Z271" i="17"/>
  <c r="Z270" i="17"/>
  <c r="Z269" i="17"/>
  <c r="Z268" i="17"/>
  <c r="Z267" i="17"/>
  <c r="Z266" i="17"/>
  <c r="Z265" i="17"/>
  <c r="Z264" i="17"/>
  <c r="Z263" i="17"/>
  <c r="Z262" i="17"/>
  <c r="Z261" i="17"/>
  <c r="Z260" i="17"/>
  <c r="Z259" i="17"/>
  <c r="Z258" i="17"/>
  <c r="Z257" i="17"/>
  <c r="Z256" i="17"/>
  <c r="Z255" i="17"/>
  <c r="Z254" i="17"/>
  <c r="Z253" i="17"/>
  <c r="Z252" i="17"/>
  <c r="Z251" i="17"/>
  <c r="Z250" i="17"/>
  <c r="Z249" i="17"/>
  <c r="Z248" i="17"/>
  <c r="Z247" i="17"/>
  <c r="Z246" i="17"/>
  <c r="Z245" i="17"/>
  <c r="Z244" i="17"/>
  <c r="Z243" i="17"/>
  <c r="Z242" i="17"/>
  <c r="Z241" i="17"/>
  <c r="Z240" i="17"/>
  <c r="Z239" i="17"/>
  <c r="Z238" i="17"/>
  <c r="Z237" i="17"/>
  <c r="Z236" i="17"/>
  <c r="Z235" i="17"/>
  <c r="Z234" i="17"/>
  <c r="Z233" i="17"/>
  <c r="Z232" i="17"/>
  <c r="Z231" i="17"/>
  <c r="Z230" i="17"/>
  <c r="Z229" i="17"/>
  <c r="Z228" i="17"/>
  <c r="Z227" i="17"/>
  <c r="Z226" i="17"/>
  <c r="Z225" i="17"/>
  <c r="Z224" i="17"/>
  <c r="Z223" i="17"/>
  <c r="Z222" i="17"/>
  <c r="Z221" i="17"/>
  <c r="Z220" i="17"/>
  <c r="Z219" i="17"/>
  <c r="Z218" i="17"/>
  <c r="Z217" i="17"/>
  <c r="Z216" i="17"/>
  <c r="Z215" i="17"/>
  <c r="Z214" i="17"/>
  <c r="Z213" i="17"/>
  <c r="Z212" i="17"/>
  <c r="Z211" i="17"/>
  <c r="Z210" i="17"/>
  <c r="Z209" i="17"/>
  <c r="Z208" i="17"/>
  <c r="Z207" i="17"/>
  <c r="Z206" i="17"/>
  <c r="Z205" i="17"/>
  <c r="Z204" i="17"/>
  <c r="Z203" i="17"/>
  <c r="Z202" i="17"/>
  <c r="Z201" i="17"/>
  <c r="Z200" i="17"/>
  <c r="Z199" i="17"/>
  <c r="Z198" i="17"/>
  <c r="Z197" i="17"/>
  <c r="Z196" i="17"/>
  <c r="Z195" i="17"/>
  <c r="Z194" i="17"/>
  <c r="Z193" i="17"/>
  <c r="Z192" i="17"/>
  <c r="Z191" i="17"/>
  <c r="Z190" i="17"/>
  <c r="Z189" i="17"/>
  <c r="Z188" i="17"/>
  <c r="Z187" i="17"/>
  <c r="Z186" i="17"/>
  <c r="Z185" i="17"/>
  <c r="Z184" i="17"/>
  <c r="Z183" i="17"/>
  <c r="Z182" i="17"/>
  <c r="Z181" i="17"/>
  <c r="Z180" i="17"/>
  <c r="Z179" i="17"/>
  <c r="Z178" i="17"/>
  <c r="Z177" i="17"/>
  <c r="Z176" i="17"/>
  <c r="Z175" i="17"/>
  <c r="Z174" i="17"/>
  <c r="Z173" i="17"/>
  <c r="Z172" i="17"/>
  <c r="Z171" i="17"/>
  <c r="Z170" i="17"/>
  <c r="Z169" i="17"/>
  <c r="Z168" i="17"/>
  <c r="Z167" i="17"/>
  <c r="Z166" i="17"/>
  <c r="Z165" i="17"/>
  <c r="Z164" i="17"/>
  <c r="Z163" i="17"/>
  <c r="Z162" i="17"/>
  <c r="Z161" i="17"/>
  <c r="Z160" i="17"/>
  <c r="Z159" i="17"/>
  <c r="Z158" i="17"/>
  <c r="Z157" i="17"/>
  <c r="Z156" i="17"/>
  <c r="Z155" i="17"/>
  <c r="Z154" i="17"/>
  <c r="Z153" i="17"/>
  <c r="Z152" i="17"/>
  <c r="Z151" i="17"/>
  <c r="Z150" i="17"/>
  <c r="Z149" i="17"/>
  <c r="Z148" i="17"/>
  <c r="Z147" i="17"/>
  <c r="Z146" i="17"/>
  <c r="Z145" i="17"/>
  <c r="Z144" i="17"/>
  <c r="Z143" i="17"/>
  <c r="Z142" i="17"/>
  <c r="Z141" i="17"/>
  <c r="Z140" i="17"/>
  <c r="Z139" i="17"/>
  <c r="Z138" i="17"/>
  <c r="Z137" i="17"/>
  <c r="Z136" i="17"/>
  <c r="Z135" i="17"/>
  <c r="Z134" i="17"/>
  <c r="Z133" i="17"/>
  <c r="Z132" i="17"/>
  <c r="Z131" i="17"/>
  <c r="Z130" i="17"/>
  <c r="Z129" i="17"/>
  <c r="Z128" i="17"/>
  <c r="Z127" i="17"/>
  <c r="Z126" i="17"/>
  <c r="Z125" i="17"/>
  <c r="Z124" i="17"/>
  <c r="Z123" i="17"/>
  <c r="Z122" i="17"/>
  <c r="Z121" i="17"/>
  <c r="Z120" i="17"/>
  <c r="Z119" i="17"/>
  <c r="Z118" i="17"/>
  <c r="Z117" i="17"/>
  <c r="Z116" i="17"/>
  <c r="Z115" i="17"/>
  <c r="Z114" i="17"/>
  <c r="Z113" i="17"/>
  <c r="Z112" i="17"/>
  <c r="Z111" i="17"/>
  <c r="Z110" i="17"/>
  <c r="Z109" i="17"/>
  <c r="Z108" i="17"/>
  <c r="Z107" i="17"/>
  <c r="Z106" i="17"/>
  <c r="Z105" i="17"/>
  <c r="Z104" i="17"/>
  <c r="Z103" i="17"/>
  <c r="Z102" i="17"/>
  <c r="Z101" i="17"/>
  <c r="Z100" i="17"/>
  <c r="Z99" i="17"/>
  <c r="Z98" i="17"/>
  <c r="Z97" i="17"/>
  <c r="Z96" i="17"/>
  <c r="Z95" i="17"/>
  <c r="Z94" i="17"/>
  <c r="Z93" i="17"/>
  <c r="Z92" i="17"/>
  <c r="Z91" i="17"/>
  <c r="Z90" i="17"/>
  <c r="Z89" i="17"/>
  <c r="Z88" i="17"/>
  <c r="Z87" i="17"/>
  <c r="Z86" i="17"/>
  <c r="Z85" i="17"/>
  <c r="Z84" i="17"/>
  <c r="Z83" i="17"/>
  <c r="Z82" i="17"/>
  <c r="Z81" i="17"/>
  <c r="Z80" i="17"/>
  <c r="Z79" i="17"/>
  <c r="Z78" i="17"/>
  <c r="Z77" i="17"/>
  <c r="Z76" i="17"/>
  <c r="Z75" i="17"/>
  <c r="Z74" i="17"/>
  <c r="Z73" i="17"/>
  <c r="Z72" i="17"/>
  <c r="Z71" i="17"/>
  <c r="Z70" i="17"/>
  <c r="Z69" i="17"/>
  <c r="Z68" i="17"/>
  <c r="Z67" i="17"/>
  <c r="Z66" i="17"/>
  <c r="Z65" i="17"/>
  <c r="Z64" i="17"/>
  <c r="Z63" i="17"/>
  <c r="Z62" i="17"/>
  <c r="Z61" i="17"/>
  <c r="Z60" i="17"/>
  <c r="Z59" i="17"/>
  <c r="Z58" i="17"/>
  <c r="Z57" i="17"/>
  <c r="Z56" i="17"/>
  <c r="Z55" i="17"/>
  <c r="Z54" i="17"/>
  <c r="Z53" i="17"/>
  <c r="Z52" i="17"/>
  <c r="Z51" i="17"/>
  <c r="Z50" i="17"/>
  <c r="Z49" i="17"/>
  <c r="Z48" i="17"/>
  <c r="Z47" i="17"/>
  <c r="Z46" i="17"/>
  <c r="Z45" i="17"/>
  <c r="Z44" i="17"/>
  <c r="Z43" i="17"/>
  <c r="Z42" i="17"/>
  <c r="Z41" i="17"/>
  <c r="Z40" i="17"/>
  <c r="Z39" i="17"/>
  <c r="Z38" i="17"/>
  <c r="Z37" i="17"/>
  <c r="Z36" i="17"/>
  <c r="Z35" i="17"/>
  <c r="Z34" i="17"/>
  <c r="Z33" i="17"/>
  <c r="Z32" i="17"/>
  <c r="Z31" i="17"/>
  <c r="Z30" i="17"/>
  <c r="Z29" i="17"/>
  <c r="Z28" i="17"/>
  <c r="Z27" i="17"/>
  <c r="Z26" i="17"/>
  <c r="Z25" i="17"/>
  <c r="Z24" i="17"/>
  <c r="Z23" i="17"/>
  <c r="Z22" i="17"/>
  <c r="Z21" i="17"/>
  <c r="Z20" i="17"/>
  <c r="Z19" i="17"/>
  <c r="Z18" i="17"/>
  <c r="Z17" i="17"/>
  <c r="Z16" i="17"/>
  <c r="Z15" i="17"/>
  <c r="Z14" i="17"/>
  <c r="Z13" i="17"/>
  <c r="Z12" i="17"/>
  <c r="Z11" i="17"/>
  <c r="Z10" i="17"/>
  <c r="Z9" i="17"/>
  <c r="Z8" i="17"/>
  <c r="Z7" i="17"/>
  <c r="Z6" i="17"/>
  <c r="Z5" i="17"/>
  <c r="Z4" i="17"/>
  <c r="Z3" i="17"/>
  <c r="Z2" i="17"/>
  <c r="Z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I789" i="14"/>
  <c r="B530" i="21" s="1" a="1"/>
  <c r="B530" i="21" s="1"/>
  <c r="I788" i="14"/>
  <c r="B529" i="21" s="1" a="1"/>
  <c r="B529" i="21" s="1"/>
  <c r="I787" i="14"/>
  <c r="B528" i="21" s="1" a="1"/>
  <c r="B528" i="21" s="1"/>
  <c r="I786" i="14"/>
  <c r="B527" i="21" s="1" a="1"/>
  <c r="B527" i="21" s="1"/>
  <c r="I785" i="14"/>
  <c r="I784" i="14"/>
  <c r="B526" i="21" s="1" a="1"/>
  <c r="B526" i="21" s="1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B501" i="21" s="1" a="1"/>
  <c r="B501" i="21" s="1"/>
  <c r="I770" i="14"/>
  <c r="B502" i="21" s="1" a="1"/>
  <c r="B502" i="21" s="1"/>
  <c r="I769" i="14"/>
  <c r="B515" i="21" s="1" a="1"/>
  <c r="B515" i="21" s="1"/>
  <c r="I768" i="14"/>
  <c r="I767" i="14"/>
  <c r="I766" i="14"/>
  <c r="I765" i="14"/>
  <c r="B511" i="21" s="1" a="1"/>
  <c r="B511" i="21" s="1"/>
  <c r="I764" i="14"/>
  <c r="B505" i="21" s="1" a="1"/>
  <c r="B505" i="21" s="1"/>
  <c r="I763" i="14"/>
  <c r="B507" i="21" s="1" a="1"/>
  <c r="B507" i="21" s="1"/>
  <c r="I762" i="14"/>
  <c r="B514" i="21" s="1" a="1"/>
  <c r="B514" i="21" s="1"/>
  <c r="I761" i="14"/>
  <c r="B510" i="21" s="1" a="1"/>
  <c r="B510" i="21" s="1"/>
  <c r="I760" i="14"/>
  <c r="B506" i="21" s="1" a="1"/>
  <c r="B506" i="21" s="1"/>
  <c r="I759" i="14"/>
  <c r="B488" i="21" s="1" a="1"/>
  <c r="B488" i="21" s="1"/>
  <c r="I758" i="14"/>
  <c r="B489" i="21" s="1" a="1"/>
  <c r="B489" i="21" s="1"/>
  <c r="I757" i="14"/>
  <c r="B487" i="21" s="1" a="1"/>
  <c r="B487" i="21" s="1"/>
  <c r="I756" i="14"/>
  <c r="B486" i="21" s="1" a="1"/>
  <c r="B486" i="21" s="1"/>
  <c r="I755" i="14"/>
  <c r="B498" i="21" s="1" a="1"/>
  <c r="B498" i="21" s="1"/>
  <c r="I754" i="14"/>
  <c r="B484" i="21" s="1" a="1"/>
  <c r="B484" i="21" s="1"/>
  <c r="I753" i="14"/>
  <c r="B500" i="21" s="1" a="1"/>
  <c r="B500" i="21" s="1"/>
  <c r="I752" i="14"/>
  <c r="B499" i="21" s="1" a="1"/>
  <c r="B499" i="21" s="1"/>
  <c r="I751" i="14"/>
  <c r="B496" i="21" s="1" a="1"/>
  <c r="B496" i="21" s="1"/>
  <c r="I750" i="14"/>
  <c r="B497" i="21" s="1" a="1"/>
  <c r="B497" i="21" s="1"/>
  <c r="I749" i="14"/>
  <c r="B491" i="21" s="1" a="1"/>
  <c r="B491" i="21" s="1"/>
  <c r="I748" i="14"/>
  <c r="B492" i="21" s="1" a="1"/>
  <c r="B492" i="21" s="1"/>
  <c r="I747" i="14"/>
  <c r="B490" i="21" s="1" a="1"/>
  <c r="B490" i="21" s="1"/>
  <c r="I746" i="14"/>
  <c r="B485" i="21" s="1" a="1"/>
  <c r="B485" i="21" s="1"/>
  <c r="I745" i="14"/>
  <c r="B482" i="21" s="1" a="1"/>
  <c r="B482" i="21" s="1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B563" i="21" s="1" a="1"/>
  <c r="B563" i="21" s="1"/>
  <c r="I682" i="14"/>
  <c r="B562" i="21" s="1" a="1"/>
  <c r="B562" i="21" s="1"/>
  <c r="I681" i="14"/>
  <c r="B565" i="21" s="1" a="1"/>
  <c r="B565" i="21" s="1"/>
  <c r="I680" i="14"/>
  <c r="B564" i="21" s="1" a="1"/>
  <c r="B564" i="21" s="1"/>
  <c r="I679" i="14"/>
  <c r="B560" i="21" s="1" a="1"/>
  <c r="B560" i="21" s="1"/>
  <c r="I678" i="14"/>
  <c r="B566" i="21" s="1" a="1"/>
  <c r="B566" i="21" s="1"/>
  <c r="I677" i="14"/>
  <c r="B555" i="21" s="1" a="1"/>
  <c r="B555" i="21" s="1"/>
  <c r="I676" i="14"/>
  <c r="B554" i="21" s="1" a="1"/>
  <c r="B554" i="21" s="1"/>
  <c r="I675" i="14"/>
  <c r="B561" i="21" s="1" a="1"/>
  <c r="B561" i="21" s="1"/>
  <c r="I674" i="14"/>
  <c r="B559" i="21" s="1" a="1"/>
  <c r="B559" i="21" s="1"/>
  <c r="I673" i="14"/>
  <c r="B549" i="21" s="1" a="1"/>
  <c r="B549" i="21" s="1"/>
  <c r="I672" i="14"/>
  <c r="B552" i="21" s="1" a="1"/>
  <c r="B552" i="21" s="1"/>
  <c r="I671" i="14"/>
  <c r="B551" i="21" s="1" a="1"/>
  <c r="B551" i="21" s="1"/>
  <c r="I670" i="14"/>
  <c r="B550" i="21" s="1" a="1"/>
  <c r="B550" i="21" s="1"/>
  <c r="I669" i="14"/>
  <c r="B553" i="21" s="1" a="1"/>
  <c r="B553" i="21" s="1"/>
  <c r="I668" i="14"/>
  <c r="B547" i="21" s="1" a="1"/>
  <c r="B547" i="21" s="1"/>
  <c r="I667" i="14"/>
  <c r="B546" i="21" s="1" a="1"/>
  <c r="B546" i="21" s="1"/>
  <c r="I666" i="14"/>
  <c r="B548" i="21" s="1" a="1"/>
  <c r="B548" i="21" s="1"/>
  <c r="I665" i="14"/>
  <c r="B542" i="21" s="1" a="1"/>
  <c r="B542" i="21" s="1"/>
  <c r="I664" i="14"/>
  <c r="B544" i="21" s="1" a="1"/>
  <c r="B544" i="21" s="1"/>
  <c r="I663" i="14"/>
  <c r="B543" i="21" s="1" a="1"/>
  <c r="B543" i="21" s="1"/>
  <c r="I662" i="14"/>
  <c r="B545" i="21" s="1" a="1"/>
  <c r="B545" i="21" s="1"/>
  <c r="I661" i="14"/>
  <c r="B540" i="21" s="1" a="1"/>
  <c r="B540" i="21" s="1"/>
  <c r="I660" i="14"/>
  <c r="B539" i="21" s="1" a="1"/>
  <c r="B539" i="21" s="1"/>
  <c r="I659" i="14"/>
  <c r="B541" i="21" s="1" a="1"/>
  <c r="B541" i="21" s="1"/>
  <c r="I658" i="14"/>
  <c r="B537" i="21" s="1" a="1"/>
  <c r="B537" i="21" s="1"/>
  <c r="I657" i="14"/>
  <c r="B538" i="21" s="1" a="1"/>
  <c r="B538" i="21" s="1"/>
  <c r="I656" i="14"/>
  <c r="B535" i="21" s="1" a="1"/>
  <c r="B535" i="21" s="1"/>
  <c r="I655" i="14"/>
  <c r="B536" i="21" s="1" a="1"/>
  <c r="B536" i="21" s="1"/>
  <c r="I654" i="14"/>
  <c r="B534" i="21" s="1" a="1"/>
  <c r="B534" i="21" s="1"/>
  <c r="I653" i="14"/>
  <c r="B533" i="21" s="1" a="1"/>
  <c r="B533" i="21" s="1"/>
  <c r="I652" i="14"/>
  <c r="B532" i="21" s="1" a="1"/>
  <c r="B532" i="21" s="1"/>
  <c r="I651" i="14"/>
  <c r="B531" i="21" s="1" a="1"/>
  <c r="B531" i="21" s="1"/>
  <c r="I650" i="14"/>
  <c r="B431" i="21" s="1" a="1"/>
  <c r="B431" i="21" s="1"/>
  <c r="I649" i="14"/>
  <c r="B430" i="21" s="1" a="1"/>
  <c r="B430" i="21" s="1"/>
  <c r="I648" i="14"/>
  <c r="B370" i="21" s="1" a="1"/>
  <c r="B370" i="21" s="1"/>
  <c r="I647" i="14"/>
  <c r="B325" i="21" s="1" a="1"/>
  <c r="B325" i="21" s="1"/>
  <c r="I646" i="14"/>
  <c r="B371" i="21" s="1" a="1"/>
  <c r="B371" i="21" s="1"/>
  <c r="I645" i="14"/>
  <c r="B369" i="21" s="1" a="1"/>
  <c r="B369" i="21" s="1"/>
  <c r="I644" i="14"/>
  <c r="B636" i="21" s="1" a="1"/>
  <c r="B636" i="21" s="1"/>
  <c r="I643" i="14"/>
  <c r="B616" i="21" s="1" a="1"/>
  <c r="B616" i="21" s="1"/>
  <c r="I642" i="14"/>
  <c r="B263" i="21" s="1" a="1"/>
  <c r="B263" i="21" s="1"/>
  <c r="I641" i="14"/>
  <c r="B243" i="21" s="1" a="1"/>
  <c r="B243" i="21" s="1"/>
  <c r="I640" i="14"/>
  <c r="I639" i="14"/>
  <c r="I638" i="14"/>
  <c r="I637" i="14"/>
  <c r="B267" i="21" s="1" a="1"/>
  <c r="B267" i="21" s="1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B626" i="21" s="1" a="1"/>
  <c r="B626" i="21" s="1"/>
  <c r="I587" i="14"/>
  <c r="B627" i="21" s="1" a="1"/>
  <c r="B627" i="21" s="1"/>
  <c r="I586" i="14"/>
  <c r="B405" i="21" s="1" a="1"/>
  <c r="B405" i="21" s="1"/>
  <c r="I585" i="14"/>
  <c r="B404" i="21" s="1" a="1"/>
  <c r="B404" i="21" s="1"/>
  <c r="I584" i="14"/>
  <c r="B403" i="21" s="1" a="1"/>
  <c r="B403" i="21" s="1"/>
  <c r="I583" i="14"/>
  <c r="B402" i="21" s="1" a="1"/>
  <c r="B402" i="21" s="1"/>
  <c r="I582" i="14"/>
  <c r="B401" i="21" s="1" a="1"/>
  <c r="B401" i="21" s="1"/>
  <c r="I581" i="14"/>
  <c r="B400" i="21" s="1" a="1"/>
  <c r="B400" i="21" s="1"/>
  <c r="I580" i="14"/>
  <c r="B399" i="21" s="1" a="1"/>
  <c r="B399" i="21" s="1"/>
  <c r="I579" i="14"/>
  <c r="B398" i="21" s="1" a="1"/>
  <c r="B398" i="21" s="1"/>
  <c r="I578" i="14"/>
  <c r="B397" i="21" s="1" a="1"/>
  <c r="B397" i="21" s="1"/>
  <c r="I577" i="14"/>
  <c r="B396" i="21" s="1" a="1"/>
  <c r="B396" i="21" s="1"/>
  <c r="I576" i="14"/>
  <c r="B395" i="21" s="1" a="1"/>
  <c r="B395" i="21" s="1"/>
  <c r="I575" i="14"/>
  <c r="B394" i="21" s="1" a="1"/>
  <c r="B394" i="21" s="1"/>
  <c r="I574" i="14"/>
  <c r="B393" i="21" s="1" a="1"/>
  <c r="B393" i="21" s="1"/>
  <c r="I573" i="14"/>
  <c r="B392" i="21" s="1" a="1"/>
  <c r="B392" i="21" s="1"/>
  <c r="I572" i="14"/>
  <c r="I571" i="14"/>
  <c r="I570" i="14"/>
  <c r="I569" i="14"/>
  <c r="I568" i="14"/>
  <c r="I567" i="14"/>
  <c r="B674" i="21" s="1" a="1"/>
  <c r="B674" i="21" s="1"/>
  <c r="I566" i="14"/>
  <c r="I565" i="14"/>
  <c r="I564" i="14"/>
  <c r="I563" i="14"/>
  <c r="B382" i="21" s="1" a="1"/>
  <c r="B382" i="21" s="1"/>
  <c r="I562" i="14"/>
  <c r="B374" i="21" s="1" a="1"/>
  <c r="B374" i="21" s="1"/>
  <c r="I561" i="14"/>
  <c r="B326" i="21" s="1" a="1"/>
  <c r="B326" i="21" s="1"/>
  <c r="I560" i="14"/>
  <c r="B334" i="21" s="1" a="1"/>
  <c r="B334" i="21" s="1"/>
  <c r="I559" i="14"/>
  <c r="B332" i="21" s="1" a="1"/>
  <c r="B332" i="21" s="1"/>
  <c r="I558" i="14"/>
  <c r="B333" i="21" s="1" a="1"/>
  <c r="B333" i="21" s="1"/>
  <c r="I557" i="14"/>
  <c r="B384" i="21" s="1" a="1"/>
  <c r="B384" i="21" s="1"/>
  <c r="I556" i="14"/>
  <c r="B378" i="21" s="1" a="1"/>
  <c r="B378" i="21" s="1"/>
  <c r="I555" i="14"/>
  <c r="B354" i="21" s="1" a="1"/>
  <c r="B354" i="21" s="1"/>
  <c r="I554" i="14"/>
  <c r="B356" i="21" s="1" a="1"/>
  <c r="B356" i="21" s="1"/>
  <c r="I553" i="14"/>
  <c r="I552" i="14"/>
  <c r="I551" i="14"/>
  <c r="B385" i="21" s="1" a="1"/>
  <c r="B385" i="21" s="1"/>
  <c r="I550" i="14"/>
  <c r="I549" i="14"/>
  <c r="B381" i="21" s="1" a="1"/>
  <c r="B381" i="21" s="1"/>
  <c r="I548" i="14"/>
  <c r="I547" i="14"/>
  <c r="I546" i="14"/>
  <c r="I545" i="14"/>
  <c r="B351" i="21" s="1" a="1"/>
  <c r="B351" i="21" s="1"/>
  <c r="I544" i="14"/>
  <c r="I543" i="14"/>
  <c r="I542" i="14"/>
  <c r="I541" i="14"/>
  <c r="B329" i="21" s="1" a="1"/>
  <c r="B329" i="21" s="1"/>
  <c r="I540" i="14"/>
  <c r="B337" i="21" s="1" a="1"/>
  <c r="B337" i="21" s="1"/>
  <c r="I539" i="14"/>
  <c r="B331" i="21" s="1" a="1"/>
  <c r="B331" i="21" s="1"/>
  <c r="I538" i="14"/>
  <c r="B330" i="21" s="1" a="1"/>
  <c r="B330" i="21" s="1"/>
  <c r="I537" i="14"/>
  <c r="B321" i="21" s="1" a="1"/>
  <c r="B321" i="21" s="1"/>
  <c r="I536" i="14"/>
  <c r="B335" i="21" s="1" a="1"/>
  <c r="B335" i="21" s="1"/>
  <c r="I535" i="14"/>
  <c r="I534" i="14"/>
  <c r="B377" i="21" s="1" a="1"/>
  <c r="B377" i="21" s="1"/>
  <c r="I533" i="14"/>
  <c r="B379" i="21" s="1" a="1"/>
  <c r="B379" i="21" s="1"/>
  <c r="I532" i="14"/>
  <c r="B376" i="21" s="1" a="1"/>
  <c r="B376" i="21" s="1"/>
  <c r="I531" i="14"/>
  <c r="B375" i="21" s="1" a="1"/>
  <c r="B375" i="21" s="1"/>
  <c r="I530" i="14"/>
  <c r="B364" i="21" s="1" a="1"/>
  <c r="B364" i="21" s="1"/>
  <c r="I529" i="14"/>
  <c r="B365" i="21" s="1" a="1"/>
  <c r="B365" i="21" s="1"/>
  <c r="I528" i="14"/>
  <c r="B336" i="21" s="1" a="1"/>
  <c r="B336" i="21" s="1"/>
  <c r="I527" i="14"/>
  <c r="B320" i="21" s="1" a="1"/>
  <c r="B320" i="21" s="1"/>
  <c r="I526" i="14"/>
  <c r="B319" i="21" s="1" a="1"/>
  <c r="B319" i="21" s="1"/>
  <c r="I525" i="14"/>
  <c r="B318" i="21" s="1" a="1"/>
  <c r="B318" i="21" s="1"/>
  <c r="I524" i="14"/>
  <c r="B339" i="21" s="1" a="1"/>
  <c r="B339" i="21" s="1"/>
  <c r="I523" i="14"/>
  <c r="B366" i="21" s="1" a="1"/>
  <c r="B366" i="21" s="1"/>
  <c r="I522" i="14"/>
  <c r="B353" i="21" s="1" a="1"/>
  <c r="B353" i="21" s="1"/>
  <c r="I521" i="14"/>
  <c r="B340" i="21" s="1" a="1"/>
  <c r="B340" i="21" s="1"/>
  <c r="I520" i="14"/>
  <c r="B343" i="21" s="1" a="1"/>
  <c r="B343" i="21" s="1"/>
  <c r="I519" i="14"/>
  <c r="I518" i="14"/>
  <c r="I517" i="14"/>
  <c r="I516" i="14"/>
  <c r="B361" i="21" s="1" a="1"/>
  <c r="B361" i="21" s="1"/>
  <c r="I515" i="14"/>
  <c r="B355" i="21" s="1" a="1"/>
  <c r="B355" i="21" s="1"/>
  <c r="I514" i="14"/>
  <c r="B357" i="21" s="1" a="1"/>
  <c r="B357" i="21" s="1"/>
  <c r="I513" i="14"/>
  <c r="B362" i="21" s="1" a="1"/>
  <c r="B362" i="21" s="1"/>
  <c r="I512" i="14"/>
  <c r="I511" i="14"/>
  <c r="I510" i="14"/>
  <c r="I509" i="14"/>
  <c r="I508" i="14"/>
  <c r="I507" i="14"/>
  <c r="B327" i="21" s="1" a="1"/>
  <c r="B327" i="21" s="1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B728" i="21" s="1" a="1"/>
  <c r="B728" i="21" s="1"/>
  <c r="I150" i="14"/>
  <c r="B753" i="21" s="1" a="1"/>
  <c r="B753" i="21" s="1"/>
  <c r="I149" i="14"/>
  <c r="B755" i="21" s="1" a="1"/>
  <c r="B755" i="21" s="1"/>
  <c r="I148" i="14"/>
  <c r="I147" i="14"/>
  <c r="I146" i="14"/>
  <c r="I145" i="14"/>
  <c r="B740" i="21" s="1" a="1"/>
  <c r="B740" i="21" s="1"/>
  <c r="I144" i="14"/>
  <c r="B760" i="21" s="1" a="1"/>
  <c r="B760" i="21" s="1"/>
  <c r="I143" i="14"/>
  <c r="B789" i="21" s="1" a="1"/>
  <c r="B789" i="21" s="1"/>
  <c r="I142" i="14"/>
  <c r="B738" i="21" s="1" a="1"/>
  <c r="B738" i="21" s="1"/>
  <c r="I141" i="14"/>
  <c r="B739" i="21" s="1" a="1"/>
  <c r="B739" i="21" s="1"/>
  <c r="I140" i="14"/>
  <c r="I139" i="14"/>
  <c r="B741" i="21" s="1" a="1"/>
  <c r="B741" i="21" s="1"/>
  <c r="I138" i="14"/>
  <c r="B756" i="21" s="1" a="1"/>
  <c r="B756" i="21" s="1"/>
  <c r="I137" i="14"/>
  <c r="I136" i="14"/>
  <c r="B778" i="21" s="1" a="1"/>
  <c r="B778" i="21" s="1"/>
  <c r="I135" i="14"/>
  <c r="I134" i="14"/>
  <c r="I133" i="14"/>
  <c r="I132" i="14"/>
  <c r="B746" i="21" s="1" a="1"/>
  <c r="B746" i="21" s="1"/>
  <c r="I131" i="14"/>
  <c r="I130" i="14"/>
  <c r="I129" i="14"/>
  <c r="I128" i="14"/>
  <c r="B770" i="21" s="1" a="1"/>
  <c r="B770" i="21" s="1"/>
  <c r="I127" i="14"/>
  <c r="I126" i="14"/>
  <c r="I125" i="14"/>
  <c r="I124" i="14"/>
  <c r="I123" i="14"/>
  <c r="B786" i="21" s="1" a="1"/>
  <c r="B786" i="21" s="1"/>
  <c r="I122" i="14"/>
  <c r="I121" i="14"/>
  <c r="I120" i="14"/>
  <c r="I119" i="14"/>
  <c r="B777" i="21" s="1" a="1"/>
  <c r="B777" i="21" s="1"/>
  <c r="I118" i="14"/>
  <c r="I117" i="14"/>
  <c r="B761" i="21" s="1" a="1"/>
  <c r="B761" i="21" s="1"/>
  <c r="I116" i="14"/>
  <c r="B745" i="21" s="1" a="1"/>
  <c r="B745" i="21" s="1"/>
  <c r="I115" i="14"/>
  <c r="B785" i="21" s="1" a="1"/>
  <c r="B785" i="21" s="1"/>
  <c r="I114" i="14"/>
  <c r="B748" i="21" s="1" a="1"/>
  <c r="B748" i="21" s="1"/>
  <c r="I113" i="14"/>
  <c r="I112" i="14"/>
  <c r="I111" i="14"/>
  <c r="B763" i="21" s="1" a="1"/>
  <c r="B763" i="21" s="1"/>
  <c r="I110" i="14"/>
  <c r="B758" i="21" s="1" a="1"/>
  <c r="B758" i="21" s="1"/>
  <c r="I109" i="14"/>
  <c r="I108" i="14"/>
  <c r="I107" i="14"/>
  <c r="B757" i="21" s="1" a="1"/>
  <c r="B757" i="21" s="1"/>
  <c r="I106" i="14"/>
  <c r="B744" i="21" s="1" a="1"/>
  <c r="B744" i="21" s="1"/>
  <c r="I105" i="14"/>
  <c r="B783" i="21" s="1" a="1"/>
  <c r="B783" i="21" s="1"/>
  <c r="I104" i="14"/>
  <c r="I103" i="14"/>
  <c r="B773" i="21" s="1" a="1"/>
  <c r="B773" i="21" s="1"/>
  <c r="I102" i="14"/>
  <c r="B742" i="21" s="1" a="1"/>
  <c r="B742" i="21" s="1"/>
  <c r="I101" i="14"/>
  <c r="B788" i="21" s="1" a="1"/>
  <c r="B788" i="21" s="1"/>
  <c r="I100" i="14"/>
  <c r="B766" i="21" s="1" a="1"/>
  <c r="B766" i="21" s="1"/>
  <c r="I99" i="14"/>
  <c r="B751" i="21" s="1" a="1"/>
  <c r="B751" i="21" s="1"/>
  <c r="I98" i="14"/>
  <c r="B732" i="21" s="1" a="1"/>
  <c r="B732" i="21" s="1"/>
  <c r="I97" i="14"/>
  <c r="I96" i="14"/>
  <c r="B754" i="21" s="1" a="1"/>
  <c r="B754" i="21" s="1"/>
  <c r="I95" i="14"/>
  <c r="B759" i="21" s="1" a="1"/>
  <c r="B759" i="21" s="1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AC789" i="17"/>
  <c r="AC788" i="17"/>
  <c r="AC787" i="17"/>
  <c r="AC786" i="17"/>
  <c r="AC785" i="17"/>
  <c r="AC784" i="17"/>
  <c r="AC783" i="17"/>
  <c r="AC782" i="17"/>
  <c r="AC781" i="17"/>
  <c r="AC780" i="17"/>
  <c r="AC779" i="17"/>
  <c r="AC778" i="17"/>
  <c r="AC777" i="17"/>
  <c r="AC776" i="17"/>
  <c r="AC775" i="17"/>
  <c r="AC774" i="17"/>
  <c r="AC773" i="17"/>
  <c r="AC772" i="17"/>
  <c r="AC771" i="17"/>
  <c r="AC770" i="17"/>
  <c r="AC769" i="17"/>
  <c r="AC768" i="17"/>
  <c r="AC767" i="17"/>
  <c r="AC766" i="17"/>
  <c r="AC765" i="17"/>
  <c r="AC764" i="17"/>
  <c r="AC763" i="17"/>
  <c r="AC762" i="17"/>
  <c r="AC761" i="17"/>
  <c r="AC760" i="17"/>
  <c r="AC759" i="17"/>
  <c r="AC758" i="17"/>
  <c r="AC757" i="17"/>
  <c r="AC756" i="17"/>
  <c r="AC755" i="17"/>
  <c r="AC754" i="17"/>
  <c r="AC753" i="17"/>
  <c r="AC752" i="17"/>
  <c r="AC751" i="17"/>
  <c r="AC750" i="17"/>
  <c r="AC749" i="17"/>
  <c r="AC748" i="17"/>
  <c r="AC747" i="17"/>
  <c r="AC746" i="17"/>
  <c r="AC745" i="17"/>
  <c r="AC744" i="17"/>
  <c r="AC743" i="17"/>
  <c r="AC742" i="17"/>
  <c r="AC741" i="17"/>
  <c r="AC740" i="17"/>
  <c r="AC739" i="17"/>
  <c r="AC738" i="17"/>
  <c r="AC737" i="17"/>
  <c r="AC736" i="17"/>
  <c r="AC735" i="17"/>
  <c r="AC734" i="17"/>
  <c r="AC733" i="17"/>
  <c r="AC732" i="17"/>
  <c r="AC731" i="17"/>
  <c r="AC730" i="17"/>
  <c r="AC729" i="17"/>
  <c r="AC728" i="17"/>
  <c r="AC727" i="17"/>
  <c r="AC726" i="17"/>
  <c r="AC725" i="17"/>
  <c r="AC724" i="17"/>
  <c r="AC723" i="17"/>
  <c r="AC722" i="17"/>
  <c r="AC721" i="17"/>
  <c r="AC720" i="17"/>
  <c r="AC719" i="17"/>
  <c r="AC718" i="17"/>
  <c r="L718" i="17"/>
  <c r="AC717" i="17"/>
  <c r="L717" i="17"/>
  <c r="AC716" i="17"/>
  <c r="L716" i="17"/>
  <c r="AC715" i="17"/>
  <c r="L715" i="17"/>
  <c r="AC714" i="17"/>
  <c r="L714" i="17"/>
  <c r="AC713" i="17"/>
  <c r="L713" i="17"/>
  <c r="AC712" i="17"/>
  <c r="L712" i="17"/>
  <c r="AC711" i="17"/>
  <c r="L711" i="17"/>
  <c r="AC710" i="17"/>
  <c r="L710" i="17"/>
  <c r="AC709" i="17"/>
  <c r="L709" i="17"/>
  <c r="AC708" i="17"/>
  <c r="L708" i="17"/>
  <c r="AC707" i="17"/>
  <c r="L707" i="17"/>
  <c r="AC706" i="17"/>
  <c r="L706" i="17"/>
  <c r="AC705" i="17"/>
  <c r="L705" i="17"/>
  <c r="AC704" i="17"/>
  <c r="L704" i="17"/>
  <c r="AC703" i="17"/>
  <c r="L703" i="17"/>
  <c r="AC702" i="17"/>
  <c r="L702" i="17"/>
  <c r="AC701" i="17"/>
  <c r="L701" i="17"/>
  <c r="AC700" i="17"/>
  <c r="L700" i="17"/>
  <c r="AC699" i="17"/>
  <c r="L699" i="17"/>
  <c r="AC698" i="17"/>
  <c r="L698" i="17"/>
  <c r="AC697" i="17"/>
  <c r="L697" i="17"/>
  <c r="AC696" i="17"/>
  <c r="L696" i="17"/>
  <c r="AC695" i="17"/>
  <c r="L695" i="17"/>
  <c r="AC694" i="17"/>
  <c r="L694" i="17"/>
  <c r="AC693" i="17"/>
  <c r="L693" i="17"/>
  <c r="AC692" i="17"/>
  <c r="L692" i="17"/>
  <c r="AC691" i="17"/>
  <c r="L691" i="17"/>
  <c r="AC690" i="17"/>
  <c r="L690" i="17"/>
  <c r="AC689" i="17"/>
  <c r="L689" i="17"/>
  <c r="AC688" i="17"/>
  <c r="L688" i="17"/>
  <c r="AC687" i="17"/>
  <c r="L687" i="17"/>
  <c r="AC686" i="17"/>
  <c r="L686" i="17"/>
  <c r="AC685" i="17"/>
  <c r="L685" i="17"/>
  <c r="AC684" i="17"/>
  <c r="L684" i="17"/>
  <c r="AC683" i="17"/>
  <c r="L683" i="17"/>
  <c r="AC682" i="17"/>
  <c r="L682" i="17"/>
  <c r="AC681" i="17"/>
  <c r="L681" i="17"/>
  <c r="AC680" i="17"/>
  <c r="L680" i="17"/>
  <c r="AC679" i="17"/>
  <c r="L679" i="17"/>
  <c r="AC678" i="17"/>
  <c r="L678" i="17"/>
  <c r="AC677" i="17"/>
  <c r="L677" i="17"/>
  <c r="AC676" i="17"/>
  <c r="L676" i="17"/>
  <c r="AC675" i="17"/>
  <c r="L675" i="17"/>
  <c r="AC674" i="17"/>
  <c r="L674" i="17"/>
  <c r="AC673" i="17"/>
  <c r="L673" i="17"/>
  <c r="AC672" i="17"/>
  <c r="L672" i="17"/>
  <c r="AC671" i="17"/>
  <c r="L671" i="17"/>
  <c r="AC670" i="17"/>
  <c r="L670" i="17"/>
  <c r="AC669" i="17"/>
  <c r="L669" i="17"/>
  <c r="AC668" i="17"/>
  <c r="L668" i="17"/>
  <c r="AC667" i="17"/>
  <c r="L667" i="17"/>
  <c r="AC666" i="17"/>
  <c r="L666" i="17"/>
  <c r="AC665" i="17"/>
  <c r="L665" i="17"/>
  <c r="AC664" i="17"/>
  <c r="L664" i="17"/>
  <c r="AC663" i="17"/>
  <c r="L663" i="17"/>
  <c r="AC662" i="17"/>
  <c r="L662" i="17"/>
  <c r="AC661" i="17"/>
  <c r="L661" i="17"/>
  <c r="AC660" i="17"/>
  <c r="L660" i="17"/>
  <c r="AC659" i="17"/>
  <c r="L659" i="17"/>
  <c r="AC658" i="17"/>
  <c r="L658" i="17"/>
  <c r="AC657" i="17"/>
  <c r="L657" i="17"/>
  <c r="AC656" i="17"/>
  <c r="L656" i="17"/>
  <c r="AC655" i="17"/>
  <c r="L655" i="17"/>
  <c r="AC654" i="17"/>
  <c r="L654" i="17"/>
  <c r="AC653" i="17"/>
  <c r="L653" i="17"/>
  <c r="AC652" i="17"/>
  <c r="L652" i="17"/>
  <c r="AC651" i="17"/>
  <c r="L651" i="17"/>
  <c r="AC650" i="17"/>
  <c r="L650" i="17"/>
  <c r="AC649" i="17"/>
  <c r="L649" i="17"/>
  <c r="AC648" i="17"/>
  <c r="L648" i="17"/>
  <c r="AC647" i="17"/>
  <c r="L647" i="17"/>
  <c r="AC646" i="17"/>
  <c r="L646" i="17"/>
  <c r="AC645" i="17"/>
  <c r="L645" i="17"/>
  <c r="AC644" i="17"/>
  <c r="L644" i="17"/>
  <c r="AC643" i="17"/>
  <c r="L643" i="17"/>
  <c r="AC642" i="17"/>
  <c r="L642" i="17"/>
  <c r="AC641" i="17"/>
  <c r="L641" i="17"/>
  <c r="AC640" i="17"/>
  <c r="L640" i="17"/>
  <c r="AC639" i="17"/>
  <c r="L639" i="17"/>
  <c r="AC638" i="17"/>
  <c r="L638" i="17"/>
  <c r="AC637" i="17"/>
  <c r="L637" i="17"/>
  <c r="AC636" i="17"/>
  <c r="L636" i="17"/>
  <c r="AC635" i="17"/>
  <c r="L635" i="17"/>
  <c r="AC634" i="17"/>
  <c r="L634" i="17"/>
  <c r="AC633" i="17"/>
  <c r="L633" i="17"/>
  <c r="AC632" i="17"/>
  <c r="L632" i="17"/>
  <c r="AC631" i="17"/>
  <c r="L631" i="17"/>
  <c r="AC630" i="17"/>
  <c r="L630" i="17"/>
  <c r="AC629" i="17"/>
  <c r="L629" i="17"/>
  <c r="AC628" i="17"/>
  <c r="L628" i="17"/>
  <c r="AC627" i="17"/>
  <c r="L627" i="17"/>
  <c r="AC626" i="17"/>
  <c r="L626" i="17"/>
  <c r="AC625" i="17"/>
  <c r="L625" i="17"/>
  <c r="AC624" i="17"/>
  <c r="L624" i="17"/>
  <c r="AC623" i="17"/>
  <c r="L623" i="17"/>
  <c r="AC622" i="17"/>
  <c r="L622" i="17"/>
  <c r="AC621" i="17"/>
  <c r="L621" i="17"/>
  <c r="AC620" i="17"/>
  <c r="L620" i="17"/>
  <c r="AC619" i="17"/>
  <c r="L619" i="17"/>
  <c r="AC618" i="17"/>
  <c r="L618" i="17"/>
  <c r="AC617" i="17"/>
  <c r="L617" i="17"/>
  <c r="AC616" i="17"/>
  <c r="L616" i="17"/>
  <c r="AC615" i="17"/>
  <c r="L615" i="17"/>
  <c r="AC614" i="17"/>
  <c r="L614" i="17"/>
  <c r="AC613" i="17"/>
  <c r="L613" i="17"/>
  <c r="AC612" i="17"/>
  <c r="L612" i="17"/>
  <c r="AC611" i="17"/>
  <c r="L611" i="17"/>
  <c r="AC610" i="17"/>
  <c r="L610" i="17"/>
  <c r="AC609" i="17"/>
  <c r="L609" i="17"/>
  <c r="AC608" i="17"/>
  <c r="L608" i="17"/>
  <c r="AC607" i="17"/>
  <c r="L607" i="17"/>
  <c r="AC606" i="17"/>
  <c r="L606" i="17"/>
  <c r="AC605" i="17"/>
  <c r="L605" i="17"/>
  <c r="AC604" i="17"/>
  <c r="L604" i="17"/>
  <c r="AC603" i="17"/>
  <c r="L603" i="17"/>
  <c r="AC602" i="17"/>
  <c r="L602" i="17"/>
  <c r="AC601" i="17"/>
  <c r="L601" i="17"/>
  <c r="AC600" i="17"/>
  <c r="L600" i="17"/>
  <c r="AC599" i="17"/>
  <c r="L599" i="17"/>
  <c r="AC598" i="17"/>
  <c r="L598" i="17"/>
  <c r="AC597" i="17"/>
  <c r="L597" i="17"/>
  <c r="AC596" i="17"/>
  <c r="L596" i="17"/>
  <c r="AC595" i="17"/>
  <c r="L595" i="17"/>
  <c r="AC594" i="17"/>
  <c r="L594" i="17"/>
  <c r="AC593" i="17"/>
  <c r="L593" i="17"/>
  <c r="AC592" i="17"/>
  <c r="L592" i="17"/>
  <c r="AC591" i="17"/>
  <c r="AC590" i="17"/>
  <c r="L590" i="17"/>
  <c r="AC589" i="17"/>
  <c r="L589" i="17"/>
  <c r="AC588" i="17"/>
  <c r="L588" i="17"/>
  <c r="AC587" i="17"/>
  <c r="L587" i="17"/>
  <c r="AC586" i="17"/>
  <c r="L586" i="17"/>
  <c r="AC585" i="17"/>
  <c r="L585" i="17"/>
  <c r="AC584" i="17"/>
  <c r="L584" i="17"/>
  <c r="AC583" i="17"/>
  <c r="L583" i="17"/>
  <c r="AC582" i="17"/>
  <c r="L582" i="17"/>
  <c r="AC581" i="17"/>
  <c r="L581" i="17"/>
  <c r="AC580" i="17"/>
  <c r="L580" i="17"/>
  <c r="AC579" i="17"/>
  <c r="L579" i="17"/>
  <c r="AC578" i="17"/>
  <c r="L578" i="17"/>
  <c r="AC577" i="17"/>
  <c r="L577" i="17"/>
  <c r="AC576" i="17"/>
  <c r="L576" i="17"/>
  <c r="AC575" i="17"/>
  <c r="L575" i="17"/>
  <c r="AC574" i="17"/>
  <c r="L574" i="17"/>
  <c r="AC573" i="17"/>
  <c r="L573" i="17"/>
  <c r="AC572" i="17"/>
  <c r="L572" i="17"/>
  <c r="AC571" i="17"/>
  <c r="L571" i="17"/>
  <c r="AC570" i="17"/>
  <c r="L570" i="17"/>
  <c r="AC569" i="17"/>
  <c r="L569" i="17"/>
  <c r="AC568" i="17"/>
  <c r="L568" i="17"/>
  <c r="AC567" i="17"/>
  <c r="L567" i="17"/>
  <c r="AC566" i="17"/>
  <c r="L566" i="17"/>
  <c r="AC565" i="17"/>
  <c r="L565" i="17"/>
  <c r="AC564" i="17"/>
  <c r="L564" i="17"/>
  <c r="AC563" i="17"/>
  <c r="L563" i="17"/>
  <c r="AC562" i="17"/>
  <c r="L562" i="17"/>
  <c r="AC561" i="17"/>
  <c r="L561" i="17"/>
  <c r="AC560" i="17"/>
  <c r="L560" i="17"/>
  <c r="AC559" i="17"/>
  <c r="L559" i="17"/>
  <c r="AC558" i="17"/>
  <c r="L558" i="17"/>
  <c r="AC557" i="17"/>
  <c r="L557" i="17"/>
  <c r="AC556" i="17"/>
  <c r="L556" i="17"/>
  <c r="AC555" i="17"/>
  <c r="L555" i="17"/>
  <c r="AC554" i="17"/>
  <c r="L554" i="17"/>
  <c r="AC553" i="17"/>
  <c r="L553" i="17"/>
  <c r="AC552" i="17"/>
  <c r="L552" i="17"/>
  <c r="AC551" i="17"/>
  <c r="L551" i="17"/>
  <c r="AC550" i="17"/>
  <c r="L550" i="17"/>
  <c r="AC549" i="17"/>
  <c r="L549" i="17"/>
  <c r="AC548" i="17"/>
  <c r="L548" i="17"/>
  <c r="AC547" i="17"/>
  <c r="L547" i="17"/>
  <c r="AC546" i="17"/>
  <c r="L546" i="17"/>
  <c r="AC545" i="17"/>
  <c r="L545" i="17"/>
  <c r="AC544" i="17"/>
  <c r="L544" i="17"/>
  <c r="AC543" i="17"/>
  <c r="L543" i="17"/>
  <c r="AC542" i="17"/>
  <c r="L542" i="17"/>
  <c r="AC541" i="17"/>
  <c r="L541" i="17"/>
  <c r="AC540" i="17"/>
  <c r="L540" i="17"/>
  <c r="AC539" i="17"/>
  <c r="L539" i="17"/>
  <c r="AC538" i="17"/>
  <c r="L538" i="17"/>
  <c r="AC537" i="17"/>
  <c r="L537" i="17"/>
  <c r="AC536" i="17"/>
  <c r="L536" i="17"/>
  <c r="AC535" i="17"/>
  <c r="L535" i="17"/>
  <c r="AC534" i="17"/>
  <c r="L534" i="17"/>
  <c r="AC533" i="17"/>
  <c r="L533" i="17"/>
  <c r="AC532" i="17"/>
  <c r="L532" i="17"/>
  <c r="AC531" i="17"/>
  <c r="L531" i="17"/>
  <c r="AC530" i="17"/>
  <c r="L530" i="17"/>
  <c r="AC529" i="17"/>
  <c r="L529" i="17"/>
  <c r="AC528" i="17"/>
  <c r="L528" i="17"/>
  <c r="AC527" i="17"/>
  <c r="L527" i="17"/>
  <c r="AC526" i="17"/>
  <c r="L526" i="17"/>
  <c r="AC525" i="17"/>
  <c r="L525" i="17"/>
  <c r="AC524" i="17"/>
  <c r="L524" i="17"/>
  <c r="AC523" i="17"/>
  <c r="L523" i="17"/>
  <c r="AC522" i="17"/>
  <c r="L522" i="17"/>
  <c r="AC521" i="17"/>
  <c r="L521" i="17"/>
  <c r="AC520" i="17"/>
  <c r="L520" i="17"/>
  <c r="AC519" i="17"/>
  <c r="L519" i="17"/>
  <c r="AC518" i="17"/>
  <c r="L518" i="17"/>
  <c r="AC517" i="17"/>
  <c r="L517" i="17"/>
  <c r="AC516" i="17"/>
  <c r="L516" i="17"/>
  <c r="AC515" i="17"/>
  <c r="L515" i="17"/>
  <c r="AC514" i="17"/>
  <c r="L514" i="17"/>
  <c r="AC513" i="17"/>
  <c r="L513" i="17"/>
  <c r="AC512" i="17"/>
  <c r="L512" i="17"/>
  <c r="AC511" i="17"/>
  <c r="L511" i="17"/>
  <c r="AC510" i="17"/>
  <c r="L510" i="17"/>
  <c r="AC509" i="17"/>
  <c r="L509" i="17"/>
  <c r="AC508" i="17"/>
  <c r="L508" i="17"/>
  <c r="AC507" i="17"/>
  <c r="L507" i="17"/>
  <c r="AC506" i="17"/>
  <c r="L506" i="17"/>
  <c r="AC505" i="17"/>
  <c r="L505" i="17"/>
  <c r="B792" i="21" s="1" a="1"/>
  <c r="B792" i="21" s="1"/>
  <c r="AC504" i="17"/>
  <c r="L504" i="17"/>
  <c r="AC503" i="17"/>
  <c r="L503" i="17"/>
  <c r="AC502" i="17"/>
  <c r="L502" i="17"/>
  <c r="AC501" i="17"/>
  <c r="L501" i="17"/>
  <c r="AC500" i="17"/>
  <c r="L500" i="17"/>
  <c r="AC499" i="17"/>
  <c r="L499" i="17"/>
  <c r="AC498" i="17"/>
  <c r="L498" i="17"/>
  <c r="AC497" i="17"/>
  <c r="L497" i="17"/>
  <c r="AC496" i="17"/>
  <c r="L496" i="17"/>
  <c r="AC495" i="17"/>
  <c r="L495" i="17"/>
  <c r="AC494" i="17"/>
  <c r="L494" i="17"/>
  <c r="AC493" i="17"/>
  <c r="L493" i="17"/>
  <c r="AC492" i="17"/>
  <c r="L492" i="17"/>
  <c r="AC491" i="17"/>
  <c r="L491" i="17"/>
  <c r="AC490" i="17"/>
  <c r="L490" i="17"/>
  <c r="AC489" i="17"/>
  <c r="L489" i="17"/>
  <c r="AC488" i="17"/>
  <c r="L488" i="17"/>
  <c r="AC487" i="17"/>
  <c r="L487" i="17"/>
  <c r="AC486" i="17"/>
  <c r="L486" i="17"/>
  <c r="AC485" i="17"/>
  <c r="L485" i="17"/>
  <c r="AC484" i="17"/>
  <c r="L484" i="17"/>
  <c r="AC483" i="17"/>
  <c r="L483" i="17"/>
  <c r="AC482" i="17"/>
  <c r="L482" i="17"/>
  <c r="AC481" i="17"/>
  <c r="AC480" i="17"/>
  <c r="L480" i="17"/>
  <c r="AC479" i="17"/>
  <c r="L479" i="17"/>
  <c r="AC478" i="17"/>
  <c r="L478" i="17"/>
  <c r="AC477" i="17"/>
  <c r="L477" i="17"/>
  <c r="AC476" i="17"/>
  <c r="L476" i="17"/>
  <c r="AC475" i="17"/>
  <c r="L475" i="17"/>
  <c r="AC474" i="17"/>
  <c r="L474" i="17"/>
  <c r="AC473" i="17"/>
  <c r="L473" i="17"/>
  <c r="AC472" i="17"/>
  <c r="L472" i="17"/>
  <c r="AC471" i="17"/>
  <c r="L471" i="17"/>
  <c r="AC470" i="17"/>
  <c r="L470" i="17"/>
  <c r="AC469" i="17"/>
  <c r="L469" i="17"/>
  <c r="AC468" i="17"/>
  <c r="L468" i="17"/>
  <c r="AC467" i="17"/>
  <c r="L467" i="17"/>
  <c r="AC466" i="17"/>
  <c r="L466" i="17"/>
  <c r="AC465" i="17"/>
  <c r="L465" i="17"/>
  <c r="AC464" i="17"/>
  <c r="L464" i="17"/>
  <c r="AC463" i="17"/>
  <c r="L463" i="17"/>
  <c r="AC462" i="17"/>
  <c r="L462" i="17"/>
  <c r="AC461" i="17"/>
  <c r="L461" i="17"/>
  <c r="AC460" i="17"/>
  <c r="L460" i="17"/>
  <c r="AC459" i="17"/>
  <c r="L459" i="17"/>
  <c r="AC458" i="17"/>
  <c r="L458" i="17"/>
  <c r="AC457" i="17"/>
  <c r="L457" i="17"/>
  <c r="AC456" i="17"/>
  <c r="L456" i="17"/>
  <c r="AC455" i="17"/>
  <c r="L455" i="17"/>
  <c r="AC454" i="17"/>
  <c r="L454" i="17"/>
  <c r="AC453" i="17"/>
  <c r="L453" i="17"/>
  <c r="AC452" i="17"/>
  <c r="L452" i="17"/>
  <c r="AC451" i="17"/>
  <c r="L451" i="17"/>
  <c r="AC450" i="17"/>
  <c r="L450" i="17"/>
  <c r="AC449" i="17"/>
  <c r="L449" i="17"/>
  <c r="AC448" i="17"/>
  <c r="L448" i="17"/>
  <c r="AC447" i="17"/>
  <c r="L447" i="17"/>
  <c r="AC446" i="17"/>
  <c r="L446" i="17"/>
  <c r="AC445" i="17"/>
  <c r="L445" i="17"/>
  <c r="AC444" i="17"/>
  <c r="L444" i="17"/>
  <c r="AC443" i="17"/>
  <c r="L443" i="17"/>
  <c r="AC442" i="17"/>
  <c r="L442" i="17"/>
  <c r="AC441" i="17"/>
  <c r="L441" i="17"/>
  <c r="AC440" i="17"/>
  <c r="L440" i="17"/>
  <c r="AC439" i="17"/>
  <c r="L439" i="17"/>
  <c r="AC438" i="17"/>
  <c r="L438" i="17"/>
  <c r="AC437" i="17"/>
  <c r="L437" i="17"/>
  <c r="AC436" i="17"/>
  <c r="L436" i="17"/>
  <c r="AC435" i="17"/>
  <c r="L435" i="17"/>
  <c r="AC434" i="17"/>
  <c r="L434" i="17"/>
  <c r="AC433" i="17"/>
  <c r="L433" i="17"/>
  <c r="AC432" i="17"/>
  <c r="L432" i="17"/>
  <c r="AC431" i="17"/>
  <c r="L431" i="17"/>
  <c r="AC430" i="17"/>
  <c r="L430" i="17"/>
  <c r="AC429" i="17"/>
  <c r="L429" i="17"/>
  <c r="AC428" i="17"/>
  <c r="L428" i="17"/>
  <c r="AC427" i="17"/>
  <c r="L427" i="17"/>
  <c r="AC426" i="17"/>
  <c r="L426" i="17"/>
  <c r="AC425" i="17"/>
  <c r="L425" i="17"/>
  <c r="AC424" i="17"/>
  <c r="L424" i="17"/>
  <c r="AC423" i="17"/>
  <c r="L423" i="17"/>
  <c r="AC422" i="17"/>
  <c r="L422" i="17"/>
  <c r="AC421" i="17"/>
  <c r="L421" i="17"/>
  <c r="AC420" i="17"/>
  <c r="L420" i="17"/>
  <c r="AC419" i="17"/>
  <c r="L419" i="17"/>
  <c r="AC418" i="17"/>
  <c r="L418" i="17"/>
  <c r="AC417" i="17"/>
  <c r="L417" i="17"/>
  <c r="AC416" i="17"/>
  <c r="L416" i="17"/>
  <c r="AC415" i="17"/>
  <c r="L415" i="17"/>
  <c r="AC414" i="17"/>
  <c r="L414" i="17"/>
  <c r="AC413" i="17"/>
  <c r="L413" i="17"/>
  <c r="AC412" i="17"/>
  <c r="L412" i="17"/>
  <c r="AC411" i="17"/>
  <c r="L411" i="17"/>
  <c r="AC410" i="17"/>
  <c r="L410" i="17"/>
  <c r="AC409" i="17"/>
  <c r="L409" i="17"/>
  <c r="AC408" i="17"/>
  <c r="L408" i="17"/>
  <c r="AC407" i="17"/>
  <c r="L407" i="17"/>
  <c r="AC406" i="17"/>
  <c r="L406" i="17"/>
  <c r="AC405" i="17"/>
  <c r="L405" i="17"/>
  <c r="AC404" i="17"/>
  <c r="L404" i="17"/>
  <c r="AC403" i="17"/>
  <c r="L403" i="17"/>
  <c r="AC402" i="17"/>
  <c r="L402" i="17"/>
  <c r="AC401" i="17"/>
  <c r="L401" i="17"/>
  <c r="AC400" i="17"/>
  <c r="L400" i="17"/>
  <c r="AC399" i="17"/>
  <c r="L399" i="17"/>
  <c r="AC398" i="17"/>
  <c r="L398" i="17"/>
  <c r="AC397" i="17"/>
  <c r="L397" i="17"/>
  <c r="AC396" i="17"/>
  <c r="L396" i="17"/>
  <c r="AC395" i="17"/>
  <c r="L395" i="17"/>
  <c r="AC394" i="17"/>
  <c r="L394" i="17"/>
  <c r="AC393" i="17"/>
  <c r="L393" i="17"/>
  <c r="AC392" i="17"/>
  <c r="L392" i="17"/>
  <c r="AC391" i="17"/>
  <c r="L391" i="17"/>
  <c r="AC390" i="17"/>
  <c r="L390" i="17"/>
  <c r="AC389" i="17"/>
  <c r="L389" i="17"/>
  <c r="AC388" i="17"/>
  <c r="L388" i="17"/>
  <c r="AC387" i="17"/>
  <c r="L387" i="17"/>
  <c r="AC386" i="17"/>
  <c r="L386" i="17"/>
  <c r="AC385" i="17"/>
  <c r="L385" i="17"/>
  <c r="AC384" i="17"/>
  <c r="L384" i="17"/>
  <c r="AC383" i="17"/>
  <c r="L383" i="17"/>
  <c r="AC382" i="17"/>
  <c r="L382" i="17"/>
  <c r="AC381" i="17"/>
  <c r="L381" i="17"/>
  <c r="AC380" i="17"/>
  <c r="L380" i="17"/>
  <c r="AC379" i="17"/>
  <c r="L379" i="17"/>
  <c r="AC378" i="17"/>
  <c r="L378" i="17"/>
  <c r="AC377" i="17"/>
  <c r="L377" i="17"/>
  <c r="AC376" i="17"/>
  <c r="L376" i="17"/>
  <c r="AC375" i="17"/>
  <c r="L375" i="17"/>
  <c r="AC374" i="17"/>
  <c r="L374" i="17"/>
  <c r="AC373" i="17"/>
  <c r="L373" i="17"/>
  <c r="AC372" i="17"/>
  <c r="L372" i="17"/>
  <c r="AC371" i="17"/>
  <c r="L371" i="17"/>
  <c r="AC370" i="17"/>
  <c r="L370" i="17"/>
  <c r="AC369" i="17"/>
  <c r="L369" i="17"/>
  <c r="AC368" i="17"/>
  <c r="L368" i="17"/>
  <c r="AC367" i="17"/>
  <c r="L367" i="17"/>
  <c r="AC366" i="17"/>
  <c r="L366" i="17"/>
  <c r="AC365" i="17"/>
  <c r="L365" i="17"/>
  <c r="AC364" i="17"/>
  <c r="L364" i="17"/>
  <c r="AC363" i="17"/>
  <c r="L363" i="17"/>
  <c r="AC362" i="17"/>
  <c r="L362" i="17"/>
  <c r="AC361" i="17"/>
  <c r="L361" i="17"/>
  <c r="AC360" i="17"/>
  <c r="L360" i="17"/>
  <c r="AC359" i="17"/>
  <c r="L359" i="17"/>
  <c r="AC358" i="17"/>
  <c r="L358" i="17"/>
  <c r="AC357" i="17"/>
  <c r="L357" i="17"/>
  <c r="AC356" i="17"/>
  <c r="L356" i="17"/>
  <c r="AC355" i="17"/>
  <c r="L355" i="17"/>
  <c r="AC354" i="17"/>
  <c r="L354" i="17"/>
  <c r="AC353" i="17"/>
  <c r="L353" i="17"/>
  <c r="AC352" i="17"/>
  <c r="L352" i="17"/>
  <c r="AC351" i="17"/>
  <c r="L351" i="17"/>
  <c r="AC350" i="17"/>
  <c r="L350" i="17"/>
  <c r="AC349" i="17"/>
  <c r="L349" i="17"/>
  <c r="AC348" i="17"/>
  <c r="L348" i="17"/>
  <c r="AC347" i="17"/>
  <c r="L347" i="17"/>
  <c r="AC346" i="17"/>
  <c r="L346" i="17"/>
  <c r="AC345" i="17"/>
  <c r="L345" i="17"/>
  <c r="AC344" i="17"/>
  <c r="L344" i="17"/>
  <c r="AC343" i="17"/>
  <c r="L343" i="17"/>
  <c r="AC342" i="17"/>
  <c r="L342" i="17"/>
  <c r="AC341" i="17"/>
  <c r="L341" i="17"/>
  <c r="AC340" i="17"/>
  <c r="L340" i="17"/>
  <c r="AC339" i="17"/>
  <c r="L339" i="17"/>
  <c r="AC338" i="17"/>
  <c r="L338" i="17"/>
  <c r="AC337" i="17"/>
  <c r="L337" i="17"/>
  <c r="AC336" i="17"/>
  <c r="L336" i="17"/>
  <c r="AC335" i="17"/>
  <c r="L335" i="17"/>
  <c r="AC334" i="17"/>
  <c r="L334" i="17"/>
  <c r="AC333" i="17"/>
  <c r="L333" i="17"/>
  <c r="AC332" i="17"/>
  <c r="L332" i="17"/>
  <c r="AC331" i="17"/>
  <c r="L331" i="17"/>
  <c r="AC330" i="17"/>
  <c r="L330" i="17"/>
  <c r="AC329" i="17"/>
  <c r="L329" i="17"/>
  <c r="AC328" i="17"/>
  <c r="L328" i="17"/>
  <c r="AC327" i="17"/>
  <c r="L327" i="17"/>
  <c r="AC326" i="17"/>
  <c r="L326" i="17"/>
  <c r="AC325" i="17"/>
  <c r="L325" i="17"/>
  <c r="AC324" i="17"/>
  <c r="L324" i="17"/>
  <c r="AC323" i="17"/>
  <c r="L323" i="17"/>
  <c r="AC322" i="17"/>
  <c r="L322" i="17"/>
  <c r="AC321" i="17"/>
  <c r="L321" i="17"/>
  <c r="AC320" i="17"/>
  <c r="L320" i="17"/>
  <c r="AC319" i="17"/>
  <c r="L319" i="17"/>
  <c r="AC318" i="17"/>
  <c r="L318" i="17"/>
  <c r="AC317" i="17"/>
  <c r="L317" i="17"/>
  <c r="AC316" i="17"/>
  <c r="L316" i="17"/>
  <c r="AC315" i="17"/>
  <c r="L315" i="17"/>
  <c r="AC314" i="17"/>
  <c r="L314" i="17"/>
  <c r="AC313" i="17"/>
  <c r="L313" i="17"/>
  <c r="AC312" i="17"/>
  <c r="L312" i="17"/>
  <c r="AC311" i="17"/>
  <c r="L311" i="17"/>
  <c r="AC310" i="17"/>
  <c r="L310" i="17"/>
  <c r="AC309" i="17"/>
  <c r="L309" i="17"/>
  <c r="AC308" i="17"/>
  <c r="L308" i="17"/>
  <c r="AC307" i="17"/>
  <c r="L307" i="17"/>
  <c r="AC306" i="17"/>
  <c r="L306" i="17"/>
  <c r="AC305" i="17"/>
  <c r="L305" i="17"/>
  <c r="AC304" i="17"/>
  <c r="L304" i="17"/>
  <c r="AC303" i="17"/>
  <c r="L303" i="17"/>
  <c r="AC302" i="17"/>
  <c r="L302" i="17"/>
  <c r="AC301" i="17"/>
  <c r="L301" i="17"/>
  <c r="AC300" i="17"/>
  <c r="L300" i="17"/>
  <c r="AC299" i="17"/>
  <c r="L299" i="17"/>
  <c r="AC298" i="17"/>
  <c r="L298" i="17"/>
  <c r="AC297" i="17"/>
  <c r="L297" i="17"/>
  <c r="AC296" i="17"/>
  <c r="L296" i="17"/>
  <c r="AC295" i="17"/>
  <c r="L295" i="17"/>
  <c r="AC294" i="17"/>
  <c r="L294" i="17"/>
  <c r="AC293" i="17"/>
  <c r="L293" i="17"/>
  <c r="AC292" i="17"/>
  <c r="L292" i="17"/>
  <c r="AC291" i="17"/>
  <c r="L291" i="17"/>
  <c r="AC290" i="17"/>
  <c r="L290" i="17"/>
  <c r="AC289" i="17"/>
  <c r="L289" i="17"/>
  <c r="AC288" i="17"/>
  <c r="L288" i="17"/>
  <c r="AC287" i="17"/>
  <c r="L287" i="17"/>
  <c r="AC286" i="17"/>
  <c r="L286" i="17"/>
  <c r="AC285" i="17"/>
  <c r="L285" i="17"/>
  <c r="AC284" i="17"/>
  <c r="L284" i="17"/>
  <c r="AC283" i="17"/>
  <c r="L283" i="17"/>
  <c r="AC282" i="17"/>
  <c r="L282" i="17"/>
  <c r="AC281" i="17"/>
  <c r="L281" i="17"/>
  <c r="AC280" i="17"/>
  <c r="L280" i="17"/>
  <c r="AC279" i="17"/>
  <c r="L279" i="17"/>
  <c r="AC278" i="17"/>
  <c r="L278" i="17"/>
  <c r="AC277" i="17"/>
  <c r="L277" i="17"/>
  <c r="AC276" i="17"/>
  <c r="L276" i="17"/>
  <c r="AC275" i="17"/>
  <c r="L275" i="17"/>
  <c r="AC274" i="17"/>
  <c r="L274" i="17"/>
  <c r="AC273" i="17"/>
  <c r="L273" i="17"/>
  <c r="AC272" i="17"/>
  <c r="L272" i="17"/>
  <c r="AC271" i="17"/>
  <c r="L271" i="17"/>
  <c r="AC270" i="17"/>
  <c r="L270" i="17"/>
  <c r="AC269" i="17"/>
  <c r="L269" i="17"/>
  <c r="AC268" i="17"/>
  <c r="L268" i="17"/>
  <c r="AC267" i="17"/>
  <c r="L267" i="17"/>
  <c r="AC266" i="17"/>
  <c r="L266" i="17"/>
  <c r="AC265" i="17"/>
  <c r="L265" i="17"/>
  <c r="AC264" i="17"/>
  <c r="L264" i="17"/>
  <c r="AC263" i="17"/>
  <c r="L263" i="17"/>
  <c r="AC262" i="17"/>
  <c r="L262" i="17"/>
  <c r="AC261" i="17"/>
  <c r="L261" i="17"/>
  <c r="AC260" i="17"/>
  <c r="L260" i="17"/>
  <c r="AC259" i="17"/>
  <c r="L259" i="17"/>
  <c r="AC258" i="17"/>
  <c r="L258" i="17"/>
  <c r="AC257" i="17"/>
  <c r="L257" i="17"/>
  <c r="AC256" i="17"/>
  <c r="L256" i="17"/>
  <c r="AC255" i="17"/>
  <c r="L255" i="17"/>
  <c r="AC254" i="17"/>
  <c r="L254" i="17"/>
  <c r="AC253" i="17"/>
  <c r="L253" i="17"/>
  <c r="AC252" i="17"/>
  <c r="L252" i="17"/>
  <c r="AC251" i="17"/>
  <c r="L251" i="17"/>
  <c r="AC250" i="17"/>
  <c r="L250" i="17"/>
  <c r="AC249" i="17"/>
  <c r="L249" i="17"/>
  <c r="AC248" i="17"/>
  <c r="L248" i="17"/>
  <c r="AC247" i="17"/>
  <c r="L247" i="17"/>
  <c r="AC246" i="17"/>
  <c r="L246" i="17"/>
  <c r="AC245" i="17"/>
  <c r="L245" i="17"/>
  <c r="AC244" i="17"/>
  <c r="L244" i="17"/>
  <c r="AC243" i="17"/>
  <c r="L243" i="17"/>
  <c r="AC242" i="17"/>
  <c r="L242" i="17"/>
  <c r="AC241" i="17"/>
  <c r="L241" i="17"/>
  <c r="AC240" i="17"/>
  <c r="L240" i="17"/>
  <c r="AC239" i="17"/>
  <c r="L239" i="17"/>
  <c r="AC238" i="17"/>
  <c r="L238" i="17"/>
  <c r="AC237" i="17"/>
  <c r="L237" i="17"/>
  <c r="AC236" i="17"/>
  <c r="L236" i="17"/>
  <c r="AC235" i="17"/>
  <c r="L235" i="17"/>
  <c r="AC234" i="17"/>
  <c r="L234" i="17"/>
  <c r="AC233" i="17"/>
  <c r="L233" i="17"/>
  <c r="AC232" i="17"/>
  <c r="L232" i="17"/>
  <c r="AC231" i="17"/>
  <c r="L231" i="17"/>
  <c r="AC230" i="17"/>
  <c r="L230" i="17"/>
  <c r="AC229" i="17"/>
  <c r="L229" i="17"/>
  <c r="AC228" i="17"/>
  <c r="L228" i="17"/>
  <c r="AC227" i="17"/>
  <c r="L227" i="17"/>
  <c r="AC226" i="17"/>
  <c r="L226" i="17"/>
  <c r="AC225" i="17"/>
  <c r="L225" i="17"/>
  <c r="AC224" i="17"/>
  <c r="L224" i="17"/>
  <c r="AC223" i="17"/>
  <c r="L223" i="17"/>
  <c r="AC222" i="17"/>
  <c r="L222" i="17"/>
  <c r="AC221" i="17"/>
  <c r="L221" i="17"/>
  <c r="AC220" i="17"/>
  <c r="L220" i="17"/>
  <c r="AC219" i="17"/>
  <c r="L219" i="17"/>
  <c r="AC218" i="17"/>
  <c r="L218" i="17"/>
  <c r="AC217" i="17"/>
  <c r="L217" i="17"/>
  <c r="AC216" i="17"/>
  <c r="L216" i="17"/>
  <c r="AC215" i="17"/>
  <c r="L215" i="17"/>
  <c r="AC214" i="17"/>
  <c r="L214" i="17"/>
  <c r="AC213" i="17"/>
  <c r="L213" i="17"/>
  <c r="AC212" i="17"/>
  <c r="L212" i="17"/>
  <c r="AC211" i="17"/>
  <c r="L211" i="17"/>
  <c r="AC210" i="17"/>
  <c r="L210" i="17"/>
  <c r="AC209" i="17"/>
  <c r="L209" i="17"/>
  <c r="AC208" i="17"/>
  <c r="L208" i="17"/>
  <c r="AC207" i="17"/>
  <c r="L207" i="17"/>
  <c r="AC206" i="17"/>
  <c r="L206" i="17"/>
  <c r="AC205" i="17"/>
  <c r="L205" i="17"/>
  <c r="AC204" i="17"/>
  <c r="L204" i="17"/>
  <c r="AC203" i="17"/>
  <c r="L203" i="17"/>
  <c r="AC202" i="17"/>
  <c r="L202" i="17"/>
  <c r="AC201" i="17"/>
  <c r="L201" i="17"/>
  <c r="AC200" i="17"/>
  <c r="L200" i="17"/>
  <c r="AC199" i="17"/>
  <c r="L199" i="17"/>
  <c r="AC198" i="17"/>
  <c r="L198" i="17"/>
  <c r="AC197" i="17"/>
  <c r="L197" i="17"/>
  <c r="AC196" i="17"/>
  <c r="L196" i="17"/>
  <c r="AC195" i="17"/>
  <c r="L195" i="17"/>
  <c r="AC194" i="17"/>
  <c r="L194" i="17"/>
  <c r="AC193" i="17"/>
  <c r="L193" i="17"/>
  <c r="AC192" i="17"/>
  <c r="L192" i="17"/>
  <c r="AC191" i="17"/>
  <c r="L191" i="17"/>
  <c r="AC190" i="17"/>
  <c r="L190" i="17"/>
  <c r="AC189" i="17"/>
  <c r="L189" i="17"/>
  <c r="AC188" i="17"/>
  <c r="L188" i="17"/>
  <c r="AC187" i="17"/>
  <c r="L187" i="17"/>
  <c r="AC186" i="17"/>
  <c r="L186" i="17"/>
  <c r="AC185" i="17"/>
  <c r="L185" i="17"/>
  <c r="AC184" i="17"/>
  <c r="L184" i="17"/>
  <c r="AC183" i="17"/>
  <c r="L183" i="17"/>
  <c r="AC182" i="17"/>
  <c r="L182" i="17"/>
  <c r="AC181" i="17"/>
  <c r="L181" i="17"/>
  <c r="AC180" i="17"/>
  <c r="L180" i="17"/>
  <c r="AC179" i="17"/>
  <c r="L179" i="17"/>
  <c r="AC178" i="17"/>
  <c r="L178" i="17"/>
  <c r="AC177" i="17"/>
  <c r="L177" i="17"/>
  <c r="AC176" i="17"/>
  <c r="L176" i="17"/>
  <c r="AC175" i="17"/>
  <c r="L175" i="17"/>
  <c r="AC174" i="17"/>
  <c r="L174" i="17"/>
  <c r="AC173" i="17"/>
  <c r="L173" i="17"/>
  <c r="AC172" i="17"/>
  <c r="L172" i="17"/>
  <c r="AC171" i="17"/>
  <c r="L171" i="17"/>
  <c r="AC170" i="17"/>
  <c r="L170" i="17"/>
  <c r="AC169" i="17"/>
  <c r="L169" i="17"/>
  <c r="AC168" i="17"/>
  <c r="L168" i="17"/>
  <c r="AC167" i="17"/>
  <c r="L167" i="17"/>
  <c r="AC166" i="17"/>
  <c r="L166" i="17"/>
  <c r="AC165" i="17"/>
  <c r="L165" i="17"/>
  <c r="AC164" i="17"/>
  <c r="L164" i="17"/>
  <c r="AC163" i="17"/>
  <c r="L163" i="17"/>
  <c r="AC162" i="17"/>
  <c r="L162" i="17"/>
  <c r="AC161" i="17"/>
  <c r="L161" i="17"/>
  <c r="AC160" i="17"/>
  <c r="L160" i="17"/>
  <c r="AC159" i="17"/>
  <c r="L159" i="17"/>
  <c r="AC158" i="17"/>
  <c r="L158" i="17"/>
  <c r="AC157" i="17"/>
  <c r="L157" i="17"/>
  <c r="AC156" i="17"/>
  <c r="L156" i="17"/>
  <c r="AC155" i="17"/>
  <c r="L155" i="17"/>
  <c r="AC154" i="17"/>
  <c r="L154" i="17"/>
  <c r="AC153" i="17"/>
  <c r="L153" i="17"/>
  <c r="AC152" i="17"/>
  <c r="L152" i="17"/>
  <c r="AC151" i="17"/>
  <c r="L151" i="17"/>
  <c r="AC150" i="17"/>
  <c r="L150" i="17"/>
  <c r="AC149" i="17"/>
  <c r="L149" i="17"/>
  <c r="AC148" i="17"/>
  <c r="L148" i="17"/>
  <c r="AC147" i="17"/>
  <c r="L147" i="17"/>
  <c r="AC146" i="17"/>
  <c r="L146" i="17"/>
  <c r="AC145" i="17"/>
  <c r="L145" i="17"/>
  <c r="AC144" i="17"/>
  <c r="L144" i="17"/>
  <c r="AC143" i="17"/>
  <c r="L143" i="17"/>
  <c r="AC142" i="17"/>
  <c r="L142" i="17"/>
  <c r="AC141" i="17"/>
  <c r="L141" i="17"/>
  <c r="AC140" i="17"/>
  <c r="L140" i="17"/>
  <c r="AC139" i="17"/>
  <c r="L139" i="17"/>
  <c r="AC138" i="17"/>
  <c r="L138" i="17"/>
  <c r="AC137" i="17"/>
  <c r="L137" i="17"/>
  <c r="AC136" i="17"/>
  <c r="L136" i="17"/>
  <c r="AC135" i="17"/>
  <c r="L135" i="17"/>
  <c r="AC134" i="17"/>
  <c r="L134" i="17"/>
  <c r="AC133" i="17"/>
  <c r="L133" i="17"/>
  <c r="AC132" i="17"/>
  <c r="L132" i="17"/>
  <c r="AC131" i="17"/>
  <c r="L131" i="17"/>
  <c r="AC130" i="17"/>
  <c r="L130" i="17"/>
  <c r="AC129" i="17"/>
  <c r="L129" i="17"/>
  <c r="AC128" i="17"/>
  <c r="L128" i="17"/>
  <c r="AC127" i="17"/>
  <c r="L127" i="17"/>
  <c r="AC126" i="17"/>
  <c r="L126" i="17"/>
  <c r="AC125" i="17"/>
  <c r="L125" i="17"/>
  <c r="AC124" i="17"/>
  <c r="L124" i="17"/>
  <c r="AC123" i="17"/>
  <c r="L123" i="17"/>
  <c r="AC122" i="17"/>
  <c r="L122" i="17"/>
  <c r="AC121" i="17"/>
  <c r="L121" i="17"/>
  <c r="AC120" i="17"/>
  <c r="L120" i="17"/>
  <c r="AC119" i="17"/>
  <c r="L119" i="17"/>
  <c r="AC118" i="17"/>
  <c r="L118" i="17"/>
  <c r="AC117" i="17"/>
  <c r="L117" i="17"/>
  <c r="AC116" i="17"/>
  <c r="L116" i="17"/>
  <c r="AC115" i="17"/>
  <c r="L115" i="17"/>
  <c r="AC114" i="17"/>
  <c r="L114" i="17"/>
  <c r="AC113" i="17"/>
  <c r="L113" i="17"/>
  <c r="AC112" i="17"/>
  <c r="L112" i="17"/>
  <c r="AC111" i="17"/>
  <c r="L111" i="17"/>
  <c r="AC110" i="17"/>
  <c r="L110" i="17"/>
  <c r="AC109" i="17"/>
  <c r="L109" i="17"/>
  <c r="AC108" i="17"/>
  <c r="L108" i="17"/>
  <c r="AC107" i="17"/>
  <c r="L107" i="17"/>
  <c r="AC106" i="17"/>
  <c r="L106" i="17"/>
  <c r="AC105" i="17"/>
  <c r="L105" i="17"/>
  <c r="AC104" i="17"/>
  <c r="L104" i="17"/>
  <c r="AC103" i="17"/>
  <c r="L103" i="17"/>
  <c r="AC102" i="17"/>
  <c r="L102" i="17"/>
  <c r="AC101" i="17"/>
  <c r="L101" i="17"/>
  <c r="AC100" i="17"/>
  <c r="L100" i="17"/>
  <c r="AC99" i="17"/>
  <c r="L99" i="17"/>
  <c r="AC98" i="17"/>
  <c r="L98" i="17"/>
  <c r="AC97" i="17"/>
  <c r="L97" i="17"/>
  <c r="AC96" i="17"/>
  <c r="L96" i="17"/>
  <c r="AC95" i="17"/>
  <c r="L95" i="17"/>
  <c r="AC94" i="17"/>
  <c r="L94" i="17"/>
  <c r="AC93" i="17"/>
  <c r="L93" i="17"/>
  <c r="AC92" i="17"/>
  <c r="L92" i="17"/>
  <c r="AC91" i="17"/>
  <c r="L91" i="17"/>
  <c r="AC90" i="17"/>
  <c r="L90" i="17"/>
  <c r="AC89" i="17"/>
  <c r="L89" i="17"/>
  <c r="AC88" i="17"/>
  <c r="L88" i="17"/>
  <c r="AC87" i="17"/>
  <c r="L87" i="17"/>
  <c r="AC86" i="17"/>
  <c r="L86" i="17"/>
  <c r="AC85" i="17"/>
  <c r="L85" i="17"/>
  <c r="AC84" i="17"/>
  <c r="L84" i="17"/>
  <c r="AC83" i="17"/>
  <c r="L83" i="17"/>
  <c r="AC82" i="17"/>
  <c r="L82" i="17"/>
  <c r="AC81" i="17"/>
  <c r="L81" i="17"/>
  <c r="AC80" i="17"/>
  <c r="L80" i="17"/>
  <c r="AC79" i="17"/>
  <c r="L79" i="17"/>
  <c r="AC78" i="17"/>
  <c r="L78" i="17"/>
  <c r="AC77" i="17"/>
  <c r="L77" i="17"/>
  <c r="AC76" i="17"/>
  <c r="L76" i="17"/>
  <c r="AC75" i="17"/>
  <c r="L75" i="17"/>
  <c r="AC74" i="17"/>
  <c r="L74" i="17"/>
  <c r="AC73" i="17"/>
  <c r="L73" i="17"/>
  <c r="AC72" i="17"/>
  <c r="L72" i="17"/>
  <c r="AC71" i="17"/>
  <c r="L71" i="17"/>
  <c r="AC70" i="17"/>
  <c r="L70" i="17"/>
  <c r="AC69" i="17"/>
  <c r="L69" i="17"/>
  <c r="AC68" i="17"/>
  <c r="L68" i="17"/>
  <c r="AC67" i="17"/>
  <c r="L67" i="17"/>
  <c r="AC66" i="17"/>
  <c r="L66" i="17"/>
  <c r="AC65" i="17"/>
  <c r="L65" i="17"/>
  <c r="AC64" i="17"/>
  <c r="L64" i="17"/>
  <c r="AC63" i="17"/>
  <c r="L63" i="17"/>
  <c r="AC62" i="17"/>
  <c r="L62" i="17"/>
  <c r="AC61" i="17"/>
  <c r="L61" i="17"/>
  <c r="AC60" i="17"/>
  <c r="L60" i="17"/>
  <c r="AC59" i="17"/>
  <c r="L59" i="17"/>
  <c r="AC58" i="17"/>
  <c r="L58" i="17"/>
  <c r="AC57" i="17"/>
  <c r="L57" i="17"/>
  <c r="AC56" i="17"/>
  <c r="L56" i="17"/>
  <c r="AC55" i="17"/>
  <c r="L55" i="17"/>
  <c r="AC54" i="17"/>
  <c r="L54" i="17"/>
  <c r="AC53" i="17"/>
  <c r="L53" i="17"/>
  <c r="AC52" i="17"/>
  <c r="L52" i="17"/>
  <c r="AC51" i="17"/>
  <c r="L51" i="17"/>
  <c r="AC50" i="17"/>
  <c r="L50" i="17"/>
  <c r="AC49" i="17"/>
  <c r="L49" i="17"/>
  <c r="AC48" i="17"/>
  <c r="L48" i="17"/>
  <c r="AC47" i="17"/>
  <c r="L47" i="17"/>
  <c r="AC46" i="17"/>
  <c r="L46" i="17"/>
  <c r="AC45" i="17"/>
  <c r="L45" i="17"/>
  <c r="AC44" i="17"/>
  <c r="L44" i="17"/>
  <c r="AC43" i="17"/>
  <c r="L43" i="17"/>
  <c r="AC42" i="17"/>
  <c r="L42" i="17"/>
  <c r="AC41" i="17"/>
  <c r="L41" i="17"/>
  <c r="AC40" i="17"/>
  <c r="L40" i="17"/>
  <c r="AC39" i="17"/>
  <c r="L39" i="17"/>
  <c r="AC38" i="17"/>
  <c r="L38" i="17"/>
  <c r="AC37" i="17"/>
  <c r="L37" i="17"/>
  <c r="AC36" i="17"/>
  <c r="L36" i="17"/>
  <c r="AC35" i="17"/>
  <c r="L35" i="17"/>
  <c r="AC34" i="17"/>
  <c r="L34" i="17"/>
  <c r="AC33" i="17"/>
  <c r="L33" i="17"/>
  <c r="AC32" i="17"/>
  <c r="L32" i="17"/>
  <c r="AC31" i="17"/>
  <c r="L31" i="17"/>
  <c r="AC30" i="17"/>
  <c r="L30" i="17"/>
  <c r="AC29" i="17"/>
  <c r="L29" i="17"/>
  <c r="AC28" i="17"/>
  <c r="L28" i="17"/>
  <c r="AC27" i="17"/>
  <c r="L27" i="17"/>
  <c r="AC26" i="17"/>
  <c r="L26" i="17"/>
  <c r="AC25" i="17"/>
  <c r="L25" i="17"/>
  <c r="AC24" i="17"/>
  <c r="L24" i="17"/>
  <c r="AC23" i="17"/>
  <c r="L23" i="17"/>
  <c r="AC22" i="17"/>
  <c r="L22" i="17"/>
  <c r="AC21" i="17"/>
  <c r="L21" i="17"/>
  <c r="AC20" i="17"/>
  <c r="L20" i="17"/>
  <c r="AC19" i="17"/>
  <c r="L19" i="17"/>
  <c r="AC18" i="17"/>
  <c r="L18" i="17"/>
  <c r="AC17" i="17"/>
  <c r="L17" i="17"/>
  <c r="AC16" i="17"/>
  <c r="L16" i="17"/>
  <c r="AC15" i="17"/>
  <c r="L15" i="17"/>
  <c r="AC14" i="17"/>
  <c r="L14" i="17"/>
  <c r="AC13" i="17"/>
  <c r="L13" i="17"/>
  <c r="AC12" i="17"/>
  <c r="L12" i="17"/>
  <c r="AC11" i="17"/>
  <c r="L11" i="17"/>
  <c r="AC10" i="17"/>
  <c r="L10" i="17"/>
  <c r="AC9" i="17"/>
  <c r="L9" i="17"/>
  <c r="AC8" i="17"/>
  <c r="L8" i="17"/>
  <c r="AC7" i="17"/>
  <c r="L7" i="17"/>
  <c r="AC6" i="17"/>
  <c r="L6" i="17"/>
  <c r="AC5" i="17"/>
  <c r="L5" i="17"/>
  <c r="AC4" i="17"/>
  <c r="L4" i="17"/>
  <c r="AC3" i="17"/>
  <c r="L3" i="17"/>
  <c r="AC2" i="17"/>
  <c r="L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B391" i="21" l="1" a="1"/>
  <c r="B391" i="21" s="1"/>
  <c r="B388" i="21" a="1"/>
  <c r="B388" i="21" s="1"/>
  <c r="B386" i="21" a="1"/>
  <c r="B386" i="21" s="1"/>
  <c r="B387" i="21" a="1"/>
  <c r="B387" i="21" s="1"/>
  <c r="B665" i="21" a="1"/>
  <c r="B665" i="21" s="1"/>
  <c r="B775" i="21" a="1"/>
  <c r="B775" i="21" s="1"/>
  <c r="B776" i="21" a="1"/>
  <c r="B776" i="21" s="1"/>
  <c r="B752" i="21" a="1"/>
  <c r="B752" i="21" s="1"/>
  <c r="B774" i="21" a="1"/>
  <c r="B774" i="21" s="1"/>
  <c r="B782" i="21" a="1"/>
  <c r="B782" i="21" s="1"/>
  <c r="B743" i="21" a="1"/>
  <c r="B743" i="21" s="1"/>
  <c r="B772" i="21" a="1"/>
  <c r="B772" i="21" s="1"/>
  <c r="B771" i="21" a="1"/>
  <c r="B771" i="21" s="1"/>
  <c r="B747" i="21" a="1"/>
  <c r="B747" i="21" s="1"/>
  <c r="B767" i="21" a="1"/>
  <c r="B767" i="21" s="1"/>
  <c r="B765" i="21" a="1"/>
  <c r="B765" i="21" s="1"/>
  <c r="B769" i="21" a="1"/>
  <c r="B769" i="21" s="1"/>
  <c r="B779" i="21" a="1"/>
  <c r="B779" i="21" s="1"/>
  <c r="B781" i="21" a="1"/>
  <c r="B781" i="21" s="1"/>
  <c r="B768" i="21" a="1"/>
  <c r="B768" i="21" s="1"/>
  <c r="B509" i="21" a="1"/>
  <c r="B509" i="21" s="1"/>
  <c r="B504" i="21" a="1"/>
  <c r="B504" i="21" s="1"/>
  <c r="B508" i="21" a="1"/>
  <c r="B508" i="21" s="1"/>
  <c r="B516" i="21" a="1"/>
  <c r="B516" i="21" s="1"/>
  <c r="B522" i="21" a="1"/>
  <c r="B522" i="21" s="1"/>
  <c r="B523" i="21" a="1"/>
  <c r="B523" i="21" s="1"/>
  <c r="B513" i="21" a="1"/>
  <c r="B513" i="21" s="1"/>
  <c r="B518" i="21" a="1"/>
  <c r="B518" i="21" s="1"/>
  <c r="B503" i="21" a="1"/>
  <c r="B503" i="21" s="1"/>
  <c r="B519" i="21" a="1"/>
  <c r="B519" i="21" s="1"/>
  <c r="B512" i="21" a="1"/>
  <c r="B512" i="21" s="1"/>
  <c r="B521" i="21" a="1"/>
  <c r="B521" i="21" s="1"/>
  <c r="B520" i="21" a="1"/>
  <c r="B520" i="21" s="1"/>
  <c r="B517" i="21" a="1"/>
  <c r="B517" i="21" s="1"/>
  <c r="B324" i="21" a="1"/>
  <c r="B324" i="21" s="1"/>
  <c r="B780" i="21" a="1"/>
  <c r="B780" i="21" s="1"/>
  <c r="B372" i="21" a="1"/>
  <c r="B372" i="21" s="1"/>
  <c r="B368" i="21" a="1"/>
  <c r="B368" i="21" s="1"/>
  <c r="B352" i="21" a="1"/>
  <c r="B352" i="21" s="1"/>
  <c r="B664" i="21" a="1"/>
  <c r="B664" i="21" s="1"/>
  <c r="B663" i="21" a="1"/>
  <c r="B663" i="21" s="1"/>
  <c r="H792" i="14"/>
  <c r="B793" i="21" a="1"/>
  <c r="B793" i="21" s="1"/>
  <c r="E792" i="19"/>
  <c r="B383" i="21" a="1"/>
  <c r="B383" i="21" s="1"/>
  <c r="S458" i="17"/>
  <c r="U458" i="17" s="1"/>
  <c r="S461" i="17"/>
  <c r="U461" i="17" s="1"/>
  <c r="S456" i="17"/>
  <c r="U456" i="17" s="1"/>
  <c r="B342" i="21" a="1"/>
  <c r="B342" i="21" s="1"/>
  <c r="B341" i="21" a="1"/>
  <c r="B341" i="21" s="1"/>
  <c r="B367" i="21" a="1"/>
  <c r="B367" i="21" s="1"/>
  <c r="B359" i="21" a="1"/>
  <c r="B359" i="21" s="1"/>
  <c r="B358" i="21" a="1"/>
  <c r="B358" i="21" s="1"/>
  <c r="B338" i="21" a="1"/>
  <c r="B338" i="21" s="1"/>
  <c r="B328" i="21" a="1"/>
  <c r="B328" i="21" s="1"/>
  <c r="B784" i="21" a="1"/>
  <c r="B784" i="21" s="1"/>
  <c r="B727" i="21" a="1"/>
  <c r="B727" i="21" s="1"/>
  <c r="B787" i="21" a="1"/>
  <c r="B787" i="21" s="1"/>
  <c r="B749" i="21" a="1"/>
  <c r="B749" i="21" s="1"/>
  <c r="B704" i="21" a="1"/>
  <c r="B704" i="21" s="1"/>
  <c r="B750" i="21" a="1"/>
  <c r="B750" i="21" s="1"/>
  <c r="B705" i="21" a="1"/>
  <c r="B705" i="21" s="1"/>
  <c r="B762" i="21" a="1"/>
  <c r="B762" i="21" s="1"/>
  <c r="B730" i="21" a="1"/>
  <c r="B730" i="21" s="1"/>
  <c r="B729" i="21" a="1"/>
  <c r="B729" i="21" s="1"/>
  <c r="B360" i="21" a="1"/>
  <c r="B360" i="21" s="1"/>
  <c r="B790" i="21" a="1"/>
  <c r="B790" i="21" s="1"/>
  <c r="B429" i="21" a="1"/>
  <c r="B429" i="21" s="1"/>
  <c r="B410" i="21" a="1"/>
  <c r="B410" i="21" s="1"/>
  <c r="B416" i="21" a="1"/>
  <c r="B416" i="21" s="1"/>
  <c r="B435" i="21" a="1"/>
  <c r="B435" i="21" s="1"/>
  <c r="B433" i="21" a="1"/>
  <c r="B433" i="21" s="1"/>
  <c r="B422" i="21" a="1"/>
  <c r="B422" i="21" s="1"/>
  <c r="B411" i="21" a="1"/>
  <c r="B411" i="21" s="1"/>
  <c r="B424" i="21" a="1"/>
  <c r="B424" i="21" s="1"/>
  <c r="B417" i="21" a="1"/>
  <c r="B417" i="21" s="1"/>
  <c r="B421" i="21" a="1"/>
  <c r="B421" i="21" s="1"/>
  <c r="B408" i="21" a="1"/>
  <c r="B408" i="21" s="1"/>
  <c r="B349" i="21" a="1"/>
  <c r="B349" i="21" s="1"/>
  <c r="B313" i="21" a="1"/>
  <c r="B313" i="21" s="1"/>
  <c r="B316" i="21" a="1"/>
  <c r="B316" i="21" s="1"/>
  <c r="B322" i="21" a="1"/>
  <c r="B322" i="21" s="1"/>
  <c r="B736" i="21" a="1"/>
  <c r="B736" i="21" s="1"/>
  <c r="B380" i="21" a="1"/>
  <c r="B380" i="21" s="1"/>
  <c r="B654" i="21" a="1"/>
  <c r="B654" i="21" s="1"/>
  <c r="B737" i="21" a="1"/>
  <c r="B737" i="21" s="1"/>
  <c r="B733" i="21" a="1"/>
  <c r="B733" i="21" s="1"/>
  <c r="B350" i="21" a="1"/>
  <c r="B350" i="21" s="1"/>
  <c r="B363" i="21" a="1"/>
  <c r="B363" i="21" s="1"/>
  <c r="B323" i="21" a="1"/>
  <c r="B323" i="21" s="1"/>
  <c r="B661" i="21" a="1"/>
  <c r="B661" i="21" s="1"/>
  <c r="B734" i="21" a="1"/>
  <c r="B734" i="21" s="1"/>
  <c r="B317" i="21" a="1"/>
  <c r="B317" i="21" s="1"/>
  <c r="B599" i="21" a="1"/>
  <c r="B599" i="21" s="1"/>
  <c r="B268" i="21" a="1"/>
  <c r="B268" i="21" s="1"/>
  <c r="B735" i="21" a="1"/>
  <c r="B735" i="21" s="1"/>
  <c r="B660" i="21" a="1"/>
  <c r="B660" i="21" s="1"/>
  <c r="B764" i="21" a="1"/>
  <c r="B764" i="21" s="1"/>
  <c r="B483" i="21" a="1"/>
  <c r="B483" i="21" s="1"/>
  <c r="B481" i="21" a="1"/>
  <c r="B481" i="21" s="1"/>
  <c r="B494" i="21" a="1"/>
  <c r="B494" i="21" s="1"/>
  <c r="B495" i="21" a="1"/>
  <c r="B495" i="21" s="1"/>
  <c r="B493" i="21" a="1"/>
  <c r="B493" i="21" s="1"/>
  <c r="B475" i="21" a="1"/>
  <c r="B475" i="21" s="1"/>
  <c r="B476" i="21" a="1"/>
  <c r="B476" i="21" s="1"/>
  <c r="B474" i="21" a="1"/>
  <c r="B474" i="21" s="1"/>
  <c r="B472" i="21" a="1"/>
  <c r="B472" i="21" s="1"/>
  <c r="B473" i="21" a="1"/>
  <c r="B473" i="21" s="1"/>
  <c r="B471" i="21" a="1"/>
  <c r="B471" i="21" s="1"/>
  <c r="B479" i="21" a="1"/>
  <c r="B479" i="21" s="1"/>
  <c r="B480" i="21" a="1"/>
  <c r="B480" i="21" s="1"/>
  <c r="B477" i="21" a="1"/>
  <c r="B477" i="21" s="1"/>
  <c r="B478" i="21" a="1"/>
  <c r="B478" i="21" s="1"/>
  <c r="B470" i="21" a="1"/>
  <c r="B470" i="21" s="1"/>
  <c r="B469" i="21" a="1"/>
  <c r="B469" i="21" s="1"/>
  <c r="B467" i="21" a="1"/>
  <c r="B467" i="21" s="1"/>
  <c r="B468" i="21" a="1"/>
  <c r="B468" i="21" s="1"/>
  <c r="B466" i="21" a="1"/>
  <c r="B466" i="21" s="1"/>
  <c r="B461" i="21" a="1"/>
  <c r="B461" i="21" s="1"/>
  <c r="B462" i="21" a="1"/>
  <c r="B462" i="21" s="1"/>
  <c r="B460" i="21" a="1"/>
  <c r="B460" i="21" s="1"/>
  <c r="B464" i="21" a="1"/>
  <c r="B464" i="21" s="1"/>
  <c r="B465" i="21" a="1"/>
  <c r="B465" i="21" s="1"/>
  <c r="B463" i="21" a="1"/>
  <c r="B463" i="21" s="1"/>
  <c r="B598" i="21" a="1"/>
  <c r="B598" i="21" s="1"/>
  <c r="B597" i="21" a="1"/>
  <c r="B597" i="21" s="1"/>
  <c r="B595" i="21" a="1"/>
  <c r="B595" i="21" s="1"/>
  <c r="B587" i="21" a="1"/>
  <c r="B587" i="21" s="1"/>
  <c r="B585" i="21" a="1"/>
  <c r="B585" i="21" s="1"/>
  <c r="B586" i="21" a="1"/>
  <c r="B586" i="21" s="1"/>
  <c r="B584" i="21" a="1"/>
  <c r="B584" i="21" s="1"/>
  <c r="B592" i="21" a="1"/>
  <c r="B592" i="21" s="1"/>
  <c r="B591" i="21" a="1"/>
  <c r="B591" i="21" s="1"/>
  <c r="B594" i="21" a="1"/>
  <c r="B594" i="21" s="1"/>
  <c r="B593" i="21" a="1"/>
  <c r="B593" i="21" s="1"/>
  <c r="B589" i="21" a="1"/>
  <c r="B589" i="21" s="1"/>
  <c r="B596" i="21" a="1"/>
  <c r="B596" i="21" s="1"/>
  <c r="B583" i="21" a="1"/>
  <c r="B583" i="21" s="1"/>
  <c r="B582" i="21" a="1"/>
  <c r="B582" i="21" s="1"/>
  <c r="B590" i="21" a="1"/>
  <c r="B590" i="21" s="1"/>
  <c r="B588" i="21" a="1"/>
  <c r="B588" i="21" s="1"/>
  <c r="B572" i="21" a="1"/>
  <c r="B572" i="21" s="1"/>
  <c r="B570" i="21" a="1"/>
  <c r="B570" i="21" s="1"/>
  <c r="B571" i="21" a="1"/>
  <c r="B571" i="21" s="1"/>
  <c r="B569" i="21" a="1"/>
  <c r="B569" i="21" s="1"/>
  <c r="B577" i="21" a="1"/>
  <c r="B577" i="21" s="1"/>
  <c r="B576" i="21" a="1"/>
  <c r="B576" i="21" s="1"/>
  <c r="B578" i="21" a="1"/>
  <c r="B578" i="21" s="1"/>
  <c r="B574" i="21" a="1"/>
  <c r="B574" i="21" s="1"/>
  <c r="B568" i="21" a="1"/>
  <c r="B568" i="21" s="1"/>
  <c r="B567" i="21" a="1"/>
  <c r="B567" i="21" s="1"/>
  <c r="B575" i="21" a="1"/>
  <c r="B575" i="21" s="1"/>
  <c r="B573" i="21" a="1"/>
  <c r="B573" i="21" s="1"/>
  <c r="B557" i="21" a="1"/>
  <c r="B557" i="21" s="1"/>
  <c r="B558" i="21" a="1"/>
  <c r="B558" i="21" s="1"/>
  <c r="B556" i="21" a="1"/>
  <c r="B556" i="21" s="1"/>
  <c r="B314" i="21" a="1"/>
  <c r="B314" i="21" s="1"/>
  <c r="B254" i="21" a="1"/>
  <c r="B254" i="21" s="1"/>
  <c r="B308" i="21" a="1"/>
  <c r="B308" i="21" s="1"/>
  <c r="B256" i="21" a="1"/>
  <c r="B256" i="21" s="1"/>
  <c r="B420" i="21" a="1"/>
  <c r="B420" i="21" s="1"/>
  <c r="B406" i="21" a="1"/>
  <c r="B406" i="21" s="1"/>
  <c r="B426" i="21" a="1"/>
  <c r="B426" i="21" s="1"/>
  <c r="B409" i="21" a="1"/>
  <c r="B409" i="21" s="1"/>
  <c r="B412" i="21" a="1"/>
  <c r="B412" i="21" s="1"/>
  <c r="B413" i="21" a="1"/>
  <c r="B413" i="21" s="1"/>
  <c r="B407" i="21" a="1"/>
  <c r="B407" i="21" s="1"/>
  <c r="B414" i="21" a="1"/>
  <c r="B414" i="21" s="1"/>
  <c r="B434" i="21" a="1"/>
  <c r="B434" i="21" s="1"/>
  <c r="B425" i="21" a="1"/>
  <c r="B425" i="21" s="1"/>
  <c r="B427" i="21" a="1"/>
  <c r="B427" i="21" s="1"/>
  <c r="B419" i="21" a="1"/>
  <c r="B419" i="21" s="1"/>
  <c r="B423" i="21" a="1"/>
  <c r="B423" i="21" s="1"/>
  <c r="B459" i="21" a="1"/>
  <c r="B459" i="21" s="1"/>
  <c r="B428" i="21" a="1"/>
  <c r="B428" i="21" s="1"/>
  <c r="B436" i="21" a="1"/>
  <c r="B436" i="21" s="1"/>
  <c r="B418" i="21" a="1"/>
  <c r="B418" i="21" s="1"/>
  <c r="B432" i="21" a="1"/>
  <c r="B432" i="21" s="1"/>
  <c r="B415" i="21" a="1"/>
  <c r="B415" i="21" s="1"/>
  <c r="B637" i="21" a="1"/>
  <c r="B637" i="21" s="1"/>
  <c r="B635" i="21" a="1"/>
  <c r="B635" i="21" s="1"/>
  <c r="B631" i="21" a="1"/>
  <c r="B631" i="21" s="1"/>
  <c r="B633" i="21" a="1"/>
  <c r="B633" i="21" s="1"/>
  <c r="B638" i="21" a="1"/>
  <c r="B638" i="21" s="1"/>
  <c r="B628" i="21" a="1"/>
  <c r="B628" i="21" s="1"/>
  <c r="B630" i="21" a="1"/>
  <c r="B630" i="21" s="1"/>
  <c r="B629" i="21" a="1"/>
  <c r="B629" i="21" s="1"/>
  <c r="B634" i="21" a="1"/>
  <c r="B634" i="21" s="1"/>
  <c r="B632" i="21" a="1"/>
  <c r="B632" i="21" s="1"/>
  <c r="B668" i="21" a="1"/>
  <c r="B668" i="21" s="1"/>
  <c r="B666" i="21" a="1"/>
  <c r="B666" i="21" s="1"/>
  <c r="B672" i="21" a="1"/>
  <c r="B672" i="21" s="1"/>
  <c r="B670" i="21" a="1"/>
  <c r="B670" i="21" s="1"/>
  <c r="B673" i="21" a="1"/>
  <c r="B673" i="21" s="1"/>
  <c r="B667" i="21" a="1"/>
  <c r="B667" i="21" s="1"/>
  <c r="B669" i="21" a="1"/>
  <c r="B669" i="21" s="1"/>
  <c r="B390" i="21" a="1"/>
  <c r="B390" i="21" s="1"/>
  <c r="B315" i="21" a="1"/>
  <c r="B315" i="21" s="1"/>
  <c r="B373" i="21" a="1"/>
  <c r="B373" i="21" s="1"/>
  <c r="B662" i="21" a="1"/>
  <c r="B662" i="21" s="1"/>
  <c r="B658" i="21" a="1"/>
  <c r="B658" i="21" s="1"/>
  <c r="B525" i="21" a="1"/>
  <c r="B525" i="21" s="1"/>
  <c r="B524" i="21" a="1"/>
  <c r="B524" i="21" s="1"/>
  <c r="B580" i="21" a="1"/>
  <c r="B580" i="21" s="1"/>
  <c r="B579" i="21" a="1"/>
  <c r="B579" i="21" s="1"/>
  <c r="B581" i="21" a="1"/>
  <c r="B581" i="21" s="1"/>
  <c r="B242" i="21" a="1"/>
  <c r="B242" i="21" s="1"/>
  <c r="B210" i="21" a="1"/>
  <c r="B210" i="21" s="1"/>
  <c r="B224" i="21" a="1"/>
  <c r="B224" i="21" s="1"/>
  <c r="B195" i="21" a="1"/>
  <c r="B195" i="21" s="1"/>
  <c r="B298" i="21" a="1"/>
  <c r="B298" i="21" s="1"/>
  <c r="B262" i="21" a="1"/>
  <c r="B262" i="21" s="1"/>
  <c r="B299" i="21" a="1"/>
  <c r="B299" i="21" s="1"/>
  <c r="B266" i="21" a="1"/>
  <c r="B266" i="21" s="1"/>
  <c r="B264" i="21" a="1"/>
  <c r="B264" i="21" s="1"/>
  <c r="B265" i="21" a="1"/>
  <c r="B265" i="21" s="1"/>
  <c r="B253" i="21" a="1"/>
  <c r="B253" i="21" s="1"/>
  <c r="B270" i="21" a="1"/>
  <c r="B270" i="21" s="1"/>
  <c r="B275" i="21" a="1"/>
  <c r="B275" i="21" s="1"/>
  <c r="B194" i="21" a="1"/>
  <c r="B194" i="21" s="1"/>
  <c r="B288" i="21" a="1"/>
  <c r="B288" i="21" s="1"/>
  <c r="B287" i="21" a="1"/>
  <c r="B287" i="21" s="1"/>
  <c r="B274" i="21" a="1"/>
  <c r="B274" i="21" s="1"/>
  <c r="B273" i="21" a="1"/>
  <c r="B273" i="21" s="1"/>
  <c r="B272" i="21" a="1"/>
  <c r="B272" i="21" s="1"/>
  <c r="B186" i="21" a="1"/>
  <c r="B186" i="21" s="1"/>
  <c r="B252" i="21" a="1"/>
  <c r="B252" i="21" s="1"/>
  <c r="B238" i="21" a="1"/>
  <c r="B238" i="21" s="1"/>
  <c r="B240" i="21" a="1"/>
  <c r="B240" i="21" s="1"/>
  <c r="B286" i="21" a="1"/>
  <c r="B286" i="21" s="1"/>
  <c r="B70" i="21" a="1"/>
  <c r="B70" i="21" s="1"/>
  <c r="B112" i="21" a="1"/>
  <c r="B112" i="21" s="1"/>
  <c r="B32" i="21" a="1"/>
  <c r="B32" i="21" s="1"/>
  <c r="B88" i="21" a="1"/>
  <c r="B88" i="21" s="1"/>
  <c r="B84" i="21" a="1"/>
  <c r="B84" i="21" s="1"/>
  <c r="B79" i="21" a="1"/>
  <c r="B79" i="21" s="1"/>
  <c r="B40" i="21" a="1"/>
  <c r="B40" i="21" s="1"/>
  <c r="B17" i="21" a="1"/>
  <c r="B17" i="21" s="1"/>
  <c r="B47" i="21" a="1"/>
  <c r="B47" i="21" s="1"/>
  <c r="B90" i="21" a="1"/>
  <c r="B90" i="21" s="1"/>
  <c r="B7" i="21" a="1"/>
  <c r="B7" i="21" s="1"/>
  <c r="B86" i="21" a="1"/>
  <c r="B86" i="21" s="1"/>
  <c r="B106" i="21" a="1"/>
  <c r="B106" i="21" s="1"/>
  <c r="B45" i="21" a="1"/>
  <c r="B45" i="21" s="1"/>
  <c r="B23" i="21" a="1"/>
  <c r="B23" i="21" s="1"/>
  <c r="B31" i="21" a="1"/>
  <c r="B31" i="21" s="1"/>
  <c r="B85" i="21" a="1"/>
  <c r="B85" i="21" s="1"/>
  <c r="B44" i="21" a="1"/>
  <c r="B44" i="21" s="1"/>
  <c r="B53" i="21" a="1"/>
  <c r="B53" i="21" s="1"/>
  <c r="B58" i="21" a="1"/>
  <c r="B58" i="21" s="1"/>
  <c r="B21" i="21" a="1"/>
  <c r="B21" i="21" s="1"/>
  <c r="B71" i="21" a="1"/>
  <c r="B71" i="21" s="1"/>
  <c r="B35" i="21" a="1"/>
  <c r="B35" i="21" s="1"/>
  <c r="B126" i="21" a="1"/>
  <c r="B126" i="21" s="1"/>
  <c r="B29" i="21" a="1"/>
  <c r="B29" i="21" s="1"/>
  <c r="B122" i="21" a="1"/>
  <c r="B122" i="21" s="1"/>
  <c r="B13" i="21" a="1"/>
  <c r="B13" i="21" s="1"/>
  <c r="B55" i="21" a="1"/>
  <c r="B55" i="21" s="1"/>
  <c r="B123" i="21" a="1"/>
  <c r="B123" i="21" s="1"/>
  <c r="B701" i="21" a="1"/>
  <c r="B701" i="21" s="1"/>
  <c r="B57" i="21" a="1"/>
  <c r="B57" i="21" s="1"/>
  <c r="B42" i="21" a="1"/>
  <c r="B42" i="21" s="1"/>
  <c r="B89" i="21" a="1"/>
  <c r="B89" i="21" s="1"/>
  <c r="B54" i="21" a="1"/>
  <c r="B54" i="21" s="1"/>
  <c r="B41" i="21" a="1"/>
  <c r="B41" i="21" s="1"/>
  <c r="B116" i="21" a="1"/>
  <c r="B116" i="21" s="1"/>
  <c r="B62" i="21" a="1"/>
  <c r="B62" i="21" s="1"/>
  <c r="B109" i="21" a="1"/>
  <c r="B109" i="21" s="1"/>
  <c r="B108" i="21" a="1"/>
  <c r="B108" i="21" s="1"/>
  <c r="B24" i="21" a="1"/>
  <c r="B24" i="21" s="1"/>
  <c r="B6" i="21" a="1"/>
  <c r="B6" i="21" s="1"/>
  <c r="B105" i="21" a="1"/>
  <c r="B105" i="21" s="1"/>
  <c r="B120" i="21" a="1"/>
  <c r="B120" i="21" s="1"/>
  <c r="B10" i="21" a="1"/>
  <c r="B10" i="21" s="1"/>
  <c r="B92" i="21" a="1"/>
  <c r="B92" i="21" s="1"/>
  <c r="B50" i="21" a="1"/>
  <c r="B50" i="21" s="1"/>
  <c r="B121" i="21" a="1"/>
  <c r="B121" i="21" s="1"/>
  <c r="B33" i="21" a="1"/>
  <c r="B33" i="21" s="1"/>
  <c r="B101" i="21" a="1"/>
  <c r="B101" i="21" s="1"/>
  <c r="B43" i="21" a="1"/>
  <c r="B43" i="21" s="1"/>
  <c r="B129" i="21" a="1"/>
  <c r="B129" i="21" s="1"/>
  <c r="B11" i="21" a="1"/>
  <c r="B11" i="21" s="1"/>
  <c r="B60" i="21" a="1"/>
  <c r="B60" i="21" s="1"/>
  <c r="B91" i="21" a="1"/>
  <c r="B91" i="21" s="1"/>
  <c r="B26" i="21" a="1"/>
  <c r="B26" i="21" s="1"/>
  <c r="B49" i="21" a="1"/>
  <c r="B49" i="21" s="1"/>
  <c r="B119" i="21" a="1"/>
  <c r="B119" i="21" s="1"/>
  <c r="B25" i="21" a="1"/>
  <c r="B25" i="21" s="1"/>
  <c r="B59" i="21" a="1"/>
  <c r="B59" i="21" s="1"/>
  <c r="B37" i="21" a="1"/>
  <c r="B37" i="21" s="1"/>
  <c r="B34" i="21" a="1"/>
  <c r="B34" i="21" s="1"/>
  <c r="B117" i="21" a="1"/>
  <c r="B117" i="21" s="1"/>
  <c r="B75" i="21" a="1"/>
  <c r="B75" i="21" s="1"/>
  <c r="B130" i="21" a="1"/>
  <c r="B130" i="21" s="1"/>
  <c r="B131" i="21" a="1"/>
  <c r="B131" i="21" s="1"/>
  <c r="B102" i="21" a="1"/>
  <c r="B102" i="21" s="1"/>
  <c r="B74" i="21" a="1"/>
  <c r="B74" i="21" s="1"/>
  <c r="B56" i="21" a="1"/>
  <c r="B56" i="21" s="1"/>
  <c r="B699" i="21" a="1"/>
  <c r="B699" i="21" s="1"/>
  <c r="B694" i="21" a="1"/>
  <c r="B694" i="21" s="1"/>
  <c r="B684" i="21" a="1"/>
  <c r="B684" i="21" s="1"/>
  <c r="B681" i="21" a="1"/>
  <c r="B681" i="21" s="1"/>
  <c r="B601" i="21" a="1"/>
  <c r="B601" i="21" s="1"/>
  <c r="B389" i="21" a="1"/>
  <c r="B389" i="21" s="1"/>
  <c r="H791" i="14"/>
  <c r="E791" i="19"/>
  <c r="H5" i="14"/>
  <c r="B671" i="21" a="1"/>
  <c r="B671" i="21" s="1"/>
  <c r="B614" i="21" a="1"/>
  <c r="B614" i="21" s="1"/>
  <c r="B608" i="21" a="1"/>
  <c r="B608" i="21" s="1"/>
  <c r="B677" i="21" a="1"/>
  <c r="B677" i="21" s="1"/>
  <c r="B675" i="21" a="1"/>
  <c r="B675" i="21" s="1"/>
  <c r="B676" i="21" a="1"/>
  <c r="B676" i="21" s="1"/>
  <c r="B345" i="21" a="1"/>
  <c r="B345" i="21" s="1"/>
  <c r="B344" i="21" a="1"/>
  <c r="B344" i="21" s="1"/>
  <c r="B348" i="21" a="1"/>
  <c r="B348" i="21" s="1"/>
  <c r="B347" i="21" a="1"/>
  <c r="B347" i="21" s="1"/>
  <c r="B346" i="21" a="1"/>
  <c r="B346" i="21" s="1"/>
  <c r="B2" i="21" a="1"/>
  <c r="B2" i="21" s="1"/>
  <c r="B175" i="21" a="1"/>
  <c r="B175" i="21" s="1"/>
  <c r="B171" i="21" a="1"/>
  <c r="B171" i="21" s="1"/>
  <c r="B170" i="21" a="1"/>
  <c r="B170" i="21" s="1"/>
  <c r="B164" i="21" a="1"/>
  <c r="B164" i="21" s="1"/>
  <c r="B134" i="21" a="1"/>
  <c r="B134" i="21" s="1"/>
  <c r="B145" i="21" a="1"/>
  <c r="B145" i="21" s="1"/>
  <c r="B139" i="21" a="1"/>
  <c r="B139" i="21" s="1"/>
  <c r="B161" i="21" a="1"/>
  <c r="B161" i="21" s="1"/>
  <c r="B179" i="21" a="1"/>
  <c r="B179" i="21" s="1"/>
  <c r="B133" i="21" a="1"/>
  <c r="B133" i="21" s="1"/>
  <c r="B156" i="21" a="1"/>
  <c r="B156" i="21" s="1"/>
  <c r="B167" i="21" a="1"/>
  <c r="B167" i="21" s="1"/>
  <c r="B153" i="21" a="1"/>
  <c r="B153" i="21" s="1"/>
  <c r="B154" i="21" a="1"/>
  <c r="B154" i="21" s="1"/>
  <c r="B142" i="21" a="1"/>
  <c r="B142" i="21" s="1"/>
  <c r="B183" i="21" a="1"/>
  <c r="B183" i="21" s="1"/>
  <c r="B143" i="21" a="1"/>
  <c r="B143" i="21" s="1"/>
  <c r="B147" i="21" a="1"/>
  <c r="B147" i="21" s="1"/>
  <c r="B174" i="21" a="1"/>
  <c r="B174" i="21" s="1"/>
  <c r="B177" i="21" a="1"/>
  <c r="B177" i="21" s="1"/>
  <c r="B166" i="21" a="1"/>
  <c r="B166" i="21" s="1"/>
  <c r="B137" i="21" a="1"/>
  <c r="B137" i="21" s="1"/>
  <c r="B140" i="21" a="1"/>
  <c r="B140" i="21" s="1"/>
  <c r="B163" i="21" a="1"/>
  <c r="B163" i="21" s="1"/>
  <c r="B162" i="21" a="1"/>
  <c r="B162" i="21" s="1"/>
  <c r="B181" i="21" a="1"/>
  <c r="B181" i="21" s="1"/>
  <c r="B149" i="21" a="1"/>
  <c r="B149" i="21" s="1"/>
  <c r="B165" i="21" a="1"/>
  <c r="B165" i="21" s="1"/>
  <c r="B180" i="21" a="1"/>
  <c r="B180" i="21" s="1"/>
  <c r="B148" i="21" a="1"/>
  <c r="B148" i="21" s="1"/>
  <c r="B152" i="21" a="1"/>
  <c r="B152" i="21" s="1"/>
  <c r="B172" i="21" a="1"/>
  <c r="B172" i="21" s="1"/>
  <c r="B135" i="21" a="1"/>
  <c r="B135" i="21" s="1"/>
  <c r="B141" i="21" a="1"/>
  <c r="B141" i="21" s="1"/>
  <c r="B169" i="21" a="1"/>
  <c r="B169" i="21" s="1"/>
  <c r="B151" i="21" a="1"/>
  <c r="B151" i="21" s="1"/>
  <c r="B157" i="21" a="1"/>
  <c r="B157" i="21" s="1"/>
  <c r="B155" i="21" a="1"/>
  <c r="B155" i="21" s="1"/>
  <c r="B182" i="21" a="1"/>
  <c r="B182" i="21" s="1"/>
  <c r="B176" i="21" a="1"/>
  <c r="B176" i="21" s="1"/>
  <c r="B178" i="21" a="1"/>
  <c r="B178" i="21" s="1"/>
  <c r="B146" i="21" a="1"/>
  <c r="B146" i="21" s="1"/>
  <c r="B184" i="21" a="1"/>
  <c r="B184" i="21" s="1"/>
  <c r="B173" i="21" a="1"/>
  <c r="B173" i="21" s="1"/>
  <c r="B144" i="21" a="1"/>
  <c r="B144" i="21" s="1"/>
  <c r="B168" i="21" a="1"/>
  <c r="B168" i="21" s="1"/>
  <c r="B160" i="21" a="1"/>
  <c r="B160" i="21" s="1"/>
  <c r="B138" i="21" a="1"/>
  <c r="B138" i="21" s="1"/>
  <c r="B159" i="21" a="1"/>
  <c r="B159" i="21" s="1"/>
  <c r="B150" i="21" a="1"/>
  <c r="B150" i="21" s="1"/>
  <c r="B136" i="21" a="1"/>
  <c r="B136" i="21" s="1"/>
  <c r="B158" i="21" a="1"/>
  <c r="B158" i="21" s="1"/>
  <c r="B193" i="21" a="1"/>
  <c r="B193" i="21" s="1"/>
  <c r="B215" i="21" a="1"/>
  <c r="B215" i="21" s="1"/>
  <c r="B301" i="21" a="1"/>
  <c r="B301" i="21" s="1"/>
  <c r="B294" i="21" a="1"/>
  <c r="B294" i="21" s="1"/>
  <c r="B239" i="21" a="1"/>
  <c r="B239" i="21" s="1"/>
  <c r="B232" i="21" a="1"/>
  <c r="B232" i="21" s="1"/>
  <c r="B220" i="21" a="1"/>
  <c r="B220" i="21" s="1"/>
  <c r="B280" i="21" a="1"/>
  <c r="B280" i="21" s="1"/>
  <c r="B208" i="21" a="1"/>
  <c r="B208" i="21" s="1"/>
  <c r="B303" i="21" a="1"/>
  <c r="B303" i="21" s="1"/>
  <c r="B302" i="21" a="1"/>
  <c r="B302" i="21" s="1"/>
  <c r="B241" i="21" a="1"/>
  <c r="B241" i="21" s="1"/>
  <c r="B219" i="21" a="1"/>
  <c r="B219" i="21" s="1"/>
  <c r="B212" i="21" a="1"/>
  <c r="B212" i="21" s="1"/>
  <c r="B213" i="21" a="1"/>
  <c r="B213" i="21" s="1"/>
  <c r="B211" i="21" a="1"/>
  <c r="B211" i="21" s="1"/>
  <c r="B196" i="21" a="1"/>
  <c r="B196" i="21" s="1"/>
  <c r="B251" i="21" a="1"/>
  <c r="B251" i="21" s="1"/>
  <c r="B246" i="21" a="1"/>
  <c r="B246" i="21" s="1"/>
  <c r="B245" i="21" a="1"/>
  <c r="B245" i="21" s="1"/>
  <c r="B293" i="21" a="1"/>
  <c r="B293" i="21" s="1"/>
  <c r="B248" i="21" a="1"/>
  <c r="B248" i="21" s="1"/>
  <c r="B244" i="21" a="1"/>
  <c r="B244" i="21" s="1"/>
  <c r="B231" i="21" a="1"/>
  <c r="B231" i="21" s="1"/>
  <c r="B209" i="21" a="1"/>
  <c r="B209" i="21" s="1"/>
  <c r="B300" i="21" a="1"/>
  <c r="B300" i="21" s="1"/>
  <c r="B278" i="21" a="1"/>
  <c r="B278" i="21" s="1"/>
  <c r="B271" i="21" a="1"/>
  <c r="B271" i="21" s="1"/>
  <c r="B261" i="21" a="1"/>
  <c r="B261" i="21" s="1"/>
  <c r="B260" i="21" a="1"/>
  <c r="B260" i="21" s="1"/>
  <c r="B223" i="21" a="1"/>
  <c r="B223" i="21" s="1"/>
  <c r="B206" i="21" a="1"/>
  <c r="B206" i="21" s="1"/>
  <c r="B311" i="21" a="1"/>
  <c r="B311" i="21" s="1"/>
  <c r="B201" i="21" a="1"/>
  <c r="B201" i="21" s="1"/>
  <c r="B202" i="21" a="1"/>
  <c r="B202" i="21" s="1"/>
  <c r="B203" i="21" a="1"/>
  <c r="B203" i="21" s="1"/>
  <c r="B204" i="21" a="1"/>
  <c r="B204" i="21" s="1"/>
  <c r="B205" i="21" a="1"/>
  <c r="B205" i="21" s="1"/>
  <c r="B185" i="21" a="1"/>
  <c r="B185" i="21" s="1"/>
  <c r="B310" i="21" a="1"/>
  <c r="B310" i="21" s="1"/>
  <c r="B304" i="21" a="1"/>
  <c r="B304" i="21" s="1"/>
  <c r="B312" i="21" a="1"/>
  <c r="B312" i="21" s="1"/>
  <c r="B222" i="21" a="1"/>
  <c r="B222" i="21" s="1"/>
  <c r="B255" i="21" a="1"/>
  <c r="B255" i="21" s="1"/>
  <c r="B283" i="21" a="1"/>
  <c r="B283" i="21" s="1"/>
  <c r="B284" i="21" a="1"/>
  <c r="B284" i="21" s="1"/>
  <c r="B282" i="21" a="1"/>
  <c r="B282" i="21" s="1"/>
  <c r="B281" i="21" a="1"/>
  <c r="B281" i="21" s="1"/>
  <c r="B190" i="21" a="1"/>
  <c r="B190" i="21" s="1"/>
  <c r="B189" i="21" a="1"/>
  <c r="B189" i="21" s="1"/>
  <c r="B290" i="21" a="1"/>
  <c r="B290" i="21" s="1"/>
  <c r="B291" i="21" a="1"/>
  <c r="B291" i="21" s="1"/>
  <c r="B289" i="21" a="1"/>
  <c r="B289" i="21" s="1"/>
  <c r="B285" i="21" a="1"/>
  <c r="B285" i="21" s="1"/>
  <c r="B221" i="21" a="1"/>
  <c r="B221" i="21" s="1"/>
  <c r="B216" i="21" a="1"/>
  <c r="B216" i="21" s="1"/>
  <c r="B188" i="21" a="1"/>
  <c r="B188" i="21" s="1"/>
  <c r="B309" i="21" a="1"/>
  <c r="B309" i="21" s="1"/>
  <c r="B217" i="21" a="1"/>
  <c r="B217" i="21" s="1"/>
  <c r="B218" i="21" a="1"/>
  <c r="B218" i="21" s="1"/>
  <c r="B191" i="21" a="1"/>
  <c r="B191" i="21" s="1"/>
  <c r="B207" i="21" a="1"/>
  <c r="B207" i="21" s="1"/>
  <c r="B198" i="21" a="1"/>
  <c r="B198" i="21" s="1"/>
  <c r="B276" i="21" a="1"/>
  <c r="B276" i="21" s="1"/>
  <c r="B226" i="21" a="1"/>
  <c r="B226" i="21" s="1"/>
  <c r="B247" i="21" a="1"/>
  <c r="B247" i="21" s="1"/>
  <c r="B197" i="21" a="1"/>
  <c r="B197" i="21" s="1"/>
  <c r="B200" i="21" a="1"/>
  <c r="B200" i="21" s="1"/>
  <c r="B279" i="21" a="1"/>
  <c r="B279" i="21" s="1"/>
  <c r="B192" i="21" a="1"/>
  <c r="B192" i="21" s="1"/>
  <c r="B233" i="21" a="1"/>
  <c r="B233" i="21" s="1"/>
  <c r="B230" i="21" a="1"/>
  <c r="B230" i="21" s="1"/>
  <c r="B228" i="21" a="1"/>
  <c r="B228" i="21" s="1"/>
  <c r="B234" i="21" a="1"/>
  <c r="B234" i="21" s="1"/>
  <c r="B269" i="21" a="1"/>
  <c r="B269" i="21" s="1"/>
  <c r="B257" i="21" a="1"/>
  <c r="B257" i="21" s="1"/>
  <c r="B258" i="21" a="1"/>
  <c r="B258" i="21" s="1"/>
  <c r="B259" i="21" a="1"/>
  <c r="B259" i="21" s="1"/>
  <c r="B277" i="21" a="1"/>
  <c r="B277" i="21" s="1"/>
  <c r="B229" i="21" a="1"/>
  <c r="B229" i="21" s="1"/>
  <c r="B199" i="21" a="1"/>
  <c r="B199" i="21" s="1"/>
  <c r="B305" i="21" a="1"/>
  <c r="B305" i="21" s="1"/>
  <c r="B306" i="21" a="1"/>
  <c r="B306" i="21" s="1"/>
  <c r="B72" i="21" a="1"/>
  <c r="B72" i="21" s="1"/>
  <c r="B28" i="21" a="1"/>
  <c r="B28" i="21" s="1"/>
  <c r="B4" i="21" a="1"/>
  <c r="B4" i="21" s="1"/>
  <c r="B18" i="21" a="1"/>
  <c r="B18" i="21" s="1"/>
  <c r="B125" i="21" a="1"/>
  <c r="B125" i="21" s="1"/>
  <c r="B128" i="21" a="1"/>
  <c r="B128" i="21" s="1"/>
  <c r="B295" i="21" a="1"/>
  <c r="B295" i="21" s="1"/>
  <c r="B292" i="21" a="1"/>
  <c r="B292" i="21" s="1"/>
  <c r="B227" i="21" a="1"/>
  <c r="B227" i="21" s="1"/>
  <c r="B214" i="21" a="1"/>
  <c r="B214" i="21" s="1"/>
  <c r="B225" i="21" a="1"/>
  <c r="B225" i="21" s="1"/>
  <c r="B235" i="21" a="1"/>
  <c r="B235" i="21" s="1"/>
  <c r="B307" i="21" a="1"/>
  <c r="B307" i="21" s="1"/>
  <c r="B297" i="21" a="1"/>
  <c r="B297" i="21" s="1"/>
  <c r="B187" i="21" a="1"/>
  <c r="B187" i="21" s="1"/>
  <c r="B250" i="21" a="1"/>
  <c r="B250" i="21" s="1"/>
  <c r="B249" i="21" a="1"/>
  <c r="B249" i="21" s="1"/>
  <c r="B237" i="21" a="1"/>
  <c r="B237" i="21" s="1"/>
  <c r="B236" i="21" a="1"/>
  <c r="B236" i="21" s="1"/>
  <c r="B296" i="21" a="1"/>
  <c r="B296" i="21" s="1"/>
  <c r="B451" i="21" a="1"/>
  <c r="B451" i="21" s="1"/>
  <c r="B450" i="21" a="1"/>
  <c r="B450" i="21" s="1"/>
  <c r="B453" i="21" a="1"/>
  <c r="B453" i="21" s="1"/>
  <c r="B446" i="21" a="1"/>
  <c r="B446" i="21" s="1"/>
  <c r="B443" i="21" a="1"/>
  <c r="B443" i="21" s="1"/>
  <c r="B457" i="21" a="1"/>
  <c r="B457" i="21" s="1"/>
  <c r="B442" i="21" a="1"/>
  <c r="B442" i="21" s="1"/>
  <c r="B455" i="21" a="1"/>
  <c r="B455" i="21" s="1"/>
  <c r="B444" i="21" a="1"/>
  <c r="B444" i="21" s="1"/>
  <c r="B445" i="21" a="1"/>
  <c r="B445" i="21" s="1"/>
  <c r="B441" i="21" a="1"/>
  <c r="B441" i="21" s="1"/>
  <c r="B448" i="21" a="1"/>
  <c r="B448" i="21" s="1"/>
  <c r="B454" i="21" a="1"/>
  <c r="B454" i="21" s="1"/>
  <c r="B452" i="21" a="1"/>
  <c r="B452" i="21" s="1"/>
  <c r="B439" i="21" a="1"/>
  <c r="B439" i="21" s="1"/>
  <c r="B449" i="21" a="1"/>
  <c r="B449" i="21" s="1"/>
  <c r="B440" i="21" a="1"/>
  <c r="B440" i="21" s="1"/>
  <c r="B447" i="21" a="1"/>
  <c r="B447" i="21" s="1"/>
  <c r="B458" i="21" a="1"/>
  <c r="B458" i="21" s="1"/>
  <c r="B437" i="21" a="1"/>
  <c r="B437" i="21" s="1"/>
  <c r="B438" i="21" a="1"/>
  <c r="B438" i="21" s="1"/>
  <c r="B456" i="21" a="1"/>
  <c r="B456" i="21" s="1"/>
  <c r="B118" i="21" a="1"/>
  <c r="B118" i="21" s="1"/>
  <c r="B110" i="21" a="1"/>
  <c r="B110" i="21" s="1"/>
  <c r="B14" i="21" a="1"/>
  <c r="B14" i="21" s="1"/>
  <c r="B77" i="21" a="1"/>
  <c r="B77" i="21" s="1"/>
  <c r="B16" i="21" a="1"/>
  <c r="B16" i="21" s="1"/>
  <c r="B98" i="21" a="1"/>
  <c r="B98" i="21" s="1"/>
  <c r="B95" i="21" a="1"/>
  <c r="B95" i="21" s="1"/>
  <c r="B46" i="21" a="1"/>
  <c r="B46" i="21" s="1"/>
  <c r="B76" i="21" a="1"/>
  <c r="B76" i="21" s="1"/>
  <c r="B52" i="21" a="1"/>
  <c r="B52" i="21" s="1"/>
  <c r="B83" i="21" a="1"/>
  <c r="B83" i="21" s="1"/>
  <c r="B87" i="21" a="1"/>
  <c r="B87" i="21" s="1"/>
  <c r="B67" i="21" a="1"/>
  <c r="B67" i="21" s="1"/>
  <c r="B94" i="21" a="1"/>
  <c r="B94" i="21" s="1"/>
  <c r="B113" i="21" a="1"/>
  <c r="B113" i="21" s="1"/>
  <c r="B114" i="21" a="1"/>
  <c r="B114" i="21" s="1"/>
  <c r="B82" i="21" a="1"/>
  <c r="B82" i="21" s="1"/>
  <c r="B22" i="21" a="1"/>
  <c r="B22" i="21" s="1"/>
  <c r="B115" i="21" a="1"/>
  <c r="B115" i="21" s="1"/>
  <c r="B73" i="21" a="1"/>
  <c r="B73" i="21" s="1"/>
  <c r="B104" i="21" a="1"/>
  <c r="B104" i="21" s="1"/>
  <c r="B48" i="21" a="1"/>
  <c r="B48" i="21" s="1"/>
  <c r="B103" i="21" a="1"/>
  <c r="B103" i="21" s="1"/>
  <c r="B3" i="21" a="1"/>
  <c r="B3" i="21" s="1"/>
  <c r="B96" i="21" a="1"/>
  <c r="B96" i="21" s="1"/>
  <c r="B9" i="21" a="1"/>
  <c r="B9" i="21" s="1"/>
  <c r="B8" i="21" a="1"/>
  <c r="B8" i="21" s="1"/>
  <c r="B81" i="21" a="1"/>
  <c r="B81" i="21" s="1"/>
  <c r="B30" i="21" a="1"/>
  <c r="B30" i="21" s="1"/>
  <c r="B80" i="21" a="1"/>
  <c r="B80" i="21" s="1"/>
  <c r="B38" i="21" a="1"/>
  <c r="B38" i="21" s="1"/>
  <c r="B27" i="21" a="1"/>
  <c r="B27" i="21" s="1"/>
  <c r="B5" i="21" a="1"/>
  <c r="B5" i="21" s="1"/>
  <c r="B61" i="21" a="1"/>
  <c r="B61" i="21" s="1"/>
  <c r="B99" i="21" a="1"/>
  <c r="B99" i="21" s="1"/>
  <c r="B36" i="21" a="1"/>
  <c r="B36" i="21" s="1"/>
  <c r="B66" i="21" a="1"/>
  <c r="B66" i="21" s="1"/>
  <c r="B51" i="21" a="1"/>
  <c r="B51" i="21" s="1"/>
  <c r="B124" i="21" a="1"/>
  <c r="B124" i="21" s="1"/>
  <c r="B65" i="21" a="1"/>
  <c r="B65" i="21" s="1"/>
  <c r="B93" i="21" a="1"/>
  <c r="B93" i="21" s="1"/>
  <c r="B20" i="21" a="1"/>
  <c r="B20" i="21" s="1"/>
  <c r="B107" i="21" a="1"/>
  <c r="B107" i="21" s="1"/>
  <c r="B15" i="21" a="1"/>
  <c r="B15" i="21" s="1"/>
  <c r="B39" i="21" a="1"/>
  <c r="B39" i="21" s="1"/>
  <c r="B78" i="21" a="1"/>
  <c r="B78" i="21" s="1"/>
  <c r="B69" i="21" a="1"/>
  <c r="B69" i="21" s="1"/>
  <c r="B97" i="21" a="1"/>
  <c r="B97" i="21" s="1"/>
  <c r="B132" i="21" a="1"/>
  <c r="B132" i="21" s="1"/>
  <c r="B12" i="21" a="1"/>
  <c r="B12" i="21" s="1"/>
  <c r="B68" i="21" a="1"/>
  <c r="B68" i="21" s="1"/>
  <c r="B63" i="21" a="1"/>
  <c r="B63" i="21" s="1"/>
  <c r="B100" i="21" a="1"/>
  <c r="B100" i="21" s="1"/>
  <c r="B19" i="21" a="1"/>
  <c r="B19" i="21" s="1"/>
  <c r="B64" i="21" a="1"/>
  <c r="B64" i="21" s="1"/>
  <c r="B127" i="21" a="1"/>
  <c r="B127" i="21" s="1"/>
  <c r="B111" i="21" a="1"/>
  <c r="B111" i="21" s="1"/>
  <c r="B691" i="21" a="1"/>
  <c r="B691" i="21" s="1"/>
  <c r="B720" i="21" a="1"/>
  <c r="B720" i="21" s="1"/>
  <c r="B702" i="21" a="1"/>
  <c r="B702" i="21" s="1"/>
  <c r="B678" i="21" a="1"/>
  <c r="B678" i="21" s="1"/>
  <c r="B719" i="21" a="1"/>
  <c r="B719" i="21" s="1"/>
  <c r="B700" i="21" a="1"/>
  <c r="B700" i="21" s="1"/>
  <c r="B722" i="21" a="1"/>
  <c r="B722" i="21" s="1"/>
  <c r="B723" i="21" a="1"/>
  <c r="B723" i="21" s="1"/>
  <c r="B708" i="21" a="1"/>
  <c r="B708" i="21" s="1"/>
  <c r="B680" i="21" a="1"/>
  <c r="B680" i="21" s="1"/>
  <c r="B683" i="21" a="1"/>
  <c r="B683" i="21" s="1"/>
  <c r="B688" i="21" a="1"/>
  <c r="B688" i="21" s="1"/>
  <c r="B685" i="21" a="1"/>
  <c r="B685" i="21" s="1"/>
  <c r="B712" i="21" a="1"/>
  <c r="B712" i="21" s="1"/>
  <c r="B714" i="21" a="1"/>
  <c r="B714" i="21" s="1"/>
  <c r="B689" i="21" a="1"/>
  <c r="B689" i="21" s="1"/>
  <c r="B707" i="21" a="1"/>
  <c r="B707" i="21" s="1"/>
  <c r="B725" i="21" a="1"/>
  <c r="B725" i="21" s="1"/>
  <c r="B724" i="21" a="1"/>
  <c r="B724" i="21" s="1"/>
  <c r="B697" i="21" a="1"/>
  <c r="B697" i="21" s="1"/>
  <c r="B726" i="21" a="1"/>
  <c r="B726" i="21" s="1"/>
  <c r="B695" i="21" a="1"/>
  <c r="B695" i="21" s="1"/>
  <c r="B718" i="21" a="1"/>
  <c r="B718" i="21" s="1"/>
  <c r="B679" i="21" a="1"/>
  <c r="B679" i="21" s="1"/>
  <c r="B715" i="21" a="1"/>
  <c r="B715" i="21" s="1"/>
  <c r="B717" i="21" a="1"/>
  <c r="B717" i="21" s="1"/>
  <c r="B696" i="21" a="1"/>
  <c r="B696" i="21" s="1"/>
  <c r="B686" i="21" a="1"/>
  <c r="B686" i="21" s="1"/>
  <c r="B687" i="21" a="1"/>
  <c r="B687" i="21" s="1"/>
  <c r="B711" i="21" a="1"/>
  <c r="B711" i="21" s="1"/>
  <c r="B713" i="21" a="1"/>
  <c r="B713" i="21" s="1"/>
  <c r="B706" i="21" a="1"/>
  <c r="B706" i="21" s="1"/>
  <c r="B698" i="21" a="1"/>
  <c r="B698" i="21" s="1"/>
  <c r="B716" i="21" a="1"/>
  <c r="B716" i="21" s="1"/>
  <c r="B710" i="21" a="1"/>
  <c r="B710" i="21" s="1"/>
  <c r="B709" i="21" a="1"/>
  <c r="B709" i="21" s="1"/>
  <c r="B682" i="21" a="1"/>
  <c r="B682" i="21" s="1"/>
  <c r="B731" i="21" a="1"/>
  <c r="B731" i="21" s="1"/>
  <c r="B703" i="21" a="1"/>
  <c r="B703" i="21" s="1"/>
  <c r="B690" i="21" a="1"/>
  <c r="B690" i="21" s="1"/>
  <c r="B692" i="21" a="1"/>
  <c r="B692" i="21" s="1"/>
  <c r="B721" i="21" a="1"/>
  <c r="B721" i="21" s="1"/>
  <c r="B693" i="21" a="1"/>
  <c r="B693" i="21" s="1"/>
  <c r="B659" i="21" a="1"/>
  <c r="B659" i="21" s="1"/>
  <c r="B650" i="21" a="1"/>
  <c r="B650" i="21" s="1"/>
  <c r="B644" i="21" a="1"/>
  <c r="B644" i="21" s="1"/>
  <c r="B645" i="21" a="1"/>
  <c r="B645" i="21" s="1"/>
  <c r="B656" i="21" a="1"/>
  <c r="B656" i="21" s="1"/>
  <c r="B655" i="21" a="1"/>
  <c r="B655" i="21" s="1"/>
  <c r="B653" i="21" a="1"/>
  <c r="B653" i="21" s="1"/>
  <c r="B651" i="21" a="1"/>
  <c r="B651" i="21" s="1"/>
  <c r="B652" i="21" a="1"/>
  <c r="B652" i="21" s="1"/>
  <c r="B657" i="21" a="1"/>
  <c r="B657" i="21" s="1"/>
  <c r="B649" i="21" a="1"/>
  <c r="B649" i="21" s="1"/>
  <c r="B648" i="21" a="1"/>
  <c r="B648" i="21" s="1"/>
  <c r="B647" i="21" a="1"/>
  <c r="B647" i="21" s="1"/>
  <c r="B646" i="21" a="1"/>
  <c r="B646" i="21" s="1"/>
  <c r="B625" i="21" a="1"/>
  <c r="B625" i="21" s="1"/>
  <c r="B610" i="21" a="1"/>
  <c r="B610" i="21" s="1"/>
  <c r="B615" i="21" a="1"/>
  <c r="B615" i="21" s="1"/>
  <c r="B642" i="21" a="1"/>
  <c r="B642" i="21" s="1"/>
  <c r="B624" i="21" a="1"/>
  <c r="B624" i="21" s="1"/>
  <c r="B607" i="21" a="1"/>
  <c r="B607" i="21" s="1"/>
  <c r="B606" i="21" a="1"/>
  <c r="B606" i="21" s="1"/>
  <c r="B600" i="21" a="1"/>
  <c r="B600" i="21" s="1"/>
  <c r="B612" i="21" a="1"/>
  <c r="B612" i="21" s="1"/>
  <c r="B613" i="21" a="1"/>
  <c r="B613" i="21" s="1"/>
  <c r="B623" i="21" a="1"/>
  <c r="B623" i="21" s="1"/>
  <c r="B611" i="21" a="1"/>
  <c r="B611" i="21" s="1"/>
  <c r="B602" i="21" a="1"/>
  <c r="B602" i="21" s="1"/>
  <c r="B617" i="21" a="1"/>
  <c r="B617" i="21" s="1"/>
  <c r="B622" i="21" a="1"/>
  <c r="B622" i="21" s="1"/>
  <c r="B643" i="21" a="1"/>
  <c r="B643" i="21" s="1"/>
  <c r="B603" i="21" a="1"/>
  <c r="B603" i="21" s="1"/>
  <c r="B618" i="21" a="1"/>
  <c r="B618" i="21" s="1"/>
  <c r="B609" i="21" a="1"/>
  <c r="B609" i="21" s="1"/>
  <c r="B639" i="21" a="1"/>
  <c r="B639" i="21" s="1"/>
  <c r="B605" i="21" a="1"/>
  <c r="B605" i="21" s="1"/>
  <c r="B621" i="21" a="1"/>
  <c r="B621" i="21" s="1"/>
  <c r="B620" i="21" a="1"/>
  <c r="B620" i="21" s="1"/>
  <c r="B641" i="21" a="1"/>
  <c r="B641" i="21" s="1"/>
  <c r="B604" i="21" a="1"/>
  <c r="B604" i="21" s="1"/>
  <c r="B640" i="21" a="1"/>
  <c r="B640" i="21" s="1"/>
  <c r="B619" i="21" a="1"/>
  <c r="B619" i="21" s="1"/>
  <c r="U790" i="17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S791" i="17"/>
  <c r="U791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Besides the factual existence, can't find much info on this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Per car Mc unit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<sst xmlns="http://schemas.openxmlformats.org/spreadsheetml/2006/main" count="20611" uniqueCount="3020">
  <si>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</si>
  <si>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</si>
  <si>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</si>
  <si>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</si>
  <si>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</si>
  <si>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</si>
  <si>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</si>
  <si>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</si>
  <si>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</si>
  <si>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</si>
  <si>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</si>
  <si>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</si>
  <si>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</si>
  <si>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</si>
  <si>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</si>
  <si>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</si>
  <si>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</si>
  <si>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</si>
  <si>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</si>
  <si>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</si>
  <si>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</si>
  <si>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</si>
  <si>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</si>
  <si>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</si>
  <si>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</si>
  <si>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</si>
  <si>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</si>
  <si>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</si>
  <si>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</si>
  <si>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</si>
  <si>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</si>
  <si>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</si>
  <si>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</si>
  <si>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</si>
  <si>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</si>
  <si>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</si>
  <si>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</si>
  <si>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</si>
  <si>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</si>
  <si>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</si>
  <si>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</si>
  <si>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</si>
  <si>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</si>
  <si>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</si>
  <si>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</si>
  <si>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</si>
  <si>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</si>
  <si>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</si>
  <si>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</si>
  <si>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</si>
  <si>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</si>
  <si>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</si>
  <si>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</si>
  <si>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</si>
  <si>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</si>
  <si>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</si>
  <si>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</si>
  <si>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</si>
  <si>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</si>
  <si>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</si>
  <si>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</si>
  <si>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</si>
  <si>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</si>
  <si>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</si>
  <si>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</si>
  <si>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</si>
  <si>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</si>
  <si>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</si>
  <si>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</si>
  <si>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</si>
  <si>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</si>
  <si>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</si>
  <si>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</si>
  <si>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</si>
  <si>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</si>
  <si>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</si>
  <si>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</si>
  <si>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</si>
  <si>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</si>
  <si>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</si>
  <si>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</si>
  <si>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</si>
  <si>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</si>
  <si>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</si>
  <si>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</si>
  <si>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</si>
  <si>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</si>
  <si>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</si>
  <si>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</si>
  <si>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</si>
  <si>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</si>
  <si>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</si>
  <si>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</si>
  <si>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</si>
  <si>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</si>
  <si>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</si>
  <si>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</si>
  <si>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</si>
  <si>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</si>
  <si>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</si>
  <si>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</si>
  <si>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</si>
  <si>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</si>
  <si>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</si>
  <si>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</si>
  <si>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</si>
  <si>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</si>
  <si>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</si>
  <si>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</si>
  <si>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</si>
  <si>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</si>
  <si>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</si>
  <si>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</si>
  <si>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</si>
  <si>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</si>
  <si>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</si>
  <si>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</si>
  <si>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</si>
  <si>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</si>
  <si>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</si>
  <si>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</si>
  <si>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</si>
  <si>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</si>
  <si>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</si>
  <si>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</si>
  <si>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</si>
  <si>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</si>
  <si>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</si>
  <si>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</si>
  <si>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</si>
  <si>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</si>
  <si>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</si>
  <si>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</si>
  <si>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</si>
  <si>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</si>
  <si>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</si>
  <si>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</si>
  <si>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</si>
  <si>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</si>
  <si>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</si>
  <si>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</si>
  <si>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</si>
  <si>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</si>
  <si>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</si>
  <si>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</si>
  <si>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</si>
  <si>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</si>
  <si>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</si>
  <si>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</si>
  <si>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</si>
  <si>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</si>
  <si>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</si>
  <si>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</si>
  <si>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</si>
  <si>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</si>
  <si>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</si>
  <si>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</si>
  <si>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</si>
  <si>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</si>
  <si>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</si>
  <si>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</si>
  <si>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</si>
  <si>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</si>
  <si>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</si>
  <si>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</si>
  <si>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</si>
  <si>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</si>
  <si>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</si>
  <si>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</si>
  <si>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</si>
  <si>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</si>
  <si>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</si>
  <si>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</si>
  <si>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</si>
  <si>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</si>
  <si>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</si>
  <si>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</si>
  <si>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</si>
  <si>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</si>
  <si>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</si>
  <si>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</si>
  <si>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</si>
  <si>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</si>
  <si>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</si>
  <si>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</si>
  <si>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</si>
  <si>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</si>
  <si>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</si>
  <si>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</si>
  <si>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</si>
  <si>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</si>
  <si>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</si>
  <si>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</si>
  <si>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</si>
  <si>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</si>
  <si>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</si>
  <si>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</si>
  <si>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</si>
  <si>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</si>
  <si>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</si>
  <si>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</si>
  <si>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</si>
  <si>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</si>
  <si>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</si>
  <si>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</si>
  <si>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</si>
  <si>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</si>
  <si>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</si>
  <si>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</si>
  <si>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</si>
  <si>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</si>
  <si>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</si>
  <si>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</si>
  <si>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</si>
  <si>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</si>
  <si>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</si>
  <si>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</si>
  <si>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</si>
  <si>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</si>
  <si>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</si>
  <si>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</si>
  <si>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</si>
  <si>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</si>
  <si>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</si>
  <si>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</si>
  <si>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</si>
  <si>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</si>
  <si>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</si>
  <si>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</si>
  <si>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</si>
  <si>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</si>
  <si>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</si>
  <si>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</si>
  <si>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</si>
  <si>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</si>
  <si>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</si>
  <si>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</si>
  <si>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</si>
  <si>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</si>
  <si>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</si>
  <si>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</si>
  <si>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</si>
  <si>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</si>
  <si>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</si>
  <si>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</si>
  <si>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</si>
  <si>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</si>
  <si>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</si>
  <si>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</si>
  <si>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</si>
  <si>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</si>
  <si>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</si>
  <si>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</si>
  <si>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</si>
  <si>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</si>
  <si>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</si>
  <si>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</si>
  <si>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</si>
  <si>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</si>
  <si>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</si>
  <si>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</si>
  <si>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</si>
  <si>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</si>
  <si>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</si>
  <si>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</si>
  <si>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</si>
  <si>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</si>
  <si>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</si>
  <si>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</si>
  <si>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</si>
  <si>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</si>
  <si>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</si>
  <si>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</si>
  <si>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</si>
  <si>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</si>
  <si>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</si>
  <si>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</si>
  <si>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</si>
  <si>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</si>
  <si>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</si>
  <si>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</si>
  <si>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</si>
  <si>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</si>
  <si>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</si>
  <si>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</si>
  <si>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</si>
  <si>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</si>
  <si>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</si>
  <si>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</si>
  <si>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</si>
  <si>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</si>
  <si>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</si>
  <si>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</si>
  <si>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</si>
  <si>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</si>
  <si>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</si>
  <si>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</si>
  <si>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</si>
  <si>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</si>
  <si>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</si>
  <si>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</si>
  <si>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</si>
  <si>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</si>
  <si>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</si>
  <si>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</si>
  <si>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</si>
  <si>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</si>
  <si>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</si>
  <si>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</si>
  <si>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</si>
  <si>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</si>
  <si>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</si>
  <si>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</si>
  <si>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</si>
  <si>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</si>
  <si>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</si>
  <si>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</si>
  <si>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</si>
  <si>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</si>
  <si>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</si>
  <si>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</si>
  <si>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</si>
  <si>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</si>
  <si>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</si>
  <si>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</si>
  <si>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</si>
  <si>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</si>
  <si>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</si>
  <si>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</si>
  <si>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</si>
  <si>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</si>
  <si>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</si>
  <si>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</si>
  <si>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</si>
  <si>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</si>
  <si>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</si>
  <si>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</si>
  <si>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</si>
  <si>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</si>
  <si>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</si>
  <si>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</si>
  <si>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</si>
  <si>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</si>
  <si>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</si>
  <si>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</si>
  <si>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</si>
  <si>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</si>
  <si>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</si>
  <si>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</si>
  <si>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</si>
  <si>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</si>
  <si>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</si>
  <si>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</si>
  <si>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</si>
  <si>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</si>
  <si>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</si>
  <si>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</si>
  <si>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</si>
  <si>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</si>
  <si>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</si>
  <si>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</si>
  <si>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</si>
  <si>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</si>
  <si>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</si>
  <si>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</si>
  <si>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</si>
  <si>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</si>
  <si>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</si>
  <si>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</si>
  <si>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</si>
  <si>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</si>
  <si>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</si>
  <si>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</si>
  <si>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</si>
  <si>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</si>
  <si>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</si>
  <si>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</si>
  <si>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</si>
  <si>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</si>
  <si>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</si>
  <si>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</si>
  <si>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</si>
  <si>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</si>
  <si>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</si>
  <si>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</si>
  <si>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</si>
  <si>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</si>
  <si>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</si>
  <si>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</si>
  <si>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</si>
  <si>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</si>
  <si>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</si>
  <si>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</si>
  <si>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</si>
  <si>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</si>
  <si>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</si>
  <si>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</si>
  <si>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</si>
  <si>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</si>
  <si>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</si>
  <si>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</si>
  <si>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</si>
  <si>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</si>
  <si>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</si>
  <si>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</si>
  <si>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</si>
  <si>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</si>
  <si>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</si>
  <si>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</si>
  <si>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</si>
  <si>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</si>
  <si>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</si>
  <si>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</si>
  <si>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</si>
  <si>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</si>
  <si>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</si>
  <si>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</si>
  <si>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</si>
  <si>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</si>
  <si>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</si>
  <si>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</si>
  <si>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</si>
  <si>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</si>
  <si>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</si>
  <si>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</si>
  <si>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</si>
  <si>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</si>
  <si>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</si>
  <si>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</si>
  <si>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</si>
  <si>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</si>
  <si>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</si>
  <si>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</si>
  <si>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</si>
  <si>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</si>
  <si>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</si>
  <si>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</si>
  <si>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</si>
  <si>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</si>
  <si>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</si>
  <si>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</si>
  <si>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</si>
  <si>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</si>
  <si>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</si>
  <si>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</si>
  <si>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</si>
  <si>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</si>
  <si>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</si>
  <si>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</si>
  <si>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</si>
  <si>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</si>
  <si>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</si>
  <si>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</si>
  <si>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</si>
  <si>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</si>
  <si>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</si>
  <si>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</si>
  <si>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</si>
  <si>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</si>
  <si>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</si>
  <si>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</si>
  <si>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</si>
  <si>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</si>
  <si>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</si>
  <si>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</si>
  <si>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</si>
  <si>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</si>
  <si>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</si>
  <si>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</si>
  <si>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</si>
  <si>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</si>
  <si>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</si>
  <si>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</si>
  <si>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</si>
  <si>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</si>
  <si>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</si>
  <si>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</si>
  <si>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</si>
  <si>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</si>
  <si>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</si>
  <si>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</si>
  <si>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</si>
  <si>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</si>
  <si>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</si>
  <si>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</si>
  <si>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</si>
  <si>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</si>
  <si>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</si>
  <si>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</si>
  <si>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</si>
  <si>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</si>
  <si>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</si>
  <si>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</si>
  <si>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</si>
  <si>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</si>
  <si>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</si>
  <si>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</si>
  <si>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</si>
  <si>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</si>
  <si>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</si>
  <si>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</si>
  <si>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</si>
  <si>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</si>
  <si>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</si>
  <si>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</si>
  <si>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</si>
  <si>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</si>
  <si>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</si>
  <si>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</si>
  <si>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</si>
  <si>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</si>
  <si>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</si>
  <si>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</si>
  <si>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</si>
  <si>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</si>
  <si>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</si>
  <si>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</si>
  <si>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</si>
  <si>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</si>
  <si>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</si>
  <si>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</si>
  <si>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</si>
  <si>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</si>
  <si>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</si>
  <si>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</si>
  <si>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</si>
  <si>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</si>
  <si>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</si>
  <si>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</si>
  <si>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</si>
  <si>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</si>
  <si>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</si>
  <si>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</si>
  <si>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</si>
  <si>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</si>
  <si>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</si>
  <si>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</si>
  <si>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</si>
  <si>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</si>
  <si>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</si>
  <si>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</si>
  <si>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</si>
  <si>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</si>
  <si>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</si>
  <si>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</si>
  <si>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</si>
  <si>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</si>
  <si>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</si>
  <si>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</si>
  <si>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</si>
  <si>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</si>
  <si>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</si>
  <si>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</si>
  <si>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</si>
  <si>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</si>
  <si>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</si>
  <si>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</si>
  <si>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</si>
  <si>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</si>
  <si>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</si>
  <si>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</si>
  <si>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</si>
  <si>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</si>
  <si>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</si>
  <si>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</si>
  <si>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</si>
  <si>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</si>
  <si>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</si>
  <si>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</si>
  <si>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</si>
  <si>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</si>
  <si>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</si>
  <si>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</si>
  <si>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</si>
  <si>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</si>
  <si>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</si>
  <si>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</si>
  <si>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</si>
  <si>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</si>
  <si>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</si>
  <si>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</si>
  <si>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</si>
  <si>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</si>
  <si>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</si>
  <si>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</si>
  <si>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</si>
  <si>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</si>
  <si>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</si>
  <si>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</si>
  <si>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</si>
  <si>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</si>
  <si>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</si>
  <si>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</si>
  <si>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</si>
  <si>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</si>
  <si>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</si>
  <si>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</si>
  <si>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</si>
  <si>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</si>
  <si>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</si>
  <si>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</si>
  <si>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</si>
  <si>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</si>
  <si>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</si>
  <si>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</si>
  <si>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</si>
  <si>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</si>
  <si>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</si>
  <si>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</si>
  <si>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</si>
  <si>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</si>
  <si>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</si>
  <si>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</si>
  <si>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</si>
  <si>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</si>
  <si>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</si>
  <si>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</si>
  <si>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</si>
  <si>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</si>
  <si>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</si>
  <si>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</si>
  <si>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</si>
  <si>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</si>
  <si>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</si>
  <si>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</si>
  <si>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</si>
  <si>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</si>
  <si>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</si>
  <si>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</si>
  <si>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</si>
  <si>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</si>
  <si>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</si>
  <si>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</si>
  <si>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</si>
  <si>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</si>
  <si>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</si>
  <si>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</si>
  <si>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</si>
  <si>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</si>
  <si>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</si>
  <si>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</si>
  <si>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</si>
  <si>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</si>
  <si>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</si>
  <si>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</si>
  <si>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</si>
  <si>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</si>
  <si>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</si>
  <si>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</si>
  <si>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</si>
  <si>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</si>
  <si>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</si>
  <si>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</si>
  <si>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</si>
  <si>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</si>
  <si>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</si>
  <si>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</si>
  <si>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</si>
  <si>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</si>
  <si>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</si>
  <si>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</si>
  <si>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</si>
  <si>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</si>
  <si>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</si>
  <si>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</si>
  <si>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</si>
  <si>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</si>
  <si>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</si>
  <si>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</si>
  <si>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</si>
  <si>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</si>
  <si>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</si>
  <si>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</si>
  <si>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</si>
  <si>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</si>
  <si>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</si>
  <si>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</si>
  <si>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</si>
  <si>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</si>
  <si>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</si>
  <si>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</si>
  <si>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</si>
  <si>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</si>
  <si>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</si>
  <si>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</si>
  <si>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</si>
  <si>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</si>
  <si>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</si>
  <si>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</si>
  <si>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</si>
  <si>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</si>
  <si>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</si>
  <si>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</si>
  <si>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</si>
  <si>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</si>
  <si>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</si>
  <si>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</si>
  <si>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</si>
  <si>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</si>
  <si>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</si>
  <si>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</si>
  <si>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</si>
  <si>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</si>
  <si>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</si>
  <si>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</si>
  <si>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</si>
  <si>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</si>
  <si>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</si>
  <si>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</si>
  <si>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</si>
  <si>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</si>
  <si>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</si>
  <si>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</si>
  <si>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</si>
  <si>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</si>
  <si>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</si>
  <si>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</si>
  <si>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</si>
  <si>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</si>
  <si>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</si>
  <si>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</si>
  <si>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</si>
  <si>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</si>
  <si>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</si>
  <si>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</si>
  <si>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</si>
  <si>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</si>
  <si>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</si>
  <si>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</si>
  <si>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</si>
  <si>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</si>
  <si>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</si>
  <si>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</si>
  <si>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</si>
  <si>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</si>
  <si>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</si>
  <si>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</si>
  <si>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</si>
  <si>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</si>
  <si>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</si>
  <si>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</si>
  <si>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</si>
  <si>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</si>
  <si>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</si>
  <si>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</si>
  <si>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</si>
  <si>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</si>
  <si>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</si>
  <si>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</si>
  <si>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</si>
  <si>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</si>
  <si>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</si>
  <si>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</si>
  <si>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</si>
  <si>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</si>
  <si>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</si>
  <si>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</si>
  <si>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</si>
  <si>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</si>
  <si>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</si>
  <si>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</si>
  <si>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</si>
  <si>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</si>
  <si>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</si>
  <si>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</si>
  <si>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</si>
  <si>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</si>
  <si>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</si>
  <si>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</si>
  <si>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</si>
  <si>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</si>
  <si>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</si>
  <si>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</si>
  <si>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</si>
  <si>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</si>
  <si>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</si>
  <si>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</si>
  <si>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</si>
  <si>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</si>
  <si>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</si>
  <si>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</si>
  <si>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</si>
  <si>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</si>
  <si>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</si>
  <si>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</si>
  <si>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</si>
  <si>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</si>
  <si>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</si>
  <si>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</si>
  <si>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</si>
  <si>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</si>
  <si>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</si>
  <si>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</si>
  <si>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</si>
  <si>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</si>
  <si>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</si>
  <si>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</si>
  <si>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</si>
  <si>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</si>
  <si>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</si>
  <si>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</si>
  <si>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</si>
  <si>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</si>
  <si>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</si>
  <si>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</si>
  <si>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</si>
  <si>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</si>
  <si>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</si>
  <si>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</si>
  <si>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</si>
  <si>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</si>
  <si>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</si>
  <si>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</si>
  <si>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</si>
  <si>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</si>
  <si>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</si>
  <si>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</si>
  <si>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</si>
  <si>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</si>
  <si>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</si>
  <si>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</si>
  <si>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</si>
  <si>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</si>
  <si>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</si>
  <si>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</si>
  <si>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</si>
  <si>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</si>
  <si>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</si>
  <si>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</si>
  <si>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</si>
  <si>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</si>
  <si>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</si>
  <si>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</si>
  <si>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</si>
  <si>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</si>
  <si>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</si>
  <si>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</si>
  <si>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</si>
  <si>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</si>
  <si>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</si>
  <si>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</si>
  <si>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</si>
  <si>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</si>
  <si>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</si>
  <si>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</si>
  <si>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</si>
  <si>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</si>
  <si>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</si>
  <si>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</si>
  <si>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</si>
  <si>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</si>
  <si>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</si>
  <si>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</si>
  <si>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</si>
  <si>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</si>
  <si>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</si>
  <si>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</si>
  <si>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</si>
  <si>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</si>
  <si>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</si>
  <si>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</si>
  <si>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</si>
  <si>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</si>
  <si>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</si>
  <si>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</si>
  <si>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</si>
  <si>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</si>
  <si>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</si>
  <si>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</si>
  <si>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</si>
  <si>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</si>
  <si>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</si>
  <si>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</si>
  <si>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</si>
  <si>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</si>
  <si>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</si>
  <si>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</si>
  <si>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</si>
  <si>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</si>
  <si>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</si>
  <si>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</si>
  <si>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</si>
  <si>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</si>
  <si>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</si>
  <si>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</si>
  <si>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</si>
  <si>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</si>
  <si>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</si>
  <si>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</si>
  <si>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</si>
  <si>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</si>
  <si>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</si>
  <si>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</si>
  <si>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</si>
  <si>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</si>
  <si>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</si>
  <si>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</si>
  <si>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</si>
  <si>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</si>
  <si>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</si>
  <si>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</si>
  <si>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</si>
  <si>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</si>
  <si>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</si>
  <si>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</si>
  <si>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</si>
  <si>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</si>
  <si>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</si>
  <si>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</si>
  <si>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</si>
  <si>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</si>
  <si>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</si>
  <si>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</si>
  <si>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</si>
  <si>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</si>
  <si>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</si>
  <si>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</si>
  <si>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</si>
  <si>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</si>
  <si>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</si>
  <si>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</si>
  <si>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</si>
  <si>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</si>
  <si>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</si>
  <si>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</si>
  <si>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</si>
  <si>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</si>
  <si>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</si>
  <si>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</si>
  <si>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</si>
  <si>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</si>
  <si>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</si>
  <si>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</si>
  <si>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</si>
  <si>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</si>
  <si>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</si>
  <si>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</si>
  <si>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</si>
  <si>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</si>
  <si>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</si>
  <si>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</si>
  <si>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</si>
  <si>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</si>
  <si>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</si>
  <si>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</si>
  <si>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</si>
  <si>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</si>
  <si>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</si>
  <si>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</si>
  <si>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</si>
  <si>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</si>
  <si>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</si>
  <si>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</si>
  <si>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</si>
  <si>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</si>
  <si>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</si>
  <si>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</si>
  <si>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</si>
  <si>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</si>
  <si>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</si>
  <si>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</si>
  <si>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</si>
  <si>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</si>
  <si>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</si>
  <si>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</si>
  <si>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</si>
  <si>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</si>
  <si>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</si>
  <si>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</si>
  <si>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</si>
  <si>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</si>
  <si>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</si>
  <si>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</si>
  <si>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</si>
  <si>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</si>
  <si>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</si>
  <si>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</si>
  <si>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</si>
  <si>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</si>
  <si>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</si>
  <si>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</si>
  <si>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</si>
  <si>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</si>
  <si>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</si>
  <si>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</si>
  <si>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</si>
  <si>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</si>
  <si>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</si>
  <si>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</si>
  <si>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</si>
  <si>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</si>
  <si>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</si>
  <si>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</si>
  <si>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</si>
  <si>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</si>
  <si>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</si>
  <si>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</si>
  <si>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</si>
  <si>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</si>
  <si>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</si>
  <si>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</si>
  <si>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</si>
  <si>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</si>
  <si>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</si>
  <si>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</si>
  <si>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</si>
  <si>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</si>
  <si>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</si>
  <si>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</si>
  <si>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</si>
  <si>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</si>
  <si>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</si>
  <si>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</si>
  <si>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</si>
  <si>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</si>
  <si>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</si>
  <si>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</si>
  <si>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</si>
  <si>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</si>
  <si>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</si>
  <si>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</si>
  <si>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</si>
  <si>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</si>
  <si>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</si>
  <si>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</si>
  <si>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</si>
  <si>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</si>
  <si>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</si>
  <si>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</si>
  <si>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</si>
  <si>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</si>
  <si>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</si>
  <si>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</si>
  <si>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</si>
  <si>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</si>
  <si>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</si>
  <si>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</si>
  <si>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</si>
  <si>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</si>
  <si>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</si>
  <si>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</si>
  <si>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</si>
  <si>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</si>
  <si>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</si>
  <si>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</si>
  <si>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</si>
  <si>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</si>
  <si>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</si>
  <si>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</si>
  <si>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</si>
  <si>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</si>
  <si>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</si>
  <si>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</si>
  <si>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</si>
  <si>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</si>
  <si>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</si>
  <si>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</si>
  <si>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</si>
  <si>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</si>
  <si>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</si>
  <si>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</si>
  <si>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</si>
  <si>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</si>
  <si>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</si>
  <si>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</si>
  <si>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</si>
  <si>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</si>
  <si>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</si>
  <si>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</si>
  <si>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</si>
  <si>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</si>
  <si>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</si>
  <si>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</si>
  <si>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</si>
  <si>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</si>
  <si>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</si>
  <si>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</si>
  <si>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</si>
  <si>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</si>
  <si>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</si>
  <si>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</si>
  <si>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</si>
  <si>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</si>
  <si>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</si>
  <si>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</si>
  <si>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</si>
  <si>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</si>
  <si>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</si>
  <si>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</si>
  <si>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</si>
  <si>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</si>
  <si>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</si>
  <si>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</si>
  <si>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</si>
  <si>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</si>
  <si>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</si>
  <si>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</si>
  <si>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</si>
  <si>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</si>
  <si>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</si>
  <si>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</si>
  <si>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</si>
  <si>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</si>
  <si>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</si>
  <si>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</si>
  <si>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</si>
  <si>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</si>
  <si>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</si>
  <si>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</si>
  <si>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</si>
  <si>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</si>
  <si>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</si>
  <si>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</si>
  <si>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</si>
  <si>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</si>
  <si>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</si>
  <si>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</si>
  <si>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</si>
  <si>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</si>
  <si>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</si>
  <si>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</si>
  <si>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</si>
  <si>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</si>
  <si>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</si>
  <si>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</si>
  <si>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</si>
  <si>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</si>
  <si>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</si>
  <si>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</si>
  <si>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</si>
  <si>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</si>
  <si>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</si>
  <si>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</si>
  <si>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</si>
  <si>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</si>
  <si>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</si>
  <si>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</si>
  <si>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</si>
  <si>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</si>
  <si>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</si>
  <si>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</si>
  <si>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</si>
  <si>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RZD P36</t>
  </si>
  <si>
    <t>SNCF 150B</t>
  </si>
  <si>
    <t>FS 895</t>
  </si>
  <si>
    <t>PKP OKz32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</si>
  <si>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</si>
  <si>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</si>
  <si>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</si>
  <si>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</si>
  <si>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</si>
  <si>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</si>
  <si>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</si>
  <si>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</si>
  <si>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</si>
  <si>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</si>
  <si>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</si>
  <si>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</si>
  <si>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</si>
  <si>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</si>
  <si>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</si>
  <si>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</si>
  <si>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</si>
  <si>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</si>
  <si>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</si>
  <si>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CN U-1</t>
  </si>
  <si>
    <t>Indian Railways XB</t>
  </si>
  <si>
    <t>Iraqi State Railways PC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</si>
  <si>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</si>
  <si>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</si>
  <si>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</si>
  <si>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</si>
  <si>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</si>
  <si>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</si>
  <si>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</si>
  <si>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</si>
  <si>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</si>
  <si>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</si>
  <si>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</si>
  <si>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</si>
  <si>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</si>
  <si>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</si>
  <si>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</si>
  <si>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</si>
  <si>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</si>
  <si>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</si>
  <si>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</si>
  <si>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</si>
  <si>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</si>
  <si>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</si>
  <si>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</si>
  <si>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</si>
  <si>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</si>
  <si>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</si>
  <si>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</si>
  <si>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</si>
  <si>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</si>
  <si>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</si>
  <si>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</si>
  <si>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</si>
  <si>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</si>
  <si>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</si>
  <si>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</si>
  <si>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</si>
  <si>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</si>
  <si>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</si>
  <si>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</si>
  <si>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</si>
  <si>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</si>
  <si>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</si>
  <si>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</si>
  <si>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</si>
  <si>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</si>
  <si>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</si>
  <si>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</si>
  <si>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</si>
  <si>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</si>
  <si>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</si>
  <si>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</si>
  <si>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</si>
  <si>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</si>
  <si>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</si>
  <si>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</si>
  <si>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</si>
  <si>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</si>
  <si>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</si>
  <si>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</si>
  <si>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</si>
  <si>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</si>
  <si>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</si>
  <si>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</si>
  <si>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</si>
  <si>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</si>
  <si>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</si>
  <si>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</si>
  <si>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</si>
  <si>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</si>
  <si>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</si>
  <si>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</si>
  <si>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</si>
  <si>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</si>
  <si>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</si>
  <si>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</si>
  <si>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</si>
  <si>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</si>
  <si>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</si>
  <si>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</si>
  <si>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</si>
  <si>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</si>
  <si>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</si>
  <si>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</si>
  <si>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</si>
  <si>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</si>
  <si>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</si>
  <si>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</si>
  <si>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</si>
  <si>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</si>
  <si>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</si>
  <si>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</si>
  <si>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</si>
  <si>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</si>
  <si>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</si>
  <si>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</si>
  <si>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</si>
  <si>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</si>
  <si>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</si>
  <si>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</si>
  <si>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</si>
  <si>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</si>
  <si>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</si>
  <si>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</si>
  <si>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</si>
  <si>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</si>
  <si>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</si>
  <si>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</si>
  <si>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</si>
  <si>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</si>
  <si>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</si>
  <si>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</si>
  <si>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</si>
  <si>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</si>
  <si>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</si>
  <si>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</si>
  <si>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</si>
  <si>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</si>
  <si>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</si>
  <si>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</si>
  <si>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</si>
  <si>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</si>
  <si>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</si>
  <si>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</si>
  <si>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</si>
  <si>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</si>
  <si>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</si>
  <si>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</si>
  <si>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</si>
  <si>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</si>
  <si>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</si>
  <si>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</si>
  <si>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</si>
  <si>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</si>
  <si>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</si>
  <si>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</si>
  <si>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</si>
  <si>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</si>
  <si>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</si>
  <si>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</si>
  <si>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</si>
  <si>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</si>
  <si>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</si>
  <si>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</si>
  <si>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</si>
  <si>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</si>
  <si>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</si>
  <si>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</si>
  <si>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</si>
  <si>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</si>
  <si>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</si>
  <si>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</si>
  <si>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</si>
  <si>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</si>
  <si>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</si>
  <si>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</si>
  <si>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</si>
  <si>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</si>
  <si>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</si>
  <si>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</si>
  <si>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</si>
  <si>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</si>
  <si>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</si>
  <si>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</si>
  <si>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</si>
  <si>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</si>
  <si>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</si>
  <si>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</si>
  <si>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</si>
  <si>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</si>
  <si>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</si>
  <si>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</si>
  <si>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</si>
  <si>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</si>
  <si>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</si>
  <si>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</si>
  <si>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</si>
  <si>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</si>
  <si>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</si>
  <si>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</si>
  <si>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</si>
  <si>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</si>
  <si>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</si>
  <si>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</si>
  <si>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</si>
  <si>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</si>
  <si>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</si>
  <si>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</si>
  <si>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</si>
  <si>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</si>
  <si>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</si>
  <si>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</si>
  <si>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</si>
  <si>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</si>
  <si>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</si>
  <si>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</si>
  <si>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</si>
  <si>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</si>
  <si>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</si>
  <si>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</si>
  <si>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</si>
  <si>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</si>
  <si>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</si>
  <si>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</si>
  <si>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</si>
  <si>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</si>
  <si>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</si>
  <si>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</si>
  <si>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</si>
  <si>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</si>
  <si>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</si>
  <si>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</si>
  <si>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</si>
  <si>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</si>
  <si>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</si>
  <si>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</si>
  <si>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</si>
  <si>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</si>
  <si>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</si>
  <si>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</si>
  <si>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</si>
  <si>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</si>
  <si>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</si>
  <si>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</si>
  <si>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</si>
  <si>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</si>
  <si>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</si>
  <si>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</si>
  <si>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</si>
  <si>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</si>
  <si>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</si>
  <si>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</si>
  <si>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</si>
  <si>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</si>
  <si>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</si>
  <si>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</si>
  <si>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</si>
  <si>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</si>
  <si>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</si>
  <si>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</si>
  <si>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</si>
  <si>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</si>
  <si>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</si>
  <si>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</si>
  <si>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</si>
  <si>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</si>
  <si>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</si>
  <si>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</si>
  <si>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</si>
  <si>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</si>
  <si>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</si>
  <si>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</si>
  <si>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</si>
  <si>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</si>
  <si>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</si>
  <si>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</si>
  <si>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</si>
  <si>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</si>
  <si>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</si>
  <si>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</si>
  <si>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</si>
  <si>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</si>
  <si>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</si>
  <si>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</si>
  <si>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</si>
  <si>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</si>
  <si>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</si>
  <si>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</si>
  <si>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</si>
  <si>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</si>
  <si>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</si>
  <si>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</si>
  <si>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</si>
  <si>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</si>
  <si>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</si>
  <si>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</si>
  <si>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</si>
  <si>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</si>
  <si>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</si>
  <si>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</si>
  <si>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</si>
  <si>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</si>
  <si>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</si>
  <si>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</si>
  <si>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</si>
  <si>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</si>
  <si>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</si>
  <si>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</si>
  <si>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</si>
  <si>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</si>
  <si>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</si>
  <si>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</si>
  <si>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</si>
  <si>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</si>
  <si>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</si>
  <si>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</si>
  <si>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</si>
  <si>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</si>
  <si>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</si>
  <si>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</si>
  <si>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</si>
  <si>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</si>
  <si>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</si>
  <si>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</si>
  <si>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</si>
  <si>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</si>
  <si>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</si>
  <si>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</si>
  <si>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</si>
  <si>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</si>
  <si>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</si>
  <si>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</si>
  <si>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</si>
  <si>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</si>
  <si>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</si>
  <si>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</si>
  <si>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</si>
  <si>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</si>
  <si>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</si>
  <si>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</si>
  <si>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</si>
  <si>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</si>
  <si>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</si>
  <si>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</si>
  <si>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</si>
  <si>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</si>
  <si>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</si>
  <si>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</si>
  <si>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</si>
  <si>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</si>
  <si>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</si>
  <si>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</si>
  <si>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</si>
  <si>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</si>
  <si>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</si>
  <si>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</si>
  <si>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</si>
  <si>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</si>
  <si>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</si>
  <si>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</si>
  <si>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</si>
  <si>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</si>
  <si>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</si>
  <si>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</si>
  <si>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</si>
  <si>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</si>
  <si>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</si>
  <si>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</si>
  <si>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</si>
  <si>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</si>
  <si>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</si>
  <si>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</si>
  <si>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</si>
  <si>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</si>
  <si>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</si>
  <si>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</si>
  <si>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</si>
  <si>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</si>
  <si>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</si>
  <si>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</si>
  <si>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</si>
  <si>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</si>
  <si>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</si>
  <si>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</si>
  <si>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</si>
  <si>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</si>
  <si>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</si>
  <si>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</si>
  <si>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</si>
  <si>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</si>
  <si>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</si>
  <si>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</si>
  <si>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</si>
  <si>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</si>
  <si>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</si>
  <si>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</si>
  <si>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</si>
  <si>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</si>
  <si>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</si>
  <si>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</si>
  <si>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</si>
  <si>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</si>
  <si>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</si>
  <si>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</si>
  <si>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</si>
  <si>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</si>
  <si>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</si>
  <si>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</si>
  <si>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</si>
  <si>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</si>
  <si>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</si>
  <si>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</si>
  <si>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</si>
  <si>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</si>
  <si>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</si>
  <si>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</si>
  <si>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</si>
  <si>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</si>
  <si>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</si>
  <si>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</si>
  <si>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</si>
  <si>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</si>
  <si>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</si>
  <si>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</si>
  <si>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</si>
  <si>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</si>
  <si>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</si>
  <si>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</si>
  <si>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</si>
  <si>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</si>
  <si>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</si>
  <si>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</si>
  <si>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</si>
  <si>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</si>
  <si>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</si>
  <si>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</si>
  <si>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</si>
  <si>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</si>
  <si>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</si>
  <si>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</si>
  <si>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</si>
  <si>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</si>
  <si>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</si>
  <si>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</si>
  <si>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</si>
  <si>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</si>
  <si>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</si>
  <si>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</si>
  <si>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</si>
  <si>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</si>
  <si>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</si>
  <si>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</si>
  <si>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</si>
  <si>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</si>
  <si>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</si>
  <si>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</si>
  <si>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</si>
  <si>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</si>
  <si>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</si>
  <si>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</si>
  <si>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</si>
  <si>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</si>
  <si>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</si>
  <si>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</si>
  <si>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</si>
  <si>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</si>
  <si>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</si>
  <si>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</si>
  <si>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</si>
  <si>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</si>
  <si>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</si>
  <si>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</si>
  <si>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</si>
  <si>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</si>
  <si>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</si>
  <si>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</si>
  <si>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</si>
  <si>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</si>
  <si>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</si>
  <si>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</si>
  <si>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</si>
  <si>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</si>
  <si>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</si>
  <si>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</si>
  <si>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</si>
  <si>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</si>
  <si>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</si>
  <si>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</si>
  <si>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</si>
  <si>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</si>
  <si>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</si>
  <si>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</si>
  <si>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</si>
  <si>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</si>
  <si>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</si>
  <si>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</si>
  <si>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</si>
  <si>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</si>
  <si>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</si>
  <si>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</si>
  <si>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</si>
  <si>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</si>
  <si>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</si>
  <si>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</si>
  <si>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</si>
  <si>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</si>
  <si>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</si>
  <si>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</si>
  <si>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</si>
  <si>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</si>
  <si>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</si>
  <si>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</si>
  <si>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</si>
  <si>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</si>
  <si>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</si>
  <si>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</si>
  <si>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</si>
  <si>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</si>
  <si>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</si>
  <si>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</si>
  <si>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</si>
  <si>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</si>
  <si>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</si>
  <si>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</si>
  <si>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</si>
  <si>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</si>
  <si>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</si>
  <si>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</si>
  <si>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</si>
  <si>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</si>
  <si>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</si>
  <si>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</si>
  <si>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</si>
  <si>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</si>
  <si>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</si>
  <si>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</si>
  <si>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</si>
  <si>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</si>
  <si>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</si>
  <si>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</si>
  <si>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</si>
  <si>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</si>
  <si>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</si>
  <si>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</si>
  <si>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</si>
  <si>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</si>
  <si>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</si>
  <si>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</si>
  <si>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</si>
  <si>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</si>
  <si>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</si>
  <si>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</si>
  <si>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</si>
  <si>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</si>
  <si>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</si>
  <si>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</si>
  <si>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</si>
  <si>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</si>
  <si>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</si>
  <si>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</si>
  <si>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</si>
  <si>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</si>
  <si>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</si>
  <si>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</si>
  <si>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</si>
  <si>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</si>
  <si>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</si>
  <si>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</si>
  <si>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</si>
  <si>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</si>
  <si>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</si>
  <si>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</si>
  <si>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</si>
  <si>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</si>
  <si>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</si>
  <si>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</si>
  <si>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</si>
  <si>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</si>
  <si>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</si>
  <si>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</si>
  <si>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</si>
  <si>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</si>
  <si>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</si>
  <si>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</si>
  <si>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</si>
  <si>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</si>
  <si>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</si>
  <si>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</si>
  <si>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</si>
  <si>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</si>
  <si>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</si>
  <si>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</si>
  <si>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</si>
  <si>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</si>
  <si>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</si>
  <si>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</si>
  <si>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</si>
  <si>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</si>
  <si>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</si>
  <si>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</si>
  <si>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</si>
  <si>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</si>
  <si>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</si>
  <si>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</si>
  <si>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</si>
  <si>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</si>
  <si>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</si>
  <si>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</si>
  <si>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</si>
  <si>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</si>
  <si>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</si>
  <si>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</si>
  <si>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</si>
  <si>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</si>
  <si>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</si>
  <si>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</si>
  <si>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</si>
  <si>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</si>
  <si>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</si>
  <si>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</si>
  <si>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</si>
  <si>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</si>
  <si>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</si>
  <si>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</si>
  <si>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</si>
  <si>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</si>
  <si>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</si>
  <si>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</si>
  <si>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</si>
  <si>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</si>
  <si>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</si>
  <si>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</si>
  <si>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</si>
  <si>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</si>
  <si>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</si>
  <si>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</si>
  <si>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</si>
  <si>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</si>
  <si>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</si>
  <si>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</si>
  <si>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</si>
  <si>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</si>
  <si>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</si>
  <si>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</si>
  <si>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</si>
  <si>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</si>
  <si>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</si>
  <si>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</si>
  <si>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</si>
  <si>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</si>
  <si>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</si>
  <si>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</si>
  <si>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</si>
  <si>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</si>
  <si>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</si>
  <si>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</si>
  <si>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</si>
  <si>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</si>
  <si>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</si>
  <si>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</si>
  <si>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</si>
  <si>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</si>
  <si>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</si>
  <si>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</si>
  <si>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</si>
  <si>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</si>
  <si>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</si>
  <si>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</si>
  <si>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</si>
  <si>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</si>
  <si>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</si>
  <si>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</si>
  <si>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</si>
  <si>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</si>
  <si>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</si>
  <si>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</si>
  <si>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</si>
  <si>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</si>
  <si>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</si>
  <si>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</si>
  <si>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</si>
  <si>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</si>
  <si>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</si>
  <si>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</si>
  <si>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</si>
  <si>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</si>
  <si>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</si>
  <si>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</si>
  <si>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</si>
  <si>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</si>
  <si>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</si>
  <si>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</si>
  <si>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</si>
  <si>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</si>
  <si>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</si>
  <si>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</si>
  <si>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</si>
  <si>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</si>
  <si>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</si>
  <si>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</si>
  <si>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</si>
  <si>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</si>
  <si>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</si>
  <si>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</si>
  <si>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</si>
  <si>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</si>
  <si>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</si>
  <si>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</si>
  <si>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</si>
  <si>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</si>
  <si>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</si>
  <si>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</si>
  <si>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</si>
  <si>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</si>
  <si>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</si>
  <si>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</si>
  <si>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</si>
  <si>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</si>
  <si>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</si>
  <si>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</si>
  <si>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</si>
  <si>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</si>
  <si>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</si>
  <si>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</si>
  <si>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</si>
  <si>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</si>
  <si>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</si>
  <si>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</si>
  <si>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</si>
  <si>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</si>
  <si>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</si>
  <si>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</si>
  <si>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</si>
  <si>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</si>
  <si>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</si>
  <si>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</si>
  <si>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</si>
  <si>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</si>
  <si>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</si>
  <si>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</si>
  <si>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</si>
  <si>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</si>
  <si>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</si>
  <si>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</si>
  <si>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</si>
  <si>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</si>
  <si>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</si>
  <si>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</si>
  <si>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</si>
  <si>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</si>
  <si>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</si>
  <si>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</si>
  <si>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</si>
  <si>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</si>
  <si>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</si>
  <si>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</si>
  <si>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</si>
  <si>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</si>
  <si>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</si>
  <si>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</si>
  <si>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</si>
  <si>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</si>
  <si>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</si>
  <si>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</si>
  <si>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</si>
  <si>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</si>
  <si>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</si>
  <si>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</si>
  <si>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</si>
  <si>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</si>
  <si>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</si>
  <si>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</si>
  <si>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</si>
  <si>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</si>
  <si>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</si>
  <si>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</si>
  <si>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</si>
  <si>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</si>
  <si>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</si>
  <si>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</si>
  <si>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</si>
  <si>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</si>
  <si>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</si>
  <si>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</si>
  <si>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</si>
  <si>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</si>
  <si>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</si>
  <si>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</si>
  <si>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</si>
  <si>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</si>
  <si>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</si>
  <si>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</si>
  <si>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</si>
  <si>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</si>
  <si>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</si>
  <si>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</si>
  <si>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</si>
  <si>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</si>
  <si>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</si>
  <si>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</si>
  <si>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</si>
  <si>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</si>
  <si>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</si>
  <si>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</si>
  <si>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</si>
  <si>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</si>
  <si>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</si>
  <si>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</si>
  <si>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</si>
  <si>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</si>
  <si>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</si>
  <si>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</si>
  <si>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</si>
  <si>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</si>
  <si>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</si>
  <si>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</si>
  <si>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</si>
  <si>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</si>
  <si>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</si>
  <si>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</si>
  <si>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</si>
  <si>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</si>
  <si>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</si>
  <si>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</si>
  <si>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</si>
  <si>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</si>
  <si>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</si>
  <si>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</si>
  <si>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</si>
  <si>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</si>
  <si>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</si>
  <si>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</si>
  <si>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</si>
  <si>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</si>
  <si>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</si>
  <si>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</si>
  <si>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</si>
  <si>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</si>
  <si>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</si>
  <si>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</si>
  <si>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</si>
  <si>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</si>
  <si>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</si>
  <si>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</si>
  <si>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</si>
  <si>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</si>
  <si>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</si>
  <si>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</si>
  <si>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</si>
  <si>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</si>
  <si>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</si>
  <si>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</si>
  <si>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</si>
  <si>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</si>
  <si>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</si>
  <si>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</si>
  <si>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</si>
  <si>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</si>
  <si>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</si>
  <si>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</si>
  <si>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</si>
  <si>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</si>
  <si>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</si>
  <si>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</si>
  <si>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</si>
  <si>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</si>
  <si>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</si>
  <si>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</si>
  <si>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</si>
  <si>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</si>
  <si>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</si>
  <si>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</si>
  <si>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</si>
  <si>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</si>
  <si>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</si>
  <si>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</si>
  <si>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</si>
  <si>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</si>
  <si>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</si>
  <si>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</si>
  <si>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</si>
  <si>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</si>
  <si>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</si>
  <si>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</si>
  <si>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</si>
  <si>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</si>
  <si>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</si>
  <si>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</si>
  <si>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</si>
  <si>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</si>
  <si>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</si>
  <si>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</si>
  <si>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</si>
  <si>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</si>
  <si>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</si>
  <si>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</si>
  <si>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</si>
  <si>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</si>
  <si>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</si>
  <si>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</si>
  <si>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</si>
  <si>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</si>
  <si>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</si>
  <si>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</si>
  <si>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</si>
  <si>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</si>
  <si>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</si>
  <si>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</si>
  <si>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</si>
  <si>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</si>
  <si>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</si>
  <si>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</si>
  <si>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</si>
  <si>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</si>
  <si>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</si>
  <si>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</si>
  <si>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</si>
  <si>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</si>
  <si>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</si>
  <si>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</si>
  <si>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</si>
  <si>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</si>
  <si>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</si>
  <si>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</si>
  <si>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</si>
  <si>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</si>
  <si>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</si>
  <si>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</si>
  <si>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</si>
  <si>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</si>
  <si>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</si>
  <si>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</si>
  <si>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</si>
  <si>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</si>
  <si>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</si>
  <si>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</si>
  <si>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</si>
  <si>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</si>
  <si>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</si>
  <si>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</si>
  <si>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</si>
  <si>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</si>
  <si>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</si>
  <si>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</si>
  <si>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</si>
  <si>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</si>
  <si>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</si>
  <si>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</si>
  <si>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</si>
  <si>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</si>
  <si>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</si>
  <si>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</si>
  <si>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</si>
  <si>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</si>
  <si>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</si>
  <si>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</si>
  <si>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</si>
  <si>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</si>
  <si>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</si>
  <si>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</si>
  <si>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</si>
  <si>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</si>
  <si>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</si>
  <si>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</si>
  <si>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</si>
  <si>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</si>
  <si>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</si>
  <si>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</si>
  <si>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</si>
  <si>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</si>
  <si>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</si>
  <si>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</si>
  <si>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</si>
  <si>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</si>
  <si>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</si>
  <si>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</si>
  <si>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</si>
  <si>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</si>
  <si>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</si>
  <si>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</si>
  <si>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</si>
  <si>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</si>
  <si>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</si>
  <si>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</si>
  <si>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</si>
  <si>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</si>
  <si>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</si>
  <si>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</si>
  <si>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</si>
  <si>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</si>
  <si>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</si>
  <si>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</si>
  <si>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</si>
  <si>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</si>
  <si>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</si>
  <si>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</si>
  <si>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</si>
  <si>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</si>
  <si>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</si>
  <si>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</si>
  <si>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</si>
  <si>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</si>
  <si>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</si>
  <si>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</si>
  <si>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</si>
  <si>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</si>
  <si>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</si>
  <si>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</si>
  <si>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</si>
  <si>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</si>
  <si>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</si>
  <si>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</si>
  <si>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</si>
  <si>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</si>
  <si>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</si>
  <si>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</si>
  <si>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</si>
  <si>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</si>
  <si>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</si>
  <si>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</si>
  <si>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</si>
  <si>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</si>
  <si>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</si>
  <si>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</si>
  <si>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</si>
  <si>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</si>
  <si>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</si>
  <si>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</si>
  <si>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</si>
  <si>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</si>
  <si>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</si>
  <si>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</si>
  <si>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</si>
  <si>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</si>
  <si>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</si>
  <si>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</si>
  <si>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</si>
  <si>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</si>
  <si>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</si>
  <si>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</si>
  <si>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</si>
  <si>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</si>
  <si>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</si>
  <si>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</si>
  <si>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</si>
  <si>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</si>
  <si>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</si>
  <si>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</si>
  <si>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</si>
  <si>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</si>
  <si>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</si>
  <si>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</si>
  <si>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</si>
  <si>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</si>
  <si>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</si>
  <si>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</si>
  <si>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</si>
  <si>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</si>
  <si>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</si>
  <si>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</si>
  <si>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</si>
  <si>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</si>
  <si>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</si>
  <si>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</si>
  <si>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</si>
  <si>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</si>
  <si>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</si>
  <si>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</si>
  <si>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</si>
  <si>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</si>
  <si>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</si>
  <si>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</si>
  <si>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</si>
  <si>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</si>
  <si>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</si>
  <si>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</si>
  <si>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</si>
  <si>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</si>
  <si>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</si>
  <si>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</si>
  <si>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</si>
  <si>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</si>
  <si>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</si>
  <si>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</si>
  <si>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</si>
  <si>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</si>
  <si>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</si>
  <si>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</si>
  <si>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</si>
  <si>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</si>
  <si>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</si>
  <si>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</si>
  <si>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</si>
  <si>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</si>
  <si>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</si>
  <si>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</si>
  <si>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</si>
  <si>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</si>
  <si>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</si>
  <si>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</si>
  <si>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</si>
  <si>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</si>
  <si>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</si>
  <si>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</si>
  <si>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</si>
  <si>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</si>
  <si>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</si>
  <si>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</si>
  <si>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</si>
  <si>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</si>
  <si>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</si>
  <si>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</si>
  <si>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</si>
  <si>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</si>
  <si>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</si>
  <si>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</si>
  <si>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</si>
  <si>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</si>
  <si>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</si>
  <si>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</si>
  <si>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</si>
  <si>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</si>
  <si>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</si>
  <si>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</si>
  <si>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</si>
  <si>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</si>
  <si>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</si>
  <si>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</si>
  <si>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</si>
  <si>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</si>
  <si>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</si>
  <si>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</si>
  <si>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</si>
  <si>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</si>
  <si>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</si>
  <si>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</si>
  <si>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</si>
  <si>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</si>
  <si>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</si>
  <si>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</si>
  <si>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</si>
  <si>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</si>
  <si>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</si>
  <si>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</si>
  <si>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</si>
  <si>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</si>
  <si>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</si>
  <si>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</si>
  <si>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</si>
  <si>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</si>
  <si>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</si>
  <si>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</si>
  <si>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</si>
  <si>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</si>
  <si>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</si>
  <si>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</si>
  <si>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</si>
  <si>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</si>
  <si>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</si>
  <si>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</si>
  <si>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</si>
  <si>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</si>
  <si>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</si>
  <si>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</si>
  <si>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</si>
  <si>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</si>
  <si>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</si>
  <si>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</si>
  <si>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</si>
  <si>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</si>
  <si>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</si>
  <si>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</si>
  <si>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</si>
  <si>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</si>
  <si>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</si>
  <si>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</si>
  <si>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</si>
  <si>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</si>
  <si>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</si>
  <si>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</si>
  <si>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</si>
  <si>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</si>
  <si>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</si>
  <si>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</si>
  <si>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</si>
  <si>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</si>
  <si>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</si>
  <si>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</si>
  <si>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</si>
  <si>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</si>
  <si>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</si>
  <si>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</si>
  <si>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</si>
  <si>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</si>
  <si>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</si>
  <si>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</si>
  <si>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</si>
  <si>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</si>
  <si>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</si>
  <si>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</si>
  <si>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</si>
  <si>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</si>
  <si>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</si>
  <si>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</si>
  <si>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</si>
  <si>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</si>
  <si>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</si>
  <si>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</si>
  <si>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</si>
  <si>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</si>
  <si>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</si>
  <si>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</si>
  <si>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</si>
  <si>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</si>
  <si>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</si>
  <si>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</si>
  <si>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</si>
  <si>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</si>
  <si>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</si>
  <si>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</si>
  <si>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</si>
  <si>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</si>
  <si>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</si>
  <si>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</si>
  <si>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</si>
  <si>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</si>
  <si>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</si>
  <si>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</si>
  <si>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</si>
  <si>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</si>
  <si>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</si>
  <si>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</si>
  <si>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</si>
  <si>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</si>
  <si>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</si>
  <si>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</si>
  <si>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</si>
  <si>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</si>
  <si>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</si>
  <si>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</si>
  <si>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</si>
  <si>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</si>
  <si>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</si>
  <si>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</si>
  <si>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</si>
  <si>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</si>
  <si>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</si>
  <si>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</si>
  <si>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</si>
  <si>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</si>
  <si>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</si>
  <si>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</si>
  <si>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</si>
  <si>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</si>
  <si>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</si>
  <si>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</si>
  <si>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</si>
  <si>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</si>
  <si>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</si>
  <si>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</si>
  <si>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</si>
  <si>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</si>
  <si>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</si>
  <si>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</si>
  <si>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</si>
  <si>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https://fr.wikipedia.org/wiki/140-101_%C3%A0_370_%C3%89tat_ou_140_C_SNCF</t>
  </si>
  <si>
    <t>https://fr.wikipedia.org/wiki/T14_AL_et_ex-Prusse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</si>
  <si>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</si>
  <si>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</si>
  <si>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</si>
  <si>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</si>
  <si>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</si>
  <si>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</si>
  <si>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</si>
  <si>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</si>
  <si>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</si>
  <si>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</si>
  <si>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</si>
  <si>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</si>
  <si>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</si>
  <si>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https://da.wikipedia.org/wiki/Litra_E</t>
  </si>
  <si>
    <t>https://de.wikipedia.org/wiki/DR-Baureihe_52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</si>
  <si>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</si>
  <si>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</si>
  <si>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</si>
  <si>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</si>
  <si>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</si>
  <si>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</si>
  <si>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</si>
  <si>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</si>
  <si>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</si>
  <si>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</si>
  <si>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</si>
  <si>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</si>
  <si>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</si>
  <si>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</si>
  <si>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</si>
  <si>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</si>
  <si>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</si>
  <si>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</si>
  <si>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</si>
  <si>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</si>
  <si>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</si>
  <si>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</si>
  <si>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</si>
  <si>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</si>
  <si>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</si>
  <si>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</si>
  <si>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</si>
  <si>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</si>
  <si>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</si>
  <si>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</si>
  <si>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</si>
  <si>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</si>
  <si>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</si>
  <si>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</si>
  <si>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</si>
  <si>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</si>
  <si>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</si>
  <si>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</si>
  <si>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</si>
  <si>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</si>
  <si>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https://de.wikipedia.org/wiki/DR_18_201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</si>
  <si>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</si>
  <si>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</si>
  <si>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</si>
  <si>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</si>
  <si>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</si>
  <si>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</si>
  <si>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</si>
  <si>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</si>
  <si>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</si>
  <si>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</si>
  <si>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</si>
  <si>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</si>
  <si>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</si>
  <si>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</si>
  <si>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</si>
  <si>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</si>
  <si>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</si>
  <si>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</si>
  <si>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</si>
  <si>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</si>
  <si>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</si>
  <si>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</si>
  <si>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</si>
  <si>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</si>
  <si>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</si>
  <si>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</si>
  <si>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</si>
  <si>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</si>
  <si>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</si>
  <si>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</si>
  <si>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</si>
  <si>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</si>
  <si>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</si>
  <si>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</si>
  <si>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</si>
  <si>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</si>
  <si>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</si>
  <si>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</si>
  <si>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</si>
  <si>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</si>
  <si>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</si>
  <si>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</si>
  <si>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</si>
  <si>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</si>
  <si>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</si>
  <si>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</si>
  <si>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</si>
  <si>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</si>
  <si>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</si>
  <si>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</si>
  <si>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</si>
  <si>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</si>
  <si>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</si>
  <si>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</si>
  <si>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</si>
  <si>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</si>
  <si>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</si>
  <si>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</si>
  <si>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</si>
  <si>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</si>
  <si>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</si>
  <si>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</si>
  <si>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</si>
  <si>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</si>
  <si>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</si>
  <si>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</si>
  <si>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</si>
  <si>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</si>
  <si>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</si>
  <si>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</si>
  <si>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</si>
  <si>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</si>
  <si>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</si>
  <si>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</si>
  <si>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</si>
  <si>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</si>
  <si>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</si>
  <si>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</si>
  <si>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</si>
  <si>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</si>
  <si>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</si>
  <si>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</si>
  <si>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</si>
  <si>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</si>
  <si>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</si>
  <si>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</si>
  <si>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</si>
  <si>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</si>
  <si>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</si>
  <si>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</si>
  <si>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</si>
  <si>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</si>
  <si>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</si>
  <si>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</si>
  <si>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</si>
  <si>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</si>
  <si>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</si>
  <si>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</si>
  <si>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</si>
  <si>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</si>
  <si>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</si>
  <si>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</si>
  <si>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</si>
  <si>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</si>
  <si>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</si>
  <si>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</si>
  <si>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</si>
  <si>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</si>
  <si>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</si>
  <si>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</si>
  <si>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</si>
  <si>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</si>
  <si>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</si>
  <si>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</si>
  <si>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</si>
  <si>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</si>
  <si>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https://es.wikipedia.org/wiki/Belgrano_Cargas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</si>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</sst>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5"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792" totalsRowShown="0" headerRowDxfId="114">
  <autoFilter ref="A1:Q792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13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12"/>
    <tableColumn id="17" xr3:uid="{52550B53-5A6E-4D0B-A358-FCA22B56CC77}" name="WEB"/>
    <tableColumn id="15" xr3:uid="{C9DBDDFF-A526-4383-A426-8408C4B17785}" name="IS_POWERED_UNPOWERED_SUNDRY" dataDxfId="11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10">
      <calculatedColumnFormula>ISNUMBER(_xlfn.XMATCH(CONTROL[[#This Row],[VEHIDCODE]],TRACK_TYPES[VEHIDCODE],0))</calculatedColumnFormula>
    </tableColumn>
    <tableColumn id="11" xr3:uid="{D7F142C5-8884-454F-94AC-795FE6A81C81}" name="REGIONS" dataDxfId="109">
      <calculatedColumnFormula>ISNUMBER(_xlfn.XMATCH(CONTROL[[#This Row],[VEHIDCODE]],REGIONS[VEHIDCODE],0))</calculatedColumnFormula>
    </tableColumn>
    <tableColumn id="14" xr3:uid="{222C2DB1-CA5D-4369-995A-6A316AC5C947}" name="PROPERTIES" dataDxfId="108">
      <calculatedColumnFormula>ISNUMBER(_xlfn.XMATCH(CONTROL[[#This Row],[VEHIDCODE]],PROPERTIES[VEHIDCODE],0))</calculatedColumnFormula>
    </tableColumn>
    <tableColumn id="12" xr3:uid="{98C60329-4C14-461E-A11A-0FBD5B385214}" name="CONSTANTS" dataDxfId="107">
      <calculatedColumnFormula>ISNUMBER(_xlfn.XMATCH(CONTROL[[#This Row],[VEHIDCODE]],CONSTANTS[VEHIDCODE],0))</calculatedColumnFormula>
    </tableColumn>
    <tableColumn id="13" xr3:uid="{473FD571-A166-4EC8-8B7B-F1D30044570B}" name="FLAGS" dataDxfId="106">
      <calculatedColumnFormula>ISNUMBER(_xlfn.XMATCH(CONTROL[[#This Row],[VEHIDCODE]],FLAGS[VEHIDCODE],0))</calculatedColumnFormula>
    </tableColumn>
    <tableColumn id="10" xr3:uid="{7783F713-60B4-45CF-AEB3-EE02271B3D6F}" name="GRAPHICS_PROPERTIES" dataDxfId="105">
      <calculatedColumnFormula>ISNUMBER(_xlfn.XMATCH(CONTROL[[#This Row],[VEHIDCODE]],GRAPHICS_PROPERTIES[VEHIDCODE],0))</calculatedColumnFormula>
    </tableColumn>
    <tableColumn id="9" xr3:uid="{7B229E25-CF6B-4C5F-B4A4-FEC34CB93E9B}" name="ITEM" dataDxfId="104">
      <calculatedColumnFormula>"item_"&amp;CONTROL[[#This Row],[VEHIDCODE]]</calculatedColumnFormula>
    </tableColumn>
    <tableColumn id="8" xr3:uid="{327E5CDA-51AE-4721-ACBD-5E8C3D890998}" name="NAME" dataDxfId="10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D792" totalsRowShown="0" headerRowDxfId="134">
  <autoFilter ref="A1:AD792" xr:uid="{6DCCB998-B5D1-4B0D-8701-BC0E171A94CA}"/>
  <tableColumns count="30">
    <tableColumn id="1" xr3:uid="{173D09BF-30BA-4FF2-B4FE-F09962415DA2}" name="VEHIDCODE" dataDxfId="133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2"/>
    <tableColumn id="19" xr3:uid="{FD65B400-35DE-464D-97AA-B59BB7DAE7DB}" name="COUNTRY_CODE" dataDxfId="13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30"/>
    <tableColumn id="58" xr3:uid="{37DCFD33-B11D-4E3C-9899-EA36DBD4DBC0}" name="LOADINGSPEED_VALUE" dataDxfId="12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8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7"/>
    <tableColumn id="24" xr3:uid="{FFD5C22B-7B16-440D-91CC-48C8761050DA}" name="TE_COEFFICIENT_CALC" dataDxfId="126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5"/>
    <tableColumn id="14" xr3:uid="{123AAB87-6D4C-406A-A5E1-A61DC2DDFFEE}" name="TE_COEFFICIENT" dataDxfId="124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3"/>
    <tableColumn id="18" xr3:uid="{EB0CE86B-9E06-4ADD-85C1-EA622DE32153}" name="WAGON_CAPACITY" dataDxfId="122"/>
    <tableColumn id="15" xr3:uid="{3558C882-A912-4F84-BDE6-BC0A2A676C4B}" name="WAGON_LENGTH" dataDxfId="121"/>
    <tableColumn id="71" xr3:uid="{3D8AA890-C1F2-4EBD-90E3-21F948960989}" name="PURCHASE_CARGO_CAPACITY" dataDxfId="120"/>
    <tableColumn id="107" xr3:uid="{64FE90FD-3682-462D-B2DC-D2193BF8E5C1}" name="RUNNING_COST_BASE" dataDxfId="119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18"/>
    <tableColumn id="28" xr3:uid="{B24767B4-97D7-4814-9BBD-1231E1A0A0A7}" name="RUNNINGCOST_VALUE" dataDxfId="117"/>
    <tableColumn id="22" xr3:uid="{68BAA036-8189-4A5A-B0EF-3F284C15672C}" name="COST_CAT" dataDxfId="116">
      <calculatedColumnFormula>SUBSTITUTE(SUBSTITUTE(PROPERTIES[[#This Row],[PURCHASECOST_VALUE]], "PURCHASECOST_", ""), "_VALUE", "")</calculatedColumnFormula>
    </tableColumn>
    <tableColumn id="26" xr3:uid="{E8E6C35F-41A6-42EF-BEB4-1004725D20B5}" name="IS_TURBINE" dataDxfId="1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2" totalsRowShown="0" headerRowDxfId="102">
  <autoFilter ref="A1:AF792" xr:uid="{6DCCB998-B5D1-4B0D-8701-BC0E171A94CA}">
    <filterColumn colId="0">
      <filters>
        <filter val="mu_Coach_Gen3_Indian_Intercity_Coach"/>
        <filter val="mu_Coach_Gen3_Indian_Local_Coach"/>
        <filter val="mu_Coach_Gen3_Indian_Mail_Coach"/>
        <filter val="mu_Coach_Gen3_Indian_Regional_Coach"/>
      </filters>
    </filterColumn>
  </autoFilter>
  <tableColumns count="32">
    <tableColumn id="1" xr3:uid="{CDEAF13A-A986-4600-A992-A08C1CA6142C}" name="VEHIDCODE" dataDxfId="101"/>
    <tableColumn id="55" xr3:uid="{839D134C-3027-42F4-BA04-3BA8BFF71A3B}" name="TRACK_TYPE_STANDARD_GAUGE_RAILTYPE_OHLE" dataDxfId="100"/>
    <tableColumn id="54" xr3:uid="{5D83FD10-ABCB-4FE7-A7DB-4A857A58D719}" name="TRACK_TYPE_STANDARD_GAUGE_RAILTYPE_25KV" dataDxfId="99"/>
    <tableColumn id="53" xr3:uid="{56183170-0B7F-45FB-91B4-356C62C246AD}" name="TRACK_TYPE_STANDARD_GAUGE_RAILTYPE_15KV" dataDxfId="98"/>
    <tableColumn id="52" xr3:uid="{5B71BE07-0EB9-4DEB-A8E8-252C9D979AC2}" name="TRACK_TYPE_STANDARD_GAUGE_RAILTYPE_3KV" dataDxfId="97"/>
    <tableColumn id="51" xr3:uid="{5A6435EB-111E-4AED-A8E1-AEFF82C34393}" name="TRACK_TYPE_STANDARD_GAUGE_RAILTYPE_1500V" dataDxfId="96"/>
    <tableColumn id="50" xr3:uid="{14CA70EA-0EE7-44BA-9D77-FC902C0596DD}" name="TRACK_TYPE_STANDARD_GAUGE_RAILTYPE_3RD" dataDxfId="95"/>
    <tableColumn id="49" xr3:uid="{3A15447A-9663-43FB-8EFF-8F8034548FB0}" name="TRACK_TYPE_STANDARD_GAUGE_RAILTYPE_4TH" dataDxfId="94"/>
    <tableColumn id="48" xr3:uid="{E44E324A-492F-4566-8DC9-0A6F58F40EA9}" name="TRACK_TYPE_STANDARD_GAUGE_RAILTYPE_DUAL" dataDxfId="93"/>
    <tableColumn id="47" xr3:uid="{FE3223C6-E685-4456-91E9-10AEB3B699E7}" name="TRACK_TYPE_STANDARD_GAUGE_RAILTYPE_NONE" dataDxfId="92"/>
    <tableColumn id="46" xr3:uid="{D39969E8-C0CA-4A59-A556-D29019991069}" name="TRACK_TYPE_NARROW_GAUGE_RAILTYPE_OHLE" dataDxfId="91"/>
    <tableColumn id="45" xr3:uid="{5266A9E9-D840-4460-AB81-A081897372F3}" name="TRACK_TYPE_NARROW_GAUGE_RAILTYPE_25KV" dataDxfId="90"/>
    <tableColumn id="44" xr3:uid="{7B4C44D1-C745-4291-86A0-777579742A84}" name="TRACK_TYPE_NARROW_GAUGE_RAILTYPE_15KV" dataDxfId="89"/>
    <tableColumn id="43" xr3:uid="{8736D285-A163-4DBE-84E1-870118B47F14}" name="TRACK_TYPE_NARROW_GAUGE_RAILTYPE_3KV" dataDxfId="88"/>
    <tableColumn id="42" xr3:uid="{6FBBA2FB-4743-4072-B4E0-C42BBDA1CC47}" name="TRACK_TYPE_NARROW_GAUGE_RAILTYPE_1500V" dataDxfId="87"/>
    <tableColumn id="41" xr3:uid="{D3ED2E70-19BF-4D92-A76B-0F0F03D31947}" name="TRACK_TYPE_NARROW_GAUGE_RAILTYPE_3RD" dataDxfId="86"/>
    <tableColumn id="40" xr3:uid="{F38AE7AF-B798-40A5-992A-13685296E710}" name="TRACK_TYPE_NARROW_GAUGE_RAILTYPE_4TH" dataDxfId="85"/>
    <tableColumn id="39" xr3:uid="{16463F64-2239-4E7F-8257-47F324BF8959}" name="TRACK_TYPE_NARROW_GAUGE_RAILTYPE_DUAL" dataDxfId="84"/>
    <tableColumn id="38" xr3:uid="{97037A15-9172-4057-863E-582804353817}" name="TRACK_TYPE_NARROW_GAUGE_RAILTYPE_NONE" dataDxfId="83"/>
    <tableColumn id="37" xr3:uid="{24999D59-5A4F-4A21-B8B4-EBDBF9F8BF1E}" name="TRACK_TYPE_BROAD_GAUGE_RAILTYPE_OHLE" dataDxfId="82"/>
    <tableColumn id="36" xr3:uid="{31AB3927-D18B-49AD-8EF5-C7E9FF4CEDF3}" name="TRACK_TYPE_BROAD_GAUGE_RAILTYPE_25KV" dataDxfId="81"/>
    <tableColumn id="35" xr3:uid="{CB3432E7-4DAE-4807-9CE5-4CB1ACECD395}" name="TRACK_TYPE_BROAD_GAUGE_RAILTYPE_15KV" dataDxfId="80"/>
    <tableColumn id="34" xr3:uid="{E3936FE4-2B46-4DC0-84C0-44C7892A0927}" name="TRACK_TYPE_BROAD_GAUGE_RAILTYPE_3KV" dataDxfId="79"/>
    <tableColumn id="33" xr3:uid="{A5FAA105-CF81-4A75-8967-5721104454E8}" name="TRACK_TYPE_BROAD_GAUGE_RAILTYPE_1500V" dataDxfId="78"/>
    <tableColumn id="32" xr3:uid="{439CDFDE-6BFC-446C-87CF-28C8FF65FCE0}" name="TRACK_TYPE_BROAD_GAUGE_RAILTYPE_3RD" dataDxfId="77"/>
    <tableColumn id="31" xr3:uid="{219AB5E3-CDFF-41B3-BD58-F7427606D15F}" name="TRACK_TYPE_BROAD_GAUGE_RAILTYPE_4TH" dataDxfId="76"/>
    <tableColumn id="30" xr3:uid="{01529768-EA0D-4662-B835-74641896CE3F}" name="TRACK_TYPE_BROAD_GAUGE_RAILTYPE_DUAL" dataDxfId="75"/>
    <tableColumn id="29" xr3:uid="{32C384AB-18DB-4161-B29B-A363A2547BB2}" name="TRACK_TYPE_BROAD_GAUGE_RAILTYPE_NONE" dataDxfId="74"/>
    <tableColumn id="26" xr3:uid="{1CFC6F26-22A8-42EE-972B-0F7ED6623B5A}" name="TRACK_TYPE_MONO" dataDxfId="73"/>
    <tableColumn id="25" xr3:uid="{62939270-15C1-494E-9C53-6EA9E8209C3B}" name="TRACK_TYPE_MGLV" dataDxfId="72"/>
    <tableColumn id="24" xr3:uid="{9DA86EDA-F2AB-4C2D-918E-5260313FD8B3}" name="TRACK_TYPE_MTRO" dataDxfId="71"/>
    <tableColumn id="21" xr3:uid="{E6F11214-E912-4D1C-980D-A111C93B0BED}" name="CHECK_ANY_TT" dataDxfId="70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3" totalsRowShown="0" headerRowDxfId="69">
  <autoFilter ref="A1:D793" xr:uid="{6DCCB998-B5D1-4B0D-8701-BC0E171A94CA}"/>
  <tableColumns count="4">
    <tableColumn id="1" xr3:uid="{D2075027-38D7-4343-90E5-C24108CD2AE6}" name="VEHIDCODE" dataDxfId="68"/>
    <tableColumn id="90" xr3:uid="{D77720DE-D127-4558-8307-BE7A69A3838E}" name="REGION1" dataDxfId="67"/>
    <tableColumn id="91" xr3:uid="{92457DA1-8436-4E87-A9BF-D4D2B9B82761}" name="REGION2" dataDxfId="66"/>
    <tableColumn id="17" xr3:uid="{840511D0-8458-4E0F-8A5C-5845BECB7FBE}" name="REGION3" dataDxfId="6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2" totalsRowShown="0" headerRowDxfId="64">
  <autoFilter ref="A1:I792" xr:uid="{6DCCB998-B5D1-4B0D-8701-BC0E171A94CA}"/>
  <tableColumns count="9">
    <tableColumn id="1" xr3:uid="{BCDA7527-0C26-4CCE-A429-B20E1B0E4D5C}" name="VEHIDCODE" dataDxfId="63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2" totalsRowShown="0" headerRowDxfId="62">
  <autoFilter ref="A1:G792" xr:uid="{6DCCB998-B5D1-4B0D-8701-BC0E171A94CA}"/>
  <tableColumns count="7">
    <tableColumn id="1" xr3:uid="{327CDBB6-E1D6-4B9F-9625-C81419775134}" name="VEHIDCODE" dataDxfId="61"/>
    <tableColumn id="101" xr3:uid="{78690AEB-EA8F-4FC7-9651-C84D8F318EE9}" name="MISC_FLAGS_TRAIN_FLAG_2CC" dataDxfId="60"/>
    <tableColumn id="100" xr3:uid="{90DBB1A2-A86F-42C6-B2B8-64A2FD6690AB}" name="MISC_FLAGS_TRAIN_FLAG_MU" dataDxfId="59"/>
    <tableColumn id="99" xr3:uid="{DA6644B2-20CC-47E2-B1B5-10210B43738A}" name="MISC_FLAGS_TRAIN_FLAG_AUTOREFIT" dataDxfId="58"/>
    <tableColumn id="108" xr3:uid="{980A5687-92C0-42A0-811D-C3D4EA0876D1}" name="VISUAL_EFFECT_1" dataDxfId="5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2" totalsRowShown="0" headerRowDxfId="55">
  <autoFilter ref="A1:D792" xr:uid="{6DCCB998-B5D1-4B0D-8701-BC0E171A94CA}"/>
  <tableColumns count="4">
    <tableColumn id="1" xr3:uid="{0B6094CF-6CA6-410A-A041-C85FACC0820E}" name="VEHIDCODE" dataDxfId="54"/>
    <tableColumn id="7" xr3:uid="{3D8CAD9A-C0D1-459B-8D7C-DFC931F5B279}" name="PANTOGRAPH_POSITION" dataDxfId="53"/>
    <tableColumn id="6" xr3:uid="{E0637D36-B3FC-4486-87F9-603EB2076188}" name="TEMPLATE_ID" dataDxfId="52"/>
    <tableColumn id="9" xr3:uid="{FEF2BF9C-74F1-405C-9871-E4301805E364}" name="TEMPLATE_AMENDMENT_CODE" dataDxfId="5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C26B06-19F1-4626-A6FB-4D1191A056DB}" name="GRAPHICS_PROPERTIES20" displayName="GRAPHICS_PROPERTIES20" ref="A1:B793" totalsRowShown="0" headerRowDxfId="50">
  <autoFilter ref="A1:B793" xr:uid="{6DCCB998-B5D1-4B0D-8701-BC0E171A94CA}"/>
  <tableColumns count="2">
    <tableColumn id="1" xr3:uid="{044E1D74-9080-46E5-BC29-01E9D7EBC45C}" name="VEHIDCODE" dataDxfId="49"/>
    <tableColumn id="2" xr3:uid="{B4FB02CE-7FB3-44BF-BFA2-9C118B4E51B1}" name="ROLE" dataDxfId="48">
      <calculatedColumnFormula array="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47" headerRowBorderDxfId="46" tableBorderDxfId="4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44" headerRowBorderDxfId="43" tableBorderDxfId="4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41" dataDxfId="40" tableBorderDxfId="39">
  <autoFilter ref="A1:A17" xr:uid="{0B243503-43AD-403A-90CE-B69D05B25C30}"/>
  <tableColumns count="1">
    <tableColumn id="1" xr3:uid="{3709FB1B-DE08-4A3E-8CA6-F5322D2A3261}" name="VALID_REGIONS" dataDxfId="3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37" dataDxfId="36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35"/>
    <tableColumn id="2" xr3:uid="{CCC9A744-4F42-4023-A516-9395213016EB}" name="COUNTRY_DESCRIPTION" dataDxfId="3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32" headerRowBorderDxfId="33" tableBorderDxfId="31" totalsRowBorderDxfId="30">
  <autoFilter ref="K1:K25" xr:uid="{686D0694-AFBC-4B91-A3D3-72E1CCF00B7D}"/>
  <tableColumns count="1">
    <tableColumn id="1" xr3:uid="{7F0999BD-E0C9-463F-A054-2DA49D41A9EE}" name="VEHID_ID_CATEGORY" dataDxfId="2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6" totalsRowShown="0">
  <autoFilter ref="A1:D26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8"/>
    <tableColumn id="4" xr3:uid="{3DDC8685-BA3D-40E8-A910-1E59013A762D}" name="Range End" dataDxfId="2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6" dataDxfId="25">
  <autoFilter ref="A1:N16" xr:uid="{863AE95D-BE34-47D8-B01B-1170BF25FDF2}"/>
  <tableColumns count="14">
    <tableColumn id="1" xr3:uid="{5F487593-655E-41B5-B155-86F88B53946D}" name="COST_CAT" dataDxfId="24"/>
    <tableColumn id="2" xr3:uid="{33F9C454-EDB2-4DA7-BF7A-64CBC12EBC9B}" name="P1" dataDxfId="23"/>
    <tableColumn id="3" xr3:uid="{25FB11D0-082D-4DE3-9821-1367939D8742}" name="P2" dataDxfId="22"/>
    <tableColumn id="4" xr3:uid="{19CDF402-C641-4217-A953-2A851DF85ADB}" name="P3" dataDxfId="21"/>
    <tableColumn id="5" xr3:uid="{1EF59E2C-32FF-4712-AD89-CBF77E507832}" name="P4" dataDxfId="20"/>
    <tableColumn id="6" xr3:uid="{04250F90-183D-4392-BE27-C420F795E1DC}" name="P5" dataDxfId="19"/>
    <tableColumn id="7" xr3:uid="{F7062C4F-5B57-4110-A21E-BDC8820130D9}" name="P6" dataDxfId="18"/>
    <tableColumn id="8" xr3:uid="{B47621AA-9D6F-4396-B3D9-BD8CF656F30E}" name="P7" dataDxfId="17"/>
    <tableColumn id="9" xr3:uid="{7055539E-C4C8-407D-91F5-6CB021EDE84F}" name="R1" dataDxfId="16"/>
    <tableColumn id="10" xr3:uid="{D17981EB-EB8A-4630-958C-3792D72CD53F}" name="R2" dataDxfId="15"/>
    <tableColumn id="11" xr3:uid="{85EDD15A-812B-4C42-B03A-D558B807622E}" name="R3" dataDxfId="14"/>
    <tableColumn id="12" xr3:uid="{61A73E38-33EC-41D1-B899-56F15EDBDD59}" name="R4" dataDxfId="13"/>
    <tableColumn id="13" xr3:uid="{7A83ADCF-C18F-402F-81A8-0F935E928ED9}" name="R5" dataDxfId="12"/>
    <tableColumn id="14" xr3:uid="{1140F6C7-9C3D-4800-9F3B-DC6E6EBE9541}" name="R6" dataDxfId="1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6.v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9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792"/>
  <sheetViews>
    <sheetView tabSelected="1" workbookViewId="0">
      <pane xSplit="1" ySplit="1" topLeftCell="B719" activePane="bottomRight" state="frozen"/>
      <selection pane="topRight" activeCell="B1" sqref="B1"/>
      <selection pane="bottomLeft" activeCell="A2" sqref="A2"/>
      <selection pane="bottomRight" activeCell="G719" sqref="G719:G789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6" max="16" width="55.3046875" bestFit="1" customWidth="1"/>
    <col min="17" max="17" width="53.84375" bestFit="1" customWidth="1"/>
    <col min="18" max="18" width="55.3046875" customWidth="1"/>
    <col min="19" max="19" width="53.84375" customWidth="1"/>
  </cols>
  <sheetData>
    <row r="1" spans="1:17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2524</v>
      </c>
      <c r="G1" s="7" t="s">
        <v>2336</v>
      </c>
      <c r="H1" s="7" t="s">
        <v>1076</v>
      </c>
      <c r="I1" s="22" t="s">
        <v>932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8" t="s">
        <v>692</v>
      </c>
      <c r="Q1" s="8" t="s">
        <v>693</v>
      </c>
    </row>
    <row r="2" spans="1:17">
      <c r="A2" s="2" t="s">
        <v>751</v>
      </c>
      <c r="B2" s="3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s">
        <v>1077</v>
      </c>
      <c r="G2" t="s">
        <v>1786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s="32" t="str">
        <f>"item_"&amp;CONTROL[[#This Row],[VEHIDCODE]]</f>
        <v>item_mglv_Maglev_Wagon_Powered</v>
      </c>
      <c r="Q2" s="32" t="str">
        <f>"str_"&amp;CONTROL[[#This Row],[VEHIDCODE]]</f>
        <v>str_mglv_Maglev_Wagon_Powered</v>
      </c>
    </row>
    <row r="3" spans="1:17">
      <c r="A3" s="2" t="s">
        <v>752</v>
      </c>
      <c r="B3" s="32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s">
        <v>1077</v>
      </c>
      <c r="G3" t="s">
        <v>1786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s="32" t="str">
        <f>"item_"&amp;CONTROL[[#This Row],[VEHIDCODE]]</f>
        <v>item_mglv_Maglev_Wagon_Unpowered</v>
      </c>
      <c r="Q3" s="32" t="str">
        <f>"str_"&amp;CONTROL[[#This Row],[VEHIDCODE]]</f>
        <v>str_mglv_Maglev_Wagon_Unpowered</v>
      </c>
    </row>
    <row r="4" spans="1:17">
      <c r="A4" s="2" t="s">
        <v>22</v>
      </c>
      <c r="B4" s="32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s">
        <v>1078</v>
      </c>
      <c r="G4" t="s">
        <v>2320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s="32" t="str">
        <f>"item_"&amp;CONTROL[[#This Row],[VEHIDCODE]]</f>
        <v>item_rbs_Austria_NOLB_1</v>
      </c>
      <c r="Q4" s="32" t="str">
        <f>"str_"&amp;CONTROL[[#This Row],[VEHIDCODE]]</f>
        <v>str_rbs_Austria_NOLB_1</v>
      </c>
    </row>
    <row r="5" spans="1:17">
      <c r="A5" s="2" t="s">
        <v>25</v>
      </c>
      <c r="B5" s="32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s">
        <v>1079</v>
      </c>
      <c r="G5" t="s">
        <v>2321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s="32" t="str">
        <f>"item_"&amp;CONTROL[[#This Row],[VEHIDCODE]]</f>
        <v>item_rbs_Italy_FS_86</v>
      </c>
      <c r="Q5" s="32" t="str">
        <f>"str_"&amp;CONTROL[[#This Row],[VEHIDCODE]]</f>
        <v>str_rbs_Italy_FS_86</v>
      </c>
    </row>
    <row r="6" spans="1:17">
      <c r="A6" s="2" t="s">
        <v>26</v>
      </c>
      <c r="B6" s="32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s">
        <v>1080</v>
      </c>
      <c r="G6" t="s">
        <v>2322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s="32" t="str">
        <f>"item_"&amp;CONTROL[[#This Row],[VEHIDCODE]]</f>
        <v>item_rbs_Australia_Victorian_Railways_Rowan_Railmotor</v>
      </c>
      <c r="Q6" s="32" t="str">
        <f>"str_"&amp;CONTROL[[#This Row],[VEHIDCODE]]</f>
        <v>str_rbs_Australia_Victorian_Railways_Rowan_Railmotor</v>
      </c>
    </row>
    <row r="7" spans="1:17">
      <c r="A7" s="2" t="s">
        <v>27</v>
      </c>
      <c r="B7" s="32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s">
        <v>1081</v>
      </c>
      <c r="G7" t="s">
        <v>2323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s="32" t="str">
        <f>"item_"&amp;CONTROL[[#This Row],[VEHIDCODE]]</f>
        <v>item_rbs_Switzerland_UeBB_Czm_1_2</v>
      </c>
      <c r="Q7" s="32" t="str">
        <f>"str_"&amp;CONTROL[[#This Row],[VEHIDCODE]]</f>
        <v>str_rbs_Switzerland_UeBB_Czm_1_2</v>
      </c>
    </row>
    <row r="8" spans="1:17">
      <c r="A8" s="2" t="s">
        <v>28</v>
      </c>
      <c r="B8" s="32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s">
        <v>1082</v>
      </c>
      <c r="G8" t="s">
        <v>2325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s="32" t="str">
        <f>"item_"&amp;CONTROL[[#This Row],[VEHIDCODE]]</f>
        <v>item_rbs_Germany_Bavarian_MCCi</v>
      </c>
      <c r="Q8" s="32" t="str">
        <f>"str_"&amp;CONTROL[[#This Row],[VEHIDCODE]]</f>
        <v>str_rbs_Germany_Bavarian_MCCi</v>
      </c>
    </row>
    <row r="9" spans="1:17">
      <c r="A9" s="2" t="s">
        <v>29</v>
      </c>
      <c r="B9" s="32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s">
        <v>1083</v>
      </c>
      <c r="G9" t="s">
        <v>2324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s="32" t="str">
        <f>"item_"&amp;CONTROL[[#This Row],[VEHIDCODE]]</f>
        <v>item_rbs_South_Africa_CSAR_Railmotor</v>
      </c>
      <c r="Q9" s="32" t="str">
        <f>"str_"&amp;CONTROL[[#This Row],[VEHIDCODE]]</f>
        <v>str_rbs_South_Africa_CSAR_Railmotor</v>
      </c>
    </row>
    <row r="10" spans="1:17">
      <c r="A10" s="2" t="s">
        <v>30</v>
      </c>
      <c r="B10" s="32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s">
        <v>1084</v>
      </c>
      <c r="G10" t="s">
        <v>2326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s="32" t="str">
        <f>"item_"&amp;CONTROL[[#This Row],[VEHIDCODE]]</f>
        <v>item_rbs_Australia_Victorian_Railways_Motor_Car_3</v>
      </c>
      <c r="Q10" s="32" t="str">
        <f>"str_"&amp;CONTROL[[#This Row],[VEHIDCODE]]</f>
        <v>str_rbs_Australia_Victorian_Railways_Motor_Car_3</v>
      </c>
    </row>
    <row r="11" spans="1:17">
      <c r="A11" s="2" t="s">
        <v>31</v>
      </c>
      <c r="B11" s="32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s">
        <v>1085</v>
      </c>
      <c r="G11" t="s">
        <v>2328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s="32" t="str">
        <f>"item_"&amp;CONTROL[[#This Row],[VEHIDCODE]]</f>
        <v>item_rbs_Austria_kkStB_4_0</v>
      </c>
      <c r="Q11" s="32" t="str">
        <f>"str_"&amp;CONTROL[[#This Row],[VEHIDCODE]]</f>
        <v>str_rbs_Austria_kkStB_4_0</v>
      </c>
    </row>
    <row r="12" spans="1:17">
      <c r="A12" s="2" t="s">
        <v>34</v>
      </c>
      <c r="B12" s="3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s">
        <v>1086</v>
      </c>
      <c r="G12" t="s">
        <v>2327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s="32" t="str">
        <f>"item_"&amp;CONTROL[[#This Row],[VEHIDCODE]]</f>
        <v>item_rbd_Australia_Victorian_Railways_AEC_RM1</v>
      </c>
      <c r="Q12" s="32" t="str">
        <f>"str_"&amp;CONTROL[[#This Row],[VEHIDCODE]]</f>
        <v>str_rbd_Australia_Victorian_Railways_AEC_RM1</v>
      </c>
    </row>
    <row r="13" spans="1:17">
      <c r="A13" s="2" t="s">
        <v>36</v>
      </c>
      <c r="B13" s="32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s">
        <v>1087</v>
      </c>
      <c r="G13" t="s">
        <v>2329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s="32" t="str">
        <f>"item_"&amp;CONTROL[[#This Row],[VEHIDCODE]]</f>
        <v>item_rbd_Germany_DB_VT_133</v>
      </c>
      <c r="Q13" s="32" t="str">
        <f>"str_"&amp;CONTROL[[#This Row],[VEHIDCODE]]</f>
        <v>str_rbd_Germany_DB_VT_133</v>
      </c>
    </row>
    <row r="14" spans="1:17">
      <c r="A14" s="2" t="s">
        <v>37</v>
      </c>
      <c r="B14" s="32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s">
        <v>1088</v>
      </c>
      <c r="G14" t="s">
        <v>2330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s="32" t="str">
        <f>"item_"&amp;CONTROL[[#This Row],[VEHIDCODE]]</f>
        <v>item_rbd_United_Kingdom_GWR_AEC_Railcar</v>
      </c>
      <c r="Q14" s="32" t="str">
        <f>"str_"&amp;CONTROL[[#This Row],[VEHIDCODE]]</f>
        <v>str_rbd_United_Kingdom_GWR_AEC_Railcar</v>
      </c>
    </row>
    <row r="15" spans="1:17">
      <c r="A15" s="2" t="s">
        <v>38</v>
      </c>
      <c r="B15" s="32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s">
        <v>2532</v>
      </c>
      <c r="G15" t="s">
        <v>2331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s="32" t="str">
        <f>"item_"&amp;CONTROL[[#This Row],[VEHIDCODE]]</f>
        <v>item_rbd_Austria_OBB_5042</v>
      </c>
      <c r="Q15" s="32" t="str">
        <f>"str_"&amp;CONTROL[[#This Row],[VEHIDCODE]]</f>
        <v>str_rbd_Austria_OBB_5042</v>
      </c>
    </row>
    <row r="16" spans="1:17">
      <c r="A16" s="2" t="s">
        <v>39</v>
      </c>
      <c r="B16" s="32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s">
        <v>1089</v>
      </c>
      <c r="G16" t="s">
        <v>2332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s="32" t="str">
        <f>"item_"&amp;CONTROL[[#This Row],[VEHIDCODE]]</f>
        <v>item_rbd_New_Zealand_NZR_RM31</v>
      </c>
      <c r="Q16" s="32" t="str">
        <f>"str_"&amp;CONTROL[[#This Row],[VEHIDCODE]]</f>
        <v>str_rbd_New_Zealand_NZR_RM31</v>
      </c>
    </row>
    <row r="17" spans="1:17">
      <c r="A17" s="2" t="s">
        <v>40</v>
      </c>
      <c r="B17" s="32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s">
        <v>1090</v>
      </c>
      <c r="G17" t="s">
        <v>2333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s="32" t="str">
        <f>"item_"&amp;CONTROL[[#This Row],[VEHIDCODE]]</f>
        <v>item_rbd_Portugal_CP_0100</v>
      </c>
      <c r="Q17" s="32" t="str">
        <f>"str_"&amp;CONTROL[[#This Row],[VEHIDCODE]]</f>
        <v>str_rbd_Portugal_CP_0100</v>
      </c>
    </row>
    <row r="18" spans="1:17">
      <c r="A18" s="2" t="s">
        <v>41</v>
      </c>
      <c r="B18" s="32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s">
        <v>1091</v>
      </c>
      <c r="G18" t="s">
        <v>2334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s="32" t="str">
        <f>"item_"&amp;CONTROL[[#This Row],[VEHIDCODE]]</f>
        <v>item_rbd_USA_Amtrak_Budd_RDC</v>
      </c>
      <c r="Q18" s="32" t="str">
        <f>"str_"&amp;CONTROL[[#This Row],[VEHIDCODE]]</f>
        <v>str_rbd_USA_Amtrak_Budd_RDC</v>
      </c>
    </row>
    <row r="19" spans="1:17">
      <c r="A19" s="2" t="s">
        <v>42</v>
      </c>
      <c r="B19" s="32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s">
        <v>1092</v>
      </c>
      <c r="G19" t="s">
        <v>2335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s="32" t="str">
        <f>"item_"&amp;CONTROL[[#This Row],[VEHIDCODE]]</f>
        <v>item_rbd_Germany_DB_VT_989</v>
      </c>
      <c r="Q19" s="32" t="str">
        <f>"str_"&amp;CONTROL[[#This Row],[VEHIDCODE]]</f>
        <v>str_rbd_Germany_DB_VT_989</v>
      </c>
    </row>
    <row r="20" spans="1:17">
      <c r="A20" s="2" t="s">
        <v>43</v>
      </c>
      <c r="B20" s="32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s">
        <v>2338</v>
      </c>
      <c r="G20" t="s">
        <v>2337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s="32" t="str">
        <f>"item_"&amp;CONTROL[[#This Row],[VEHIDCODE]]</f>
        <v>item_rbd_Germany_OHE_520_GDT</v>
      </c>
      <c r="Q20" s="32" t="str">
        <f>"str_"&amp;CONTROL[[#This Row],[VEHIDCODE]]</f>
        <v>str_rbd_Germany_OHE_520_GDT</v>
      </c>
    </row>
    <row r="21" spans="1:17">
      <c r="A21" s="2" t="s">
        <v>44</v>
      </c>
      <c r="B21" s="32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s">
        <v>1093</v>
      </c>
      <c r="G21" t="s">
        <v>2339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s="32" t="str">
        <f>"item_"&amp;CONTROL[[#This Row],[VEHIDCODE]]</f>
        <v>item_rbd_Netherlands_NS_20_Kameel</v>
      </c>
      <c r="Q21" s="32" t="str">
        <f>"str_"&amp;CONTROL[[#This Row],[VEHIDCODE]]</f>
        <v>str_rbd_Netherlands_NS_20_Kameel</v>
      </c>
    </row>
    <row r="22" spans="1:17">
      <c r="A22" s="2" t="s">
        <v>45</v>
      </c>
      <c r="B22" s="3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s">
        <v>1094</v>
      </c>
      <c r="G22" t="s">
        <v>2340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s="32" t="str">
        <f>"item_"&amp;CONTROL[[#This Row],[VEHIDCODE]]</f>
        <v>item_rbd_Netherlands_NS_DH1</v>
      </c>
      <c r="Q22" s="32" t="str">
        <f>"str_"&amp;CONTROL[[#This Row],[VEHIDCODE]]</f>
        <v>str_rbd_Netherlands_NS_DH1</v>
      </c>
    </row>
    <row r="23" spans="1:17">
      <c r="A23" s="2" t="s">
        <v>46</v>
      </c>
      <c r="B23" s="32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s">
        <v>2533</v>
      </c>
      <c r="G23" t="s">
        <v>2341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s="32" t="str">
        <f>"item_"&amp;CONTROL[[#This Row],[VEHIDCODE]]</f>
        <v>item_rbd_Austria_OBB_5047</v>
      </c>
      <c r="Q23" s="32" t="str">
        <f>"str_"&amp;CONTROL[[#This Row],[VEHIDCODE]]</f>
        <v>str_rbd_Austria_OBB_5047</v>
      </c>
    </row>
    <row r="24" spans="1:17">
      <c r="A24" s="2" t="s">
        <v>47</v>
      </c>
      <c r="B24" s="32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s">
        <v>1095</v>
      </c>
      <c r="G24" t="s">
        <v>2342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s="32" t="str">
        <f>"item_"&amp;CONTROL[[#This Row],[VEHIDCODE]]</f>
        <v>item_rbd_United_Kingdom_BR_153_Super_Sprinter</v>
      </c>
      <c r="Q24" s="32" t="str">
        <f>"str_"&amp;CONTROL[[#This Row],[VEHIDCODE]]</f>
        <v>str_rbd_United_Kingdom_BR_153_Super_Sprinter</v>
      </c>
    </row>
    <row r="25" spans="1:17">
      <c r="A25" s="2" t="s">
        <v>48</v>
      </c>
      <c r="B25" s="32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s">
        <v>2824</v>
      </c>
      <c r="G25" t="s">
        <v>2343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s="32" t="str">
        <f>"item_"&amp;CONTROL[[#This Row],[VEHIDCODE]]</f>
        <v>item_rbd_Czech_Republic_CD_809</v>
      </c>
      <c r="Q25" s="32" t="str">
        <f>"str_"&amp;CONTROL[[#This Row],[VEHIDCODE]]</f>
        <v>str_rbd_Czech_Republic_CD_809</v>
      </c>
    </row>
    <row r="26" spans="1:17">
      <c r="A26" s="2" t="s">
        <v>49</v>
      </c>
      <c r="B26" s="32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s">
        <v>1096</v>
      </c>
      <c r="G26" t="s">
        <v>2344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s="32" t="str">
        <f>"item_"&amp;CONTROL[[#This Row],[VEHIDCODE]]</f>
        <v>item_rbd_Germany_DB_670</v>
      </c>
      <c r="Q26" s="32" t="str">
        <f>"str_"&amp;CONTROL[[#This Row],[VEHIDCODE]]</f>
        <v>str_rbd_Germany_DB_670</v>
      </c>
    </row>
    <row r="27" spans="1:17">
      <c r="A27" s="2" t="s">
        <v>50</v>
      </c>
      <c r="B27" s="32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s">
        <v>1097</v>
      </c>
      <c r="G27" t="s">
        <v>2345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s="32" t="str">
        <f>"item_"&amp;CONTROL[[#This Row],[VEHIDCODE]]</f>
        <v>item_rbd_Lithuania_Lithuanian_Railways_AR2</v>
      </c>
      <c r="Q27" s="32" t="str">
        <f>"str_"&amp;CONTROL[[#This Row],[VEHIDCODE]]</f>
        <v>str_rbd_Lithuania_Lithuanian_Railways_AR2</v>
      </c>
    </row>
    <row r="28" spans="1:17">
      <c r="A28" s="2" t="s">
        <v>51</v>
      </c>
      <c r="B28" s="32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s">
        <v>2346</v>
      </c>
      <c r="G28" t="s">
        <v>2347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s="32" t="str">
        <f>"item_"&amp;CONTROL[[#This Row],[VEHIDCODE]]</f>
        <v>item_rbd_Austria_kkStB_19</v>
      </c>
      <c r="Q28" s="32" t="str">
        <f>"str_"&amp;CONTROL[[#This Row],[VEHIDCODE]]</f>
        <v>str_rbd_Austria_kkStB_19</v>
      </c>
    </row>
    <row r="29" spans="1:17">
      <c r="A29" s="2" t="s">
        <v>52</v>
      </c>
      <c r="B29" s="32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s">
        <v>1098</v>
      </c>
      <c r="G29" t="s">
        <v>2348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s="32" t="str">
        <f>"item_"&amp;CONTROL[[#This Row],[VEHIDCODE]]</f>
        <v>item_rbd_USA_Virginia_Truckee_Motor_Car_22</v>
      </c>
      <c r="Q29" s="32" t="str">
        <f>"str_"&amp;CONTROL[[#This Row],[VEHIDCODE]]</f>
        <v>str_rbd_USA_Virginia_Truckee_Motor_Car_22</v>
      </c>
    </row>
    <row r="30" spans="1:17">
      <c r="A30" s="2" t="s">
        <v>53</v>
      </c>
      <c r="B30" s="32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s">
        <v>2350</v>
      </c>
      <c r="G30" t="s">
        <v>2349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s="32" t="str">
        <f>"item_"&amp;CONTROL[[#This Row],[VEHIDCODE]]</f>
        <v>item_rbd_Germany_Saxon_DET_1_2</v>
      </c>
      <c r="Q30" s="32" t="str">
        <f>"str_"&amp;CONTROL[[#This Row],[VEHIDCODE]]</f>
        <v>str_rbd_Germany_Saxon_DET_1_2</v>
      </c>
    </row>
    <row r="31" spans="1:17">
      <c r="A31" s="2" t="s">
        <v>54</v>
      </c>
      <c r="B31" s="32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s">
        <v>1099</v>
      </c>
      <c r="G31" t="s">
        <v>2351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s="32" t="str">
        <f>"item_"&amp;CONTROL[[#This Row],[VEHIDCODE]]</f>
        <v>item_rbd_UK_WC_PR_Drewry_Railcar</v>
      </c>
      <c r="Q31" s="32" t="str">
        <f>"str_"&amp;CONTROL[[#This Row],[VEHIDCODE]]</f>
        <v>str_rbd_UK_WC_PR_Drewry_Railcar</v>
      </c>
    </row>
    <row r="32" spans="1:17">
      <c r="A32" s="2" t="s">
        <v>55</v>
      </c>
      <c r="B32" s="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s">
        <v>1100</v>
      </c>
      <c r="G32" t="s">
        <v>2352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s="32" t="str">
        <f>"item_"&amp;CONTROL[[#This Row],[VEHIDCODE]]</f>
        <v>item_rbd_Germany_BSt_6001</v>
      </c>
      <c r="Q32" s="32" t="str">
        <f>"str_"&amp;CONTROL[[#This Row],[VEHIDCODE]]</f>
        <v>str_rbd_Germany_BSt_6001</v>
      </c>
    </row>
    <row r="33" spans="1:17">
      <c r="A33" s="2" t="s">
        <v>56</v>
      </c>
      <c r="B33" s="32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s">
        <v>1101</v>
      </c>
      <c r="G33" t="s">
        <v>2353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s="32" t="str">
        <f>"item_"&amp;CONTROL[[#This Row],[VEHIDCODE]]</f>
        <v>item_rbd_Australia_Victorian_Railways_DERM</v>
      </c>
      <c r="Q33" s="32" t="str">
        <f>"str_"&amp;CONTROL[[#This Row],[VEHIDCODE]]</f>
        <v>str_rbd_Australia_Victorian_Railways_DERM</v>
      </c>
    </row>
    <row r="34" spans="1:17">
      <c r="A34" s="2" t="s">
        <v>57</v>
      </c>
      <c r="B34" s="32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s">
        <v>2354</v>
      </c>
      <c r="G34" t="s">
        <v>2355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s="32" t="str">
        <f>"item_"&amp;CONTROL[[#This Row],[VEHIDCODE]]</f>
        <v>item_rbd_Czech_Republic_CD_M120</v>
      </c>
      <c r="Q34" s="32" t="str">
        <f>"str_"&amp;CONTROL[[#This Row],[VEHIDCODE]]</f>
        <v>str_rbd_Czech_Republic_CD_M120</v>
      </c>
    </row>
    <row r="35" spans="1:17">
      <c r="A35" s="2" t="s">
        <v>58</v>
      </c>
      <c r="B35" s="32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s">
        <v>1102</v>
      </c>
      <c r="G35" t="s">
        <v>2356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s="32" t="str">
        <f>"item_"&amp;CONTROL[[#This Row],[VEHIDCODE]]</f>
        <v>item_rbd_Germany_Schienenzeppelin</v>
      </c>
      <c r="Q35" s="32" t="str">
        <f>"str_"&amp;CONTROL[[#This Row],[VEHIDCODE]]</f>
        <v>str_rbd_Germany_Schienenzeppelin</v>
      </c>
    </row>
    <row r="36" spans="1:17">
      <c r="A36" s="2" t="s">
        <v>59</v>
      </c>
      <c r="B36" s="32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s">
        <v>2359</v>
      </c>
      <c r="G36" t="s">
        <v>2358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s="32" t="str">
        <f>"item_"&amp;CONTROL[[#This Row],[VEHIDCODE]]</f>
        <v>item_rbd_Denmark_DSB_MO</v>
      </c>
      <c r="Q36" s="32" t="str">
        <f>"str_"&amp;CONTROL[[#This Row],[VEHIDCODE]]</f>
        <v>str_rbd_Denmark_DSB_MO</v>
      </c>
    </row>
    <row r="37" spans="1:17">
      <c r="A37" s="2" t="s">
        <v>60</v>
      </c>
      <c r="B37" s="32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s">
        <v>1103</v>
      </c>
      <c r="G37" t="s">
        <v>2357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s="32" t="str">
        <f>"item_"&amp;CONTROL[[#This Row],[VEHIDCODE]]</f>
        <v>item_rbd_Norway_NSB_Cmb_17</v>
      </c>
      <c r="Q37" s="32" t="str">
        <f>"str_"&amp;CONTROL[[#This Row],[VEHIDCODE]]</f>
        <v>str_rbd_Norway_NSB_Cmb_17</v>
      </c>
    </row>
    <row r="38" spans="1:17">
      <c r="A38" s="2" t="s">
        <v>61</v>
      </c>
      <c r="B38" s="32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s">
        <v>2825</v>
      </c>
      <c r="G38" t="s">
        <v>2360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s="32" t="str">
        <f>"item_"&amp;CONTROL[[#This Row],[VEHIDCODE]]</f>
        <v>item_rbd_Czech_Republic_CD_M290</v>
      </c>
      <c r="Q38" s="32" t="str">
        <f>"str_"&amp;CONTROL[[#This Row],[VEHIDCODE]]</f>
        <v>str_rbd_Czech_Republic_CD_M290</v>
      </c>
    </row>
    <row r="39" spans="1:17">
      <c r="A39" s="2" t="s">
        <v>62</v>
      </c>
      <c r="B39" s="32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s">
        <v>2362</v>
      </c>
      <c r="G39" t="s">
        <v>2361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s="32" t="str">
        <f>"item_"&amp;CONTROL[[#This Row],[VEHIDCODE]]</f>
        <v>item_rbd_Netherlands_NS_omBC</v>
      </c>
      <c r="Q39" s="32" t="str">
        <f>"str_"&amp;CONTROL[[#This Row],[VEHIDCODE]]</f>
        <v>str_rbd_Netherlands_NS_omBC</v>
      </c>
    </row>
    <row r="40" spans="1:17">
      <c r="A40" s="2" t="s">
        <v>63</v>
      </c>
      <c r="B40" s="32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s">
        <v>1104</v>
      </c>
      <c r="G40" t="s">
        <v>2363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s="32" t="str">
        <f>"item_"&amp;CONTROL[[#This Row],[VEHIDCODE]]</f>
        <v>item_rbd_Australia_NSWGR_Class_400</v>
      </c>
      <c r="Q40" s="32" t="str">
        <f>"str_"&amp;CONTROL[[#This Row],[VEHIDCODE]]</f>
        <v>str_rbd_Australia_NSWGR_Class_400</v>
      </c>
    </row>
    <row r="41" spans="1:17">
      <c r="A41" s="2" t="s">
        <v>64</v>
      </c>
      <c r="B41" s="32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s">
        <v>1105</v>
      </c>
      <c r="G41" t="s">
        <v>2364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s="32" t="str">
        <f>"item_"&amp;CONTROL[[#This Row],[VEHIDCODE]]</f>
        <v>item_rbd_Portugal_CP_USD_9050</v>
      </c>
      <c r="Q41" s="32" t="str">
        <f>"str_"&amp;CONTROL[[#This Row],[VEHIDCODE]]</f>
        <v>str_rbd_Portugal_CP_USD_9050</v>
      </c>
    </row>
    <row r="42" spans="1:17">
      <c r="A42" s="2" t="s">
        <v>65</v>
      </c>
      <c r="B42" s="3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s">
        <v>2366</v>
      </c>
      <c r="G42" t="s">
        <v>2365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s="32" t="str">
        <f>"item_"&amp;CONTROL[[#This Row],[VEHIDCODE]]</f>
        <v>item_rbd_Belgium_SNCB_Class_42</v>
      </c>
      <c r="Q42" s="32" t="str">
        <f>"str_"&amp;CONTROL[[#This Row],[VEHIDCODE]]</f>
        <v>str_rbd_Belgium_SNCB_Class_42</v>
      </c>
    </row>
    <row r="43" spans="1:17">
      <c r="A43" s="2" t="s">
        <v>66</v>
      </c>
      <c r="B43" s="32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s">
        <v>2368</v>
      </c>
      <c r="G43" t="s">
        <v>2367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s="32" t="str">
        <f>"item_"&amp;CONTROL[[#This Row],[VEHIDCODE]]</f>
        <v>item_rbd_Bulgaria_BDZ_19</v>
      </c>
      <c r="Q43" s="32" t="str">
        <f>"str_"&amp;CONTROL[[#This Row],[VEHIDCODE]]</f>
        <v>str_rbd_Bulgaria_BDZ_19</v>
      </c>
    </row>
    <row r="44" spans="1:17">
      <c r="A44" s="2" t="s">
        <v>67</v>
      </c>
      <c r="B44" s="32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s">
        <v>1106</v>
      </c>
      <c r="G44" t="s">
        <v>2369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s="32" t="str">
        <f>"item_"&amp;CONTROL[[#This Row],[VEHIDCODE]]</f>
        <v>item_rbd_Greece_OSE_AA71</v>
      </c>
      <c r="Q44" s="32" t="str">
        <f>"str_"&amp;CONTROL[[#This Row],[VEHIDCODE]]</f>
        <v>str_rbd_Greece_OSE_AA71</v>
      </c>
    </row>
    <row r="45" spans="1:17">
      <c r="A45" s="2" t="s">
        <v>68</v>
      </c>
      <c r="B45" s="32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s">
        <v>2370</v>
      </c>
      <c r="G45" t="s">
        <v>2371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s="32" t="str">
        <f>"item_"&amp;CONTROL[[#This Row],[VEHIDCODE]]</f>
        <v>item_rbd_Tunisia_SNCFT_Z431</v>
      </c>
      <c r="Q45" s="32" t="str">
        <f>"str_"&amp;CONTROL[[#This Row],[VEHIDCODE]]</f>
        <v>str_rbd_Tunisia_SNCFT_Z431</v>
      </c>
    </row>
    <row r="46" spans="1:17">
      <c r="A46" s="2" t="s">
        <v>69</v>
      </c>
      <c r="B46" s="32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s">
        <v>2372</v>
      </c>
      <c r="G46" t="s">
        <v>2373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s="32" t="str">
        <f>"item_"&amp;CONTROL[[#This Row],[VEHIDCODE]]</f>
        <v>item_rbd_USA_Amtrak_SPV_200</v>
      </c>
      <c r="Q46" s="32" t="str">
        <f>"str_"&amp;CONTROL[[#This Row],[VEHIDCODE]]</f>
        <v>str_rbd_USA_Amtrak_SPV_200</v>
      </c>
    </row>
    <row r="47" spans="1:17">
      <c r="A47" s="2" t="s">
        <v>70</v>
      </c>
      <c r="B47" s="32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s">
        <v>1107</v>
      </c>
      <c r="G47" t="s">
        <v>2374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s="32" t="str">
        <f>"item_"&amp;CONTROL[[#This Row],[VEHIDCODE]]</f>
        <v>item_rbd_Finland_VR_Dm12</v>
      </c>
      <c r="Q47" s="32" t="str">
        <f>"str_"&amp;CONTROL[[#This Row],[VEHIDCODE]]</f>
        <v>str_rbd_Finland_VR_Dm12</v>
      </c>
    </row>
    <row r="48" spans="1:17">
      <c r="A48" s="2" t="s">
        <v>71</v>
      </c>
      <c r="B48" s="32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s">
        <v>2826</v>
      </c>
      <c r="G48" t="s">
        <v>2375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s="32" t="str">
        <f>"item_"&amp;CONTROL[[#This Row],[VEHIDCODE]]</f>
        <v>item_rbd_Czech_Republic_CD_840</v>
      </c>
      <c r="Q48" s="32" t="str">
        <f>"str_"&amp;CONTROL[[#This Row],[VEHIDCODE]]</f>
        <v>str_rbd_Czech_Republic_CD_840</v>
      </c>
    </row>
    <row r="49" spans="1:17">
      <c r="A49" s="2" t="s">
        <v>72</v>
      </c>
      <c r="B49" s="32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s">
        <v>2377</v>
      </c>
      <c r="G49" t="s">
        <v>2376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s="32" t="str">
        <f>"item_"&amp;CONTROL[[#This Row],[VEHIDCODE]]</f>
        <v>item_rbd_Italy_FS_ALn_668</v>
      </c>
      <c r="Q49" s="32" t="str">
        <f>"str_"&amp;CONTROL[[#This Row],[VEHIDCODE]]</f>
        <v>str_rbd_Italy_FS_ALn_668</v>
      </c>
    </row>
    <row r="50" spans="1:17">
      <c r="A50" s="2" t="s">
        <v>73</v>
      </c>
      <c r="B50" s="32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s">
        <v>2827</v>
      </c>
      <c r="G50" t="s">
        <v>2378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s="32" t="str">
        <f>"item_"&amp;CONTROL[[#This Row],[VEHIDCODE]]</f>
        <v>item_rbe_Czech_Republic_CD_M400</v>
      </c>
      <c r="Q50" s="32" t="str">
        <f>"str_"&amp;CONTROL[[#This Row],[VEHIDCODE]]</f>
        <v>str_rbe_Czech_Republic_CD_M400</v>
      </c>
    </row>
    <row r="51" spans="1:17">
      <c r="A51" s="2" t="s">
        <v>75</v>
      </c>
      <c r="B51" s="32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s">
        <v>1108</v>
      </c>
      <c r="G51" t="s">
        <v>2379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s="32" t="str">
        <f>"item_"&amp;CONTROL[[#This Row],[VEHIDCODE]]</f>
        <v>item_rbe_France_SNCF_Z_7100</v>
      </c>
      <c r="Q51" s="32" t="str">
        <f>"str_"&amp;CONTROL[[#This Row],[VEHIDCODE]]</f>
        <v>str_rbe_France_SNCF_Z_7100</v>
      </c>
    </row>
    <row r="52" spans="1:17">
      <c r="A52" s="2" t="s">
        <v>76</v>
      </c>
      <c r="B52" s="3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s">
        <v>1109</v>
      </c>
      <c r="G52" t="s">
        <v>2380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s="32" t="str">
        <f>"item_"&amp;CONTROL[[#This Row],[VEHIDCODE]]</f>
        <v>item_rbe_Germany_Buckower_Kleinbahn_Nr_1_3</v>
      </c>
      <c r="Q52" s="32" t="str">
        <f>"str_"&amp;CONTROL[[#This Row],[VEHIDCODE]]</f>
        <v>str_rbe_Germany_Buckower_Kleinbahn_Nr_1_3</v>
      </c>
    </row>
    <row r="53" spans="1:17">
      <c r="A53" s="2" t="s">
        <v>77</v>
      </c>
      <c r="B53" s="32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s">
        <v>2384</v>
      </c>
      <c r="G53" t="s">
        <v>2383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s="32" t="str">
        <f>"item_"&amp;CONTROL[[#This Row],[VEHIDCODE]]</f>
        <v>item_rbe_Germany_DB_4792</v>
      </c>
      <c r="Q53" s="32" t="str">
        <f>"str_"&amp;CONTROL[[#This Row],[VEHIDCODE]]</f>
        <v>str_rbe_Germany_DB_4792</v>
      </c>
    </row>
    <row r="54" spans="1:17">
      <c r="A54" s="2" t="s">
        <v>78</v>
      </c>
      <c r="B54" s="32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s">
        <v>2382</v>
      </c>
      <c r="G54" t="s">
        <v>2381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s="32" t="str">
        <f>"item_"&amp;CONTROL[[#This Row],[VEHIDCODE]]</f>
        <v>item_rbe_Slovakia_ZSSK_490</v>
      </c>
      <c r="Q54" s="32" t="str">
        <f>"str_"&amp;CONTROL[[#This Row],[VEHIDCODE]]</f>
        <v>str_rbe_Slovakia_ZSSK_490</v>
      </c>
    </row>
    <row r="55" spans="1:17">
      <c r="A55" s="2" t="s">
        <v>79</v>
      </c>
      <c r="B55" s="32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s">
        <v>1110</v>
      </c>
      <c r="G55" t="s">
        <v>2385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s="32" t="str">
        <f>"item_"&amp;CONTROL[[#This Row],[VEHIDCODE]]</f>
        <v>item_rbe_Italy_FS_ALe_840</v>
      </c>
      <c r="Q55" s="32" t="str">
        <f>"str_"&amp;CONTROL[[#This Row],[VEHIDCODE]]</f>
        <v>str_rbe_Italy_FS_ALe_840</v>
      </c>
    </row>
    <row r="56" spans="1:17">
      <c r="A56" s="2" t="s">
        <v>80</v>
      </c>
      <c r="B56" s="32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s">
        <v>1111</v>
      </c>
      <c r="G56" t="s">
        <v>2386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s="32" t="str">
        <f>"item_"&amp;CONTROL[[#This Row],[VEHIDCODE]]</f>
        <v>item_rbe_Italy_FG_ALe_80</v>
      </c>
      <c r="Q56" s="32" t="str">
        <f>"str_"&amp;CONTROL[[#This Row],[VEHIDCODE]]</f>
        <v>str_rbe_Italy_FG_ALe_80</v>
      </c>
    </row>
    <row r="57" spans="1:17">
      <c r="A57" s="2" t="s">
        <v>81</v>
      </c>
      <c r="B57" s="32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s">
        <v>1112</v>
      </c>
      <c r="G57" t="s">
        <v>2387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s="32" t="str">
        <f>"item_"&amp;CONTROL[[#This Row],[VEHIDCODE]]</f>
        <v>item_rbe_Italy_FS_E623</v>
      </c>
      <c r="Q57" s="32" t="str">
        <f>"str_"&amp;CONTROL[[#This Row],[VEHIDCODE]]</f>
        <v>str_rbe_Italy_FS_E623</v>
      </c>
    </row>
    <row r="58" spans="1:17">
      <c r="A58" s="2" t="s">
        <v>82</v>
      </c>
      <c r="B58" s="32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s">
        <v>1796</v>
      </c>
      <c r="G58" t="s">
        <v>2388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s="32" t="str">
        <f>"item_"&amp;CONTROL[[#This Row],[VEHIDCODE]]</f>
        <v>item_rbe_Morocco_ONCFM_ZAB1000</v>
      </c>
      <c r="Q58" s="32" t="str">
        <f>"str_"&amp;CONTROL[[#This Row],[VEHIDCODE]]</f>
        <v>str_rbe_Morocco_ONCFM_ZAB1000</v>
      </c>
    </row>
    <row r="59" spans="1:17">
      <c r="A59" s="2" t="s">
        <v>83</v>
      </c>
      <c r="B59" s="32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s">
        <v>1113</v>
      </c>
      <c r="G59" t="s">
        <v>2389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s="32" t="str">
        <f>"item_"&amp;CONTROL[[#This Row],[VEHIDCODE]]</f>
        <v>item_rbe_Poland_PKP_EN81</v>
      </c>
      <c r="Q59" s="32" t="str">
        <f>"str_"&amp;CONTROL[[#This Row],[VEHIDCODE]]</f>
        <v>str_rbe_Poland_PKP_EN81</v>
      </c>
    </row>
    <row r="60" spans="1:17">
      <c r="A60" s="2" t="s">
        <v>84</v>
      </c>
      <c r="B60" s="32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s">
        <v>2534</v>
      </c>
      <c r="G60" t="s">
        <v>2390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s="32" t="str">
        <f>"item_"&amp;CONTROL[[#This Row],[VEHIDCODE]]</f>
        <v>item_rbe_Austria_OBB_4855</v>
      </c>
      <c r="Q60" s="32" t="str">
        <f>"str_"&amp;CONTROL[[#This Row],[VEHIDCODE]]</f>
        <v>str_rbe_Austria_OBB_4855</v>
      </c>
    </row>
    <row r="61" spans="1:17">
      <c r="A61" s="2" t="s">
        <v>85</v>
      </c>
      <c r="B61" s="32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s">
        <v>1114</v>
      </c>
      <c r="G61" t="s">
        <v>2391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s="32" t="str">
        <f>"item_"&amp;CONTROL[[#This Row],[VEHIDCODE]]</f>
        <v>item_rbe_Austria_MBS_ET_10109</v>
      </c>
      <c r="Q61" s="32" t="str">
        <f>"str_"&amp;CONTROL[[#This Row],[VEHIDCODE]]</f>
        <v>str_rbe_Austria_MBS_ET_10109</v>
      </c>
    </row>
    <row r="62" spans="1:17">
      <c r="A62" s="2" t="s">
        <v>86</v>
      </c>
      <c r="B62" s="3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s">
        <v>1115</v>
      </c>
      <c r="G62" t="s">
        <v>2392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s="32" t="str">
        <f>"item_"&amp;CONTROL[[#This Row],[VEHIDCODE]]</f>
        <v>item_rbe_Germany_DB_ET_85</v>
      </c>
      <c r="Q62" s="32" t="str">
        <f>"str_"&amp;CONTROL[[#This Row],[VEHIDCODE]]</f>
        <v>str_rbe_Germany_DB_ET_85</v>
      </c>
    </row>
    <row r="63" spans="1:17">
      <c r="A63" s="2" t="s">
        <v>87</v>
      </c>
      <c r="B63" s="32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s">
        <v>1116</v>
      </c>
      <c r="G63" t="s">
        <v>2393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s="32" t="str">
        <f>"item_"&amp;CONTROL[[#This Row],[VEHIDCODE]]</f>
        <v>item_rbe_Sweden_SJ_X16</v>
      </c>
      <c r="Q63" s="32" t="str">
        <f>"str_"&amp;CONTROL[[#This Row],[VEHIDCODE]]</f>
        <v>str_rbe_Sweden_SJ_X16</v>
      </c>
    </row>
    <row r="64" spans="1:17">
      <c r="A64" s="2" t="s">
        <v>88</v>
      </c>
      <c r="B64" s="32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s">
        <v>1117</v>
      </c>
      <c r="G64" t="s">
        <v>2394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s="32" t="str">
        <f>"item_"&amp;CONTROL[[#This Row],[VEHIDCODE]]</f>
        <v>item_rbe_USA_Pennsylvania_Railroad_Silverliner_II</v>
      </c>
      <c r="Q64" s="32" t="str">
        <f>"str_"&amp;CONTROL[[#This Row],[VEHIDCODE]]</f>
        <v>str_rbe_USA_Pennsylvania_Railroad_Silverliner_II</v>
      </c>
    </row>
    <row r="65" spans="1:17">
      <c r="A65" s="2" t="s">
        <v>89</v>
      </c>
      <c r="B65" s="32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s">
        <v>1118</v>
      </c>
      <c r="G65" t="s">
        <v>2395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s="32" t="str">
        <f>"item_"&amp;CONTROL[[#This Row],[VEHIDCODE]]</f>
        <v>item_rbe_USA_SEPTA_Silverliner_V</v>
      </c>
      <c r="Q65" s="32" t="str">
        <f>"str_"&amp;CONTROL[[#This Row],[VEHIDCODE]]</f>
        <v>str_rbe_USA_SEPTA_Silverliner_V</v>
      </c>
    </row>
    <row r="66" spans="1:17">
      <c r="A66" s="2" t="s">
        <v>90</v>
      </c>
      <c r="B66" s="32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s">
        <v>1119</v>
      </c>
      <c r="G66" t="s">
        <v>2396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s="32" t="str">
        <f>"item_"&amp;CONTROL[[#This Row],[VEHIDCODE]]</f>
        <v>item_steam_Belgium_Le_Belge</v>
      </c>
      <c r="Q66" s="32" t="str">
        <f>"str_"&amp;CONTROL[[#This Row],[VEHIDCODE]]</f>
        <v>str_steam_Belgium_Le_Belge</v>
      </c>
    </row>
    <row r="67" spans="1:17">
      <c r="A67" s="2" t="s">
        <v>91</v>
      </c>
      <c r="B67" s="32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s">
        <v>1120</v>
      </c>
      <c r="G67" t="s">
        <v>2397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s="32" t="str">
        <f>"item_"&amp;CONTROL[[#This Row],[VEHIDCODE]]</f>
        <v>item_steam_USA_4_4_0_American</v>
      </c>
      <c r="Q67" s="32" t="str">
        <f>"str_"&amp;CONTROL[[#This Row],[VEHIDCODE]]</f>
        <v>str_steam_USA_4_4_0_American</v>
      </c>
    </row>
    <row r="68" spans="1:17">
      <c r="A68" s="2" t="s">
        <v>92</v>
      </c>
      <c r="B68" s="32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s">
        <v>1121</v>
      </c>
      <c r="G68" t="s">
        <v>2398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s="32" t="str">
        <f>"item_"&amp;CONTROL[[#This Row],[VEHIDCODE]]</f>
        <v>item_steam_Switzerland_SBB_Ec_2_5</v>
      </c>
      <c r="Q68" s="32" t="str">
        <f>"str_"&amp;CONTROL[[#This Row],[VEHIDCODE]]</f>
        <v>str_steam_Switzerland_SBB_Ec_2_5</v>
      </c>
    </row>
    <row r="69" spans="1:17">
      <c r="A69" s="2" t="s">
        <v>93</v>
      </c>
      <c r="B69" s="32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s">
        <v>1122</v>
      </c>
      <c r="G69" t="s">
        <v>2399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s="32" t="str">
        <f>"item_"&amp;CONTROL[[#This Row],[VEHIDCODE]]</f>
        <v>item_steam_USA_4_6_0_Ten_wheeler</v>
      </c>
      <c r="Q69" s="32" t="str">
        <f>"str_"&amp;CONTROL[[#This Row],[VEHIDCODE]]</f>
        <v>str_steam_USA_4_6_0_Ten_wheeler</v>
      </c>
    </row>
    <row r="70" spans="1:17">
      <c r="A70" s="2" t="s">
        <v>94</v>
      </c>
      <c r="B70" s="32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s">
        <v>1123</v>
      </c>
      <c r="G70" t="s">
        <v>2400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s="32" t="str">
        <f>"item_"&amp;CONTROL[[#This Row],[VEHIDCODE]]</f>
        <v>item_steam_USA_2_8_0_Consolidation</v>
      </c>
      <c r="Q70" s="32" t="str">
        <f>"str_"&amp;CONTROL[[#This Row],[VEHIDCODE]]</f>
        <v>str_steam_USA_2_8_0_Consolidation</v>
      </c>
    </row>
    <row r="71" spans="1:17">
      <c r="A71" s="2" t="s">
        <v>95</v>
      </c>
      <c r="B71" s="32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s">
        <v>2542</v>
      </c>
      <c r="G71" t="s">
        <v>2401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s="32" t="str">
        <f>"item_"&amp;CONTROL[[#This Row],[VEHIDCODE]]</f>
        <v>item_steam_Hungary_MAV_377</v>
      </c>
      <c r="Q71" s="32" t="str">
        <f>"str_"&amp;CONTROL[[#This Row],[VEHIDCODE]]</f>
        <v>str_steam_Hungary_MAV_377</v>
      </c>
    </row>
    <row r="72" spans="1:17">
      <c r="A72" s="2" t="s">
        <v>96</v>
      </c>
      <c r="B72" s="3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s">
        <v>1124</v>
      </c>
      <c r="G72" t="s">
        <v>2402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s="32" t="str">
        <f>"item_"&amp;CONTROL[[#This Row],[VEHIDCODE]]</f>
        <v>item_steam_Austria_KkStB_99</v>
      </c>
      <c r="Q72" s="32" t="str">
        <f>"str_"&amp;CONTROL[[#This Row],[VEHIDCODE]]</f>
        <v>str_steam_Austria_KkStB_99</v>
      </c>
    </row>
    <row r="73" spans="1:17">
      <c r="A73" s="2" t="s">
        <v>97</v>
      </c>
      <c r="B73" s="32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s">
        <v>1125</v>
      </c>
      <c r="G73" t="s">
        <v>2403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s="32" t="str">
        <f>"item_"&amp;CONTROL[[#This Row],[VEHIDCODE]]</f>
        <v>item_steam_UK_Caledonian_Railway_439</v>
      </c>
      <c r="Q73" s="32" t="str">
        <f>"str_"&amp;CONTROL[[#This Row],[VEHIDCODE]]</f>
        <v>str_steam_UK_Caledonian_Railway_439</v>
      </c>
    </row>
    <row r="74" spans="1:17">
      <c r="A74" s="2" t="s">
        <v>98</v>
      </c>
      <c r="B74" s="32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s">
        <v>1126</v>
      </c>
      <c r="G74" t="s">
        <v>2404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s="32" t="str">
        <f>"item_"&amp;CONTROL[[#This Row],[VEHIDCODE]]</f>
        <v>item_steam_Switzerland_SBB_A_3_5</v>
      </c>
      <c r="Q74" s="32" t="str">
        <f>"str_"&amp;CONTROL[[#This Row],[VEHIDCODE]]</f>
        <v>str_steam_Switzerland_SBB_A_3_5</v>
      </c>
    </row>
    <row r="75" spans="1:17">
      <c r="A75" s="2" t="s">
        <v>99</v>
      </c>
      <c r="B75" s="32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s">
        <v>1127</v>
      </c>
      <c r="G75" t="s">
        <v>2405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s="32" t="str">
        <f>"item_"&amp;CONTROL[[#This Row],[VEHIDCODE]]</f>
        <v>item_steam_Switzerland_SBB_E_3_3</v>
      </c>
      <c r="Q75" s="32" t="str">
        <f>"str_"&amp;CONTROL[[#This Row],[VEHIDCODE]]</f>
        <v>str_steam_Switzerland_SBB_E_3_3</v>
      </c>
    </row>
    <row r="76" spans="1:17">
      <c r="A76" s="2" t="s">
        <v>100</v>
      </c>
      <c r="B76" s="32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s">
        <v>1128</v>
      </c>
      <c r="G76" t="s">
        <v>2406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s="32" t="str">
        <f>"item_"&amp;CONTROL[[#This Row],[VEHIDCODE]]</f>
        <v>item_steam_Austria_KkStB_299</v>
      </c>
      <c r="Q76" s="32" t="str">
        <f>"str_"&amp;CONTROL[[#This Row],[VEHIDCODE]]</f>
        <v>str_steam_Austria_KkStB_299</v>
      </c>
    </row>
    <row r="77" spans="1:17">
      <c r="A77" s="2" t="s">
        <v>101</v>
      </c>
      <c r="B77" s="32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s">
        <v>1129</v>
      </c>
      <c r="G77" t="s">
        <v>2407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s="32" t="str">
        <f>"item_"&amp;CONTROL[[#This Row],[VEHIDCODE]]</f>
        <v>item_steam_New_Zealand_NZR_X_Class</v>
      </c>
      <c r="Q77" s="32" t="str">
        <f>"str_"&amp;CONTROL[[#This Row],[VEHIDCODE]]</f>
        <v>str_steam_New_Zealand_NZR_X_Class</v>
      </c>
    </row>
    <row r="78" spans="1:17">
      <c r="A78" s="2" t="s">
        <v>102</v>
      </c>
      <c r="B78" s="32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s">
        <v>2408</v>
      </c>
      <c r="G78" t="s">
        <v>2409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s="32" t="str">
        <f>"item_"&amp;CONTROL[[#This Row],[VEHIDCODE]]</f>
        <v>item_steam_Croatia_HZ_51</v>
      </c>
      <c r="Q78" s="32" t="str">
        <f>"str_"&amp;CONTROL[[#This Row],[VEHIDCODE]]</f>
        <v>str_steam_Croatia_HZ_51</v>
      </c>
    </row>
    <row r="79" spans="1:17">
      <c r="A79" s="2" t="s">
        <v>103</v>
      </c>
      <c r="B79" s="32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s">
        <v>1130</v>
      </c>
      <c r="G79" t="s">
        <v>2410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s="32" t="str">
        <f>"item_"&amp;CONTROL[[#This Row],[VEHIDCODE]]</f>
        <v>item_steam_Italy_FS_880</v>
      </c>
      <c r="Q79" s="32" t="str">
        <f>"str_"&amp;CONTROL[[#This Row],[VEHIDCODE]]</f>
        <v>str_steam_Italy_FS_880</v>
      </c>
    </row>
    <row r="80" spans="1:17">
      <c r="A80" s="2" t="s">
        <v>104</v>
      </c>
      <c r="B80" s="32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s">
        <v>1131</v>
      </c>
      <c r="G80" t="s">
        <v>2411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s="32" t="str">
        <f>"item_"&amp;CONTROL[[#This Row],[VEHIDCODE]]</f>
        <v>item_steam_Argentina_FCNEA_11B_2_8_0</v>
      </c>
      <c r="Q80" s="32" t="str">
        <f>"str_"&amp;CONTROL[[#This Row],[VEHIDCODE]]</f>
        <v>str_steam_Argentina_FCNEA_11B_2_8_0</v>
      </c>
    </row>
    <row r="81" spans="1:17">
      <c r="A81" s="2" t="s">
        <v>105</v>
      </c>
      <c r="B81" s="32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s">
        <v>1132</v>
      </c>
      <c r="G81" t="s">
        <v>2412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s="32" t="str">
        <f>"item_"&amp;CONTROL[[#This Row],[VEHIDCODE]]</f>
        <v>item_steam_France_SNCF_140C</v>
      </c>
      <c r="Q81" s="32" t="str">
        <f>"str_"&amp;CONTROL[[#This Row],[VEHIDCODE]]</f>
        <v>str_steam_France_SNCF_140C</v>
      </c>
    </row>
    <row r="82" spans="1:17">
      <c r="A82" s="2" t="s">
        <v>106</v>
      </c>
      <c r="B82" s="3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s">
        <v>1133</v>
      </c>
      <c r="G82" t="s">
        <v>2413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s="32" t="str">
        <f>"item_"&amp;CONTROL[[#This Row],[VEHIDCODE]]</f>
        <v>item_steam_France_SNCF_141TA</v>
      </c>
      <c r="Q82" s="32" t="str">
        <f>"str_"&amp;CONTROL[[#This Row],[VEHIDCODE]]</f>
        <v>str_steam_France_SNCF_141TA</v>
      </c>
    </row>
    <row r="83" spans="1:17">
      <c r="A83" s="2" t="s">
        <v>107</v>
      </c>
      <c r="B83" s="32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s">
        <v>2415</v>
      </c>
      <c r="G83" t="s">
        <v>2414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s="32" t="str">
        <f>"item_"&amp;CONTROL[[#This Row],[VEHIDCODE]]</f>
        <v>item_steam_UK_GWR_4900</v>
      </c>
      <c r="Q83" s="32" t="str">
        <f>"str_"&amp;CONTROL[[#This Row],[VEHIDCODE]]</f>
        <v>str_steam_UK_GWR_4900</v>
      </c>
    </row>
    <row r="84" spans="1:17">
      <c r="A84" s="2" t="s">
        <v>108</v>
      </c>
      <c r="B84" s="32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s">
        <v>2416</v>
      </c>
      <c r="G84" t="s">
        <v>2417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s="32" t="str">
        <f>"item_"&amp;CONTROL[[#This Row],[VEHIDCODE]]</f>
        <v>item_steam_UK_GWR_5700</v>
      </c>
      <c r="Q84" s="32" t="str">
        <f>"str_"&amp;CONTROL[[#This Row],[VEHIDCODE]]</f>
        <v>str_steam_UK_GWR_5700</v>
      </c>
    </row>
    <row r="85" spans="1:17">
      <c r="A85" s="2" t="s">
        <v>109</v>
      </c>
      <c r="B85" s="32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s">
        <v>2418</v>
      </c>
      <c r="G85" t="s">
        <v>2419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s="32" t="str">
        <f>"item_"&amp;CONTROL[[#This Row],[VEHIDCODE]]</f>
        <v>item_steam_Netherlands_NS_6300</v>
      </c>
      <c r="Q85" s="32" t="str">
        <f>"str_"&amp;CONTROL[[#This Row],[VEHIDCODE]]</f>
        <v>str_steam_Netherlands_NS_6300</v>
      </c>
    </row>
    <row r="86" spans="1:17">
      <c r="A86" s="2" t="s">
        <v>110</v>
      </c>
      <c r="B86" s="32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s">
        <v>2420</v>
      </c>
      <c r="G86" t="s">
        <v>2421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s="32" t="str">
        <f>"item_"&amp;CONTROL[[#This Row],[VEHIDCODE]]</f>
        <v>item_steam_USA_AT_SF_5000</v>
      </c>
      <c r="Q86" s="32" t="str">
        <f>"str_"&amp;CONTROL[[#This Row],[VEHIDCODE]]</f>
        <v>str_steam_USA_AT_SF_5000</v>
      </c>
    </row>
    <row r="87" spans="1:17">
      <c r="A87" s="2" t="s">
        <v>111</v>
      </c>
      <c r="B87" s="32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s">
        <v>1134</v>
      </c>
      <c r="G87" t="s">
        <v>2422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s="32" t="str">
        <f>"item_"&amp;CONTROL[[#This Row],[VEHIDCODE]]</f>
        <v>item_steam_Germany_Prussian_S10</v>
      </c>
      <c r="Q87" s="32" t="str">
        <f>"str_"&amp;CONTROL[[#This Row],[VEHIDCODE]]</f>
        <v>str_steam_Germany_Prussian_S10</v>
      </c>
    </row>
    <row r="88" spans="1:17">
      <c r="A88" s="2" t="s">
        <v>112</v>
      </c>
      <c r="B88" s="32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s">
        <v>1135</v>
      </c>
      <c r="G88" t="s">
        <v>2423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s="32" t="str">
        <f>"item_"&amp;CONTROL[[#This Row],[VEHIDCODE]]</f>
        <v>item_steam_UK_LMS_5MT_Black_Five</v>
      </c>
      <c r="Q88" s="32" t="str">
        <f>"str_"&amp;CONTROL[[#This Row],[VEHIDCODE]]</f>
        <v>str_steam_UK_LMS_5MT_Black_Five</v>
      </c>
    </row>
    <row r="89" spans="1:17">
      <c r="A89" s="2" t="s">
        <v>113</v>
      </c>
      <c r="B89" s="32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s">
        <v>1136</v>
      </c>
      <c r="G89" t="s">
        <v>2424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s="32" t="str">
        <f>"item_"&amp;CONTROL[[#This Row],[VEHIDCODE]]</f>
        <v>item_steam_Russia_RZD_9P</v>
      </c>
      <c r="Q89" s="32" t="str">
        <f>"str_"&amp;CONTROL[[#This Row],[VEHIDCODE]]</f>
        <v>str_steam_Russia_RZD_9P</v>
      </c>
    </row>
    <row r="90" spans="1:17">
      <c r="A90" s="2" t="s">
        <v>114</v>
      </c>
      <c r="B90" s="32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s">
        <v>1137</v>
      </c>
      <c r="G90" t="s">
        <v>2425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s="32" t="str">
        <f>"item_"&amp;CONTROL[[#This Row],[VEHIDCODE]]</f>
        <v>item_steam_UK_LNER_A4_Gresley</v>
      </c>
      <c r="Q90" s="32" t="str">
        <f>"str_"&amp;CONTROL[[#This Row],[VEHIDCODE]]</f>
        <v>str_steam_UK_LNER_A4_Gresley</v>
      </c>
    </row>
    <row r="91" spans="1:17">
      <c r="A91" s="2" t="s">
        <v>115</v>
      </c>
      <c r="B91" s="32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s">
        <v>1138</v>
      </c>
      <c r="G91" t="s">
        <v>2426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s="32" t="str">
        <f>"item_"&amp;CONTROL[[#This Row],[VEHIDCODE]]</f>
        <v>item_steam_Canada_CPR_Royal_Hudson</v>
      </c>
      <c r="Q91" s="32" t="str">
        <f>"str_"&amp;CONTROL[[#This Row],[VEHIDCODE]]</f>
        <v>str_steam_Canada_CPR_Royal_Hudson</v>
      </c>
    </row>
    <row r="92" spans="1:17">
      <c r="A92" s="2" t="s">
        <v>116</v>
      </c>
      <c r="B92" s="3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s">
        <v>1139</v>
      </c>
      <c r="G92" t="s">
        <v>2427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s="32" t="str">
        <f>"item_"&amp;CONTROL[[#This Row],[VEHIDCODE]]</f>
        <v>item_steam_Denmark_DSB_E</v>
      </c>
      <c r="Q92" s="32" t="str">
        <f>"str_"&amp;CONTROL[[#This Row],[VEHIDCODE]]</f>
        <v>str_steam_Denmark_DSB_E</v>
      </c>
    </row>
    <row r="93" spans="1:17">
      <c r="A93" s="2" t="s">
        <v>117</v>
      </c>
      <c r="B93" s="32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s">
        <v>1140</v>
      </c>
      <c r="G93" t="s">
        <v>2428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s="32" t="str">
        <f>"item_"&amp;CONTROL[[#This Row],[VEHIDCODE]]</f>
        <v>item_steam_Germany_DB_52</v>
      </c>
      <c r="Q93" s="32" t="str">
        <f>"str_"&amp;CONTROL[[#This Row],[VEHIDCODE]]</f>
        <v>str_steam_Germany_DB_52</v>
      </c>
    </row>
    <row r="94" spans="1:17">
      <c r="A94" s="2" t="s">
        <v>118</v>
      </c>
      <c r="B94" s="32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s">
        <v>1141</v>
      </c>
      <c r="G94" t="s">
        <v>2429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s="32" t="str">
        <f>"item_"&amp;CONTROL[[#This Row],[VEHIDCODE]]</f>
        <v>item_steam_UK_LNER_A1_Peppercorn</v>
      </c>
      <c r="Q94" s="32" t="str">
        <f>"str_"&amp;CONTROL[[#This Row],[VEHIDCODE]]</f>
        <v>str_steam_UK_LNER_A1_Peppercorn</v>
      </c>
    </row>
    <row r="95" spans="1:17">
      <c r="A95" s="2" t="s">
        <v>119</v>
      </c>
      <c r="B95" s="32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s">
        <v>2308</v>
      </c>
      <c r="G95" t="s">
        <v>2430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s="32" t="str">
        <f>"item_"&amp;CONTROL[[#This Row],[VEHIDCODE]]</f>
        <v>item_steam_South_Africa_SAR_25</v>
      </c>
      <c r="Q95" s="32" t="str">
        <f>"str_"&amp;CONTROL[[#This Row],[VEHIDCODE]]</f>
        <v>str_steam_South_Africa_SAR_25</v>
      </c>
    </row>
    <row r="96" spans="1:17">
      <c r="A96" s="2" t="s">
        <v>120</v>
      </c>
      <c r="B96" s="32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s">
        <v>1142</v>
      </c>
      <c r="G96" t="s">
        <v>2431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s="32" t="str">
        <f>"item_"&amp;CONTROL[[#This Row],[VEHIDCODE]]</f>
        <v>item_steam_Russia_RZD_P36</v>
      </c>
      <c r="Q96" s="32" t="str">
        <f>"str_"&amp;CONTROL[[#This Row],[VEHIDCODE]]</f>
        <v>str_steam_Russia_RZD_P36</v>
      </c>
    </row>
    <row r="97" spans="1:17">
      <c r="A97" s="2" t="s">
        <v>121</v>
      </c>
      <c r="B97" s="32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s">
        <v>1143</v>
      </c>
      <c r="G97" t="s">
        <v>2432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s="32" t="str">
        <f>"item_"&amp;CONTROL[[#This Row],[VEHIDCODE]]</f>
        <v>item_steam_France_SNCF_150B</v>
      </c>
      <c r="Q97" s="32" t="str">
        <f>"str_"&amp;CONTROL[[#This Row],[VEHIDCODE]]</f>
        <v>str_steam_France_SNCF_150B</v>
      </c>
    </row>
    <row r="98" spans="1:17">
      <c r="A98" s="2" t="s">
        <v>122</v>
      </c>
      <c r="B98" s="32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s">
        <v>1144</v>
      </c>
      <c r="G98" t="s">
        <v>2433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s="32" t="str">
        <f>"item_"&amp;CONTROL[[#This Row],[VEHIDCODE]]</f>
        <v>item_steam_Italy_FS_895</v>
      </c>
      <c r="Q98" s="32" t="str">
        <f>"str_"&amp;CONTROL[[#This Row],[VEHIDCODE]]</f>
        <v>str_steam_Italy_FS_895</v>
      </c>
    </row>
    <row r="99" spans="1:17">
      <c r="A99" s="2" t="s">
        <v>123</v>
      </c>
      <c r="B99" s="32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s">
        <v>1145</v>
      </c>
      <c r="G99" t="s">
        <v>2434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s="32" t="str">
        <f>"item_"&amp;CONTROL[[#This Row],[VEHIDCODE]]</f>
        <v>item_steam_Poland_PKP_Okz32</v>
      </c>
      <c r="Q99" s="32" t="str">
        <f>"str_"&amp;CONTROL[[#This Row],[VEHIDCODE]]</f>
        <v>str_steam_Poland_PKP_Okz32</v>
      </c>
    </row>
    <row r="100" spans="1:17">
      <c r="A100" s="2" t="s">
        <v>124</v>
      </c>
      <c r="B100" s="32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s">
        <v>2435</v>
      </c>
      <c r="G100" t="s">
        <v>2436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s="32" t="str">
        <f>"item_"&amp;CONTROL[[#This Row],[VEHIDCODE]]</f>
        <v>item_steam_Switzerland_SBB_C_5_6</v>
      </c>
      <c r="Q100" s="32" t="str">
        <f>"str_"&amp;CONTROL[[#This Row],[VEHIDCODE]]</f>
        <v>str_steam_Switzerland_SBB_C_5_6</v>
      </c>
    </row>
    <row r="101" spans="1:17">
      <c r="A101" s="2" t="s">
        <v>125</v>
      </c>
      <c r="B101" s="32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s">
        <v>1146</v>
      </c>
      <c r="G101" t="s">
        <v>2437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s="32" t="str">
        <f>"item_"&amp;CONTROL[[#This Row],[VEHIDCODE]]</f>
        <v>item_steam_USA_UP_4000_Big_Boy</v>
      </c>
      <c r="Q101" s="32" t="str">
        <f>"str_"&amp;CONTROL[[#This Row],[VEHIDCODE]]</f>
        <v>str_steam_USA_UP_4000_Big_Boy</v>
      </c>
    </row>
    <row r="102" spans="1:17">
      <c r="A102" s="2" t="s">
        <v>126</v>
      </c>
      <c r="B102" s="3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s">
        <v>1147</v>
      </c>
      <c r="G102" t="s">
        <v>2438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s="32" t="str">
        <f>"item_"&amp;CONTROL[[#This Row],[VEHIDCODE]]</f>
        <v>item_steam_Netherlands_NRS_11</v>
      </c>
      <c r="Q102" s="32" t="str">
        <f>"str_"&amp;CONTROL[[#This Row],[VEHIDCODE]]</f>
        <v>str_steam_Netherlands_NRS_11</v>
      </c>
    </row>
    <row r="103" spans="1:17">
      <c r="A103" s="2" t="s">
        <v>127</v>
      </c>
      <c r="B103" s="32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s">
        <v>1148</v>
      </c>
      <c r="G103" t="s">
        <v>2439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s="32" t="str">
        <f>"item_"&amp;CONTROL[[#This Row],[VEHIDCODE]]</f>
        <v>item_steam_UK_GWR_Iron_DUKe_Class</v>
      </c>
      <c r="Q103" s="32" t="str">
        <f>"str_"&amp;CONTROL[[#This Row],[VEHIDCODE]]</f>
        <v>str_steam_UK_GWR_Iron_DUKe_Class</v>
      </c>
    </row>
    <row r="104" spans="1:17">
      <c r="A104" s="2" t="s">
        <v>128</v>
      </c>
      <c r="B104" s="32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s">
        <v>1149</v>
      </c>
      <c r="G104" t="s">
        <v>2440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s="32" t="str">
        <f>"item_"&amp;CONTROL[[#This Row],[VEHIDCODE]]</f>
        <v>item_steam_Australia_Sidney_Railway_Locomotive_No1</v>
      </c>
      <c r="Q104" s="32" t="str">
        <f>"str_"&amp;CONTROL[[#This Row],[VEHIDCODE]]</f>
        <v>str_steam_Australia_Sidney_Railway_Locomotive_No1</v>
      </c>
    </row>
    <row r="105" spans="1:17">
      <c r="A105" s="2" t="s">
        <v>129</v>
      </c>
      <c r="B105" s="32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s">
        <v>1150</v>
      </c>
      <c r="G105" t="s">
        <v>2441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s="32" t="str">
        <f>"item_"&amp;CONTROL[[#This Row],[VEHIDCODE]]</f>
        <v>item_steam_USA_Central_Pacific_4_2_2</v>
      </c>
      <c r="Q105" s="32" t="str">
        <f>"str_"&amp;CONTROL[[#This Row],[VEHIDCODE]]</f>
        <v>str_steam_USA_Central_Pacific_4_2_2</v>
      </c>
    </row>
    <row r="106" spans="1:17">
      <c r="A106" s="2" t="s">
        <v>130</v>
      </c>
      <c r="B106" s="32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s">
        <v>1151</v>
      </c>
      <c r="G106" t="s">
        <v>2442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s="32" t="str">
        <f>"item_"&amp;CONTROL[[#This Row],[VEHIDCODE]]</f>
        <v>item_steam_Netherlands_NS_700</v>
      </c>
      <c r="Q106" s="32" t="str">
        <f>"str_"&amp;CONTROL[[#This Row],[VEHIDCODE]]</f>
        <v>str_steam_Netherlands_NS_700</v>
      </c>
    </row>
    <row r="107" spans="1:17">
      <c r="A107" s="2" t="s">
        <v>131</v>
      </c>
      <c r="B107" s="32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s">
        <v>1152</v>
      </c>
      <c r="G107" t="s">
        <v>2443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s="32" t="str">
        <f>"item_"&amp;CONTROL[[#This Row],[VEHIDCODE]]</f>
        <v>item_steam_South_Africa_Natal_Government_Railways_2_6_0T</v>
      </c>
      <c r="Q107" s="32" t="str">
        <f>"str_"&amp;CONTROL[[#This Row],[VEHIDCODE]]</f>
        <v>str_steam_South_Africa_Natal_Government_Railways_2_6_0T</v>
      </c>
    </row>
    <row r="108" spans="1:17">
      <c r="A108" s="2" t="s">
        <v>132</v>
      </c>
      <c r="B108" s="32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s">
        <v>1153</v>
      </c>
      <c r="G108" t="s">
        <v>2444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s="32" t="str">
        <f>"item_"&amp;CONTROL[[#This Row],[VEHIDCODE]]</f>
        <v>item_steam_Australia_NSWGR_Z25_Class</v>
      </c>
      <c r="Q108" s="32" t="str">
        <f>"str_"&amp;CONTROL[[#This Row],[VEHIDCODE]]</f>
        <v>str_steam_Australia_NSWGR_Z25_Class</v>
      </c>
    </row>
    <row r="109" spans="1:17">
      <c r="A109" s="2" t="s">
        <v>133</v>
      </c>
      <c r="B109" s="32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s">
        <v>1154</v>
      </c>
      <c r="G109" t="s">
        <v>2446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s="32" t="str">
        <f>"item_"&amp;CONTROL[[#This Row],[VEHIDCODE]]</f>
        <v>item_steam_Canada_Canadian_Pacific_374</v>
      </c>
      <c r="Q109" s="32" t="str">
        <f>"str_"&amp;CONTROL[[#This Row],[VEHIDCODE]]</f>
        <v>str_steam_Canada_Canadian_Pacific_374</v>
      </c>
    </row>
    <row r="110" spans="1:17">
      <c r="A110" s="2" t="s">
        <v>134</v>
      </c>
      <c r="B110" s="32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s">
        <v>1155</v>
      </c>
      <c r="G110" t="s">
        <v>2445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s="32" t="str">
        <f>"item_"&amp;CONTROL[[#This Row],[VEHIDCODE]]</f>
        <v>item_steam_South_Africa_PPR_35_tonner_4_6_0T</v>
      </c>
      <c r="Q110" s="32" t="str">
        <f>"str_"&amp;CONTROL[[#This Row],[VEHIDCODE]]</f>
        <v>str_steam_South_Africa_PPR_35_tonner_4_6_0T</v>
      </c>
    </row>
    <row r="111" spans="1:17">
      <c r="A111" s="2" t="s">
        <v>135</v>
      </c>
      <c r="B111" s="32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s">
        <v>1156</v>
      </c>
      <c r="G111" t="s">
        <v>2447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s="32" t="str">
        <f>"item_"&amp;CONTROL[[#This Row],[VEHIDCODE]]</f>
        <v>item_steam_Spain_RENFE_Class_040</v>
      </c>
      <c r="Q111" s="32" t="str">
        <f>"str_"&amp;CONTROL[[#This Row],[VEHIDCODE]]</f>
        <v>str_steam_Spain_RENFE_Class_040</v>
      </c>
    </row>
    <row r="112" spans="1:17">
      <c r="A112" s="2" t="s">
        <v>136</v>
      </c>
      <c r="B112" s="3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s">
        <v>2304</v>
      </c>
      <c r="G112" t="s">
        <v>2448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s="32" t="str">
        <f>"item_"&amp;CONTROL[[#This Row],[VEHIDCODE]]</f>
        <v>item_steam_Germany_Saxon_IV_K</v>
      </c>
      <c r="Q112" s="32" t="str">
        <f>"str_"&amp;CONTROL[[#This Row],[VEHIDCODE]]</f>
        <v>str_steam_Germany_Saxon_IV_K</v>
      </c>
    </row>
    <row r="113" spans="1:17">
      <c r="A113" s="2" t="s">
        <v>137</v>
      </c>
      <c r="B113" s="32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s">
        <v>1157</v>
      </c>
      <c r="G113" t="s">
        <v>2449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s="32" t="str">
        <f>"item_"&amp;CONTROL[[#This Row],[VEHIDCODE]]</f>
        <v>item_steam_Germany_Prussian_S_3</v>
      </c>
      <c r="Q113" s="32" t="str">
        <f>"str_"&amp;CONTROL[[#This Row],[VEHIDCODE]]</f>
        <v>str_steam_Germany_Prussian_S_3</v>
      </c>
    </row>
    <row r="114" spans="1:17">
      <c r="A114" s="2" t="s">
        <v>138</v>
      </c>
      <c r="B114" s="32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s">
        <v>1158</v>
      </c>
      <c r="G114" t="s">
        <v>2450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s="32" t="str">
        <f>"item_"&amp;CONTROL[[#This Row],[VEHIDCODE]]</f>
        <v>item_steam_Norway_NSB_Class_XXI</v>
      </c>
      <c r="Q114" s="32" t="str">
        <f>"str_"&amp;CONTROL[[#This Row],[VEHIDCODE]]</f>
        <v>str_steam_Norway_NSB_Class_XXI</v>
      </c>
    </row>
    <row r="115" spans="1:17">
      <c r="A115" s="2" t="s">
        <v>139</v>
      </c>
      <c r="B115" s="32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s">
        <v>1159</v>
      </c>
      <c r="G115" t="s">
        <v>2451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s="32" t="str">
        <f>"item_"&amp;CONTROL[[#This Row],[VEHIDCODE]]</f>
        <v>item_steam_USA_PRR_D16</v>
      </c>
      <c r="Q115" s="32" t="str">
        <f>"str_"&amp;CONTROL[[#This Row],[VEHIDCODE]]</f>
        <v>str_steam_USA_PRR_D16</v>
      </c>
    </row>
    <row r="116" spans="1:17">
      <c r="A116" s="2" t="s">
        <v>140</v>
      </c>
      <c r="B116" s="32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s">
        <v>1160</v>
      </c>
      <c r="G116" t="s">
        <v>2452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s="32" t="str">
        <f>"item_"&amp;CONTROL[[#This Row],[VEHIDCODE]]</f>
        <v>item_steam_Netherlands_NS_8100</v>
      </c>
      <c r="Q116" s="32" t="str">
        <f>"str_"&amp;CONTROL[[#This Row],[VEHIDCODE]]</f>
        <v>str_steam_Netherlands_NS_8100</v>
      </c>
    </row>
    <row r="117" spans="1:17">
      <c r="A117" s="2" t="s">
        <v>141</v>
      </c>
      <c r="B117" s="32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s">
        <v>2453</v>
      </c>
      <c r="G117" t="s">
        <v>2454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s="32" t="str">
        <f>"item_"&amp;CONTROL[[#This Row],[VEHIDCODE]]</f>
        <v>item_steam_South_Africa_SAR_MD_Class</v>
      </c>
      <c r="Q117" s="32" t="str">
        <f>"str_"&amp;CONTROL[[#This Row],[VEHIDCODE]]</f>
        <v>str_steam_South_Africa_SAR_MD_Class</v>
      </c>
    </row>
    <row r="118" spans="1:17">
      <c r="A118" s="2" t="s">
        <v>142</v>
      </c>
      <c r="B118" s="32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s">
        <v>2456</v>
      </c>
      <c r="G118" t="s">
        <v>2455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s="32" t="str">
        <f>"item_"&amp;CONTROL[[#This Row],[VEHIDCODE]]</f>
        <v>item_steam_Angola_South_West_African_2_8_0</v>
      </c>
      <c r="Q118" s="32" t="str">
        <f>"str_"&amp;CONTROL[[#This Row],[VEHIDCODE]]</f>
        <v>str_steam_Angola_South_West_African_2_8_0</v>
      </c>
    </row>
    <row r="119" spans="1:17">
      <c r="A119" s="2" t="s">
        <v>143</v>
      </c>
      <c r="B119" s="32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s">
        <v>1161</v>
      </c>
      <c r="G119" t="s">
        <v>2457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s="32" t="str">
        <f>"item_"&amp;CONTROL[[#This Row],[VEHIDCODE]]</f>
        <v>item_steam_UK_LNER_N7</v>
      </c>
      <c r="Q119" s="32" t="str">
        <f>"str_"&amp;CONTROL[[#This Row],[VEHIDCODE]]</f>
        <v>str_steam_UK_LNER_N7</v>
      </c>
    </row>
    <row r="120" spans="1:17">
      <c r="A120" s="2" t="s">
        <v>144</v>
      </c>
      <c r="B120" s="32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s">
        <v>2303</v>
      </c>
      <c r="G120" t="s">
        <v>2458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s="32" t="str">
        <f>"item_"&amp;CONTROL[[#This Row],[VEHIDCODE]]</f>
        <v>item_steam_Germany_Saxon_XX_HV</v>
      </c>
      <c r="Q120" s="32" t="str">
        <f>"str_"&amp;CONTROL[[#This Row],[VEHIDCODE]]</f>
        <v>str_steam_Germany_Saxon_XX_HV</v>
      </c>
    </row>
    <row r="121" spans="1:17">
      <c r="A121" s="2" t="s">
        <v>145</v>
      </c>
      <c r="B121" s="32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s">
        <v>1162</v>
      </c>
      <c r="G121" t="s">
        <v>2459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s="32" t="str">
        <f>"item_"&amp;CONTROL[[#This Row],[VEHIDCODE]]</f>
        <v>item_steam_Belgium_NMBS_Type_7</v>
      </c>
      <c r="Q121" s="32" t="str">
        <f>"str_"&amp;CONTROL[[#This Row],[VEHIDCODE]]</f>
        <v>str_steam_Belgium_NMBS_Type_7</v>
      </c>
    </row>
    <row r="122" spans="1:17">
      <c r="A122" s="2" t="s">
        <v>146</v>
      </c>
      <c r="B122" s="3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s">
        <v>1163</v>
      </c>
      <c r="G122" t="s">
        <v>2460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s="32" t="str">
        <f>"item_"&amp;CONTROL[[#This Row],[VEHIDCODE]]</f>
        <v>item_steam_Ireland_DSER_15</v>
      </c>
      <c r="Q122" s="32" t="str">
        <f>"str_"&amp;CONTROL[[#This Row],[VEHIDCODE]]</f>
        <v>str_steam_Ireland_DSER_15</v>
      </c>
    </row>
    <row r="123" spans="1:17">
      <c r="A123" s="2" t="s">
        <v>147</v>
      </c>
      <c r="B123" s="32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s">
        <v>1164</v>
      </c>
      <c r="G123" t="s">
        <v>2461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s="32" t="str">
        <f>"item_"&amp;CONTROL[[#This Row],[VEHIDCODE]]</f>
        <v>item_steam_USA_Sierra_Railroad_28</v>
      </c>
      <c r="Q123" s="32" t="str">
        <f>"str_"&amp;CONTROL[[#This Row],[VEHIDCODE]]</f>
        <v>str_steam_USA_Sierra_Railroad_28</v>
      </c>
    </row>
    <row r="124" spans="1:17">
      <c r="A124" s="2" t="s">
        <v>148</v>
      </c>
      <c r="B124" s="32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s">
        <v>1165</v>
      </c>
      <c r="G124" t="s">
        <v>2462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s="32" t="str">
        <f>"item_"&amp;CONTROL[[#This Row],[VEHIDCODE]]</f>
        <v>item_steam_Canada_CN_U_1_Class</v>
      </c>
      <c r="Q124" s="32" t="str">
        <f>"str_"&amp;CONTROL[[#This Row],[VEHIDCODE]]</f>
        <v>str_steam_Canada_CN_U_1_Class</v>
      </c>
    </row>
    <row r="125" spans="1:17">
      <c r="A125" s="2" t="s">
        <v>149</v>
      </c>
      <c r="B125" s="32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s">
        <v>1166</v>
      </c>
      <c r="G125" t="s">
        <v>2463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s="32" t="str">
        <f>"item_"&amp;CONTROL[[#This Row],[VEHIDCODE]]</f>
        <v>item_steam_India_Indian_Railways_XB_Class</v>
      </c>
      <c r="Q125" s="32" t="str">
        <f>"str_"&amp;CONTROL[[#This Row],[VEHIDCODE]]</f>
        <v>str_steam_India_Indian_Railways_XB_Class</v>
      </c>
    </row>
    <row r="126" spans="1:17">
      <c r="A126" s="2" t="s">
        <v>150</v>
      </c>
      <c r="B126" s="32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s">
        <v>1167</v>
      </c>
      <c r="G126" t="s">
        <v>2464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s="32" t="str">
        <f>"item_"&amp;CONTROL[[#This Row],[VEHIDCODE]]</f>
        <v>item_steam_Iraq_Iraqi_State_Railways_PC_Class</v>
      </c>
      <c r="Q126" s="32" t="str">
        <f>"str_"&amp;CONTROL[[#This Row],[VEHIDCODE]]</f>
        <v>str_steam_Iraq_Iraqi_State_Railways_PC_Class</v>
      </c>
    </row>
    <row r="127" spans="1:17">
      <c r="A127" s="2" t="s">
        <v>151</v>
      </c>
      <c r="B127" s="32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s">
        <v>2465</v>
      </c>
      <c r="G127" t="s">
        <v>1786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s="32" t="str">
        <f>"item_"&amp;CONTROL[[#This Row],[VEHIDCODE]]</f>
        <v>item_steam_Egypt_ENR_1100</v>
      </c>
      <c r="Q127" s="32" t="str">
        <f>"str_"&amp;CONTROL[[#This Row],[VEHIDCODE]]</f>
        <v>str_steam_Egypt_ENR_1100</v>
      </c>
    </row>
    <row r="128" spans="1:17">
      <c r="A128" s="2" t="s">
        <v>152</v>
      </c>
      <c r="B128" s="32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s">
        <v>1168</v>
      </c>
      <c r="G128" t="s">
        <v>2466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s="32" t="str">
        <f>"item_"&amp;CONTROL[[#This Row],[VEHIDCODE]]</f>
        <v>item_steam_UK_GWR_1600_Class</v>
      </c>
      <c r="Q128" s="32" t="str">
        <f>"str_"&amp;CONTROL[[#This Row],[VEHIDCODE]]</f>
        <v>str_steam_UK_GWR_1600_Class</v>
      </c>
    </row>
    <row r="129" spans="1:17">
      <c r="A129" s="2" t="s">
        <v>153</v>
      </c>
      <c r="B129" s="32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s">
        <v>1169</v>
      </c>
      <c r="G129" t="s">
        <v>2467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s="32" t="str">
        <f>"item_"&amp;CONTROL[[#This Row],[VEHIDCODE]]</f>
        <v>item_steam_Australia_Victorian_Railways_R_Class</v>
      </c>
      <c r="Q129" s="32" t="str">
        <f>"str_"&amp;CONTROL[[#This Row],[VEHIDCODE]]</f>
        <v>str_steam_Australia_Victorian_Railways_R_Class</v>
      </c>
    </row>
    <row r="130" spans="1:17">
      <c r="A130" s="2" t="s">
        <v>154</v>
      </c>
      <c r="B130" s="32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s">
        <v>1170</v>
      </c>
      <c r="G130" t="s">
        <v>2468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s="32" t="str">
        <f>"item_"&amp;CONTROL[[#This Row],[VEHIDCODE]]</f>
        <v>item_steam_Germany_DB_9977_79</v>
      </c>
      <c r="Q130" s="32" t="str">
        <f>"str_"&amp;CONTROL[[#This Row],[VEHIDCODE]]</f>
        <v>str_steam_Germany_DB_9977_79</v>
      </c>
    </row>
    <row r="131" spans="1:17">
      <c r="A131" s="2" t="s">
        <v>155</v>
      </c>
      <c r="B131" s="32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s">
        <v>1171</v>
      </c>
      <c r="G131" t="s">
        <v>2469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s="32" t="str">
        <f>"item_"&amp;CONTROL[[#This Row],[VEHIDCODE]]</f>
        <v>item_steam_Germany_DB_18_201</v>
      </c>
      <c r="Q131" s="32" t="str">
        <f>"str_"&amp;CONTROL[[#This Row],[VEHIDCODE]]</f>
        <v>str_steam_Germany_DB_18_201</v>
      </c>
    </row>
    <row r="132" spans="1:17">
      <c r="A132" s="2" t="s">
        <v>156</v>
      </c>
      <c r="B132" s="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s">
        <v>1172</v>
      </c>
      <c r="G132" t="s">
        <v>2470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s="32" t="str">
        <f>"item_"&amp;CONTROL[[#This Row],[VEHIDCODE]]</f>
        <v>item_steam_New_Zealand_NZR_WAB</v>
      </c>
      <c r="Q132" s="32" t="str">
        <f>"str_"&amp;CONTROL[[#This Row],[VEHIDCODE]]</f>
        <v>str_steam_New_Zealand_NZR_WAB</v>
      </c>
    </row>
    <row r="133" spans="1:17">
      <c r="A133" s="2" t="s">
        <v>157</v>
      </c>
      <c r="B133" s="32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s">
        <v>1173</v>
      </c>
      <c r="G133" t="s">
        <v>2471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s="32" t="str">
        <f>"item_"&amp;CONTROL[[#This Row],[VEHIDCODE]]</f>
        <v>item_steam_Australia_NSWGR_D57</v>
      </c>
      <c r="Q133" s="32" t="str">
        <f>"str_"&amp;CONTROL[[#This Row],[VEHIDCODE]]</f>
        <v>str_steam_Australia_NSWGR_D57</v>
      </c>
    </row>
    <row r="134" spans="1:17">
      <c r="A134" s="2" t="s">
        <v>158</v>
      </c>
      <c r="B134" s="32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s">
        <v>1174</v>
      </c>
      <c r="G134" t="s">
        <v>2472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s="32" t="str">
        <f>"item_"&amp;CONTROL[[#This Row],[VEHIDCODE]]</f>
        <v>item_steam_Australia_South_Australian_Railways_520</v>
      </c>
      <c r="Q134" s="32" t="str">
        <f>"str_"&amp;CONTROL[[#This Row],[VEHIDCODE]]</f>
        <v>str_steam_Australia_South_Australian_Railways_520</v>
      </c>
    </row>
    <row r="135" spans="1:17">
      <c r="A135" s="2" t="s">
        <v>159</v>
      </c>
      <c r="B135" s="32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s">
        <v>1175</v>
      </c>
      <c r="G135" t="s">
        <v>2473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s="32" t="str">
        <f>"item_"&amp;CONTROL[[#This Row],[VEHIDCODE]]</f>
        <v>item_steam_Australia_NSWGR_AD60</v>
      </c>
      <c r="Q135" s="32" t="str">
        <f>"str_"&amp;CONTROL[[#This Row],[VEHIDCODE]]</f>
        <v>str_steam_Australia_NSWGR_AD60</v>
      </c>
    </row>
    <row r="136" spans="1:17">
      <c r="A136" s="2" t="s">
        <v>160</v>
      </c>
      <c r="B136" s="32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s">
        <v>1176</v>
      </c>
      <c r="G136" t="s">
        <v>2474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s="32" t="str">
        <f>"item_"&amp;CONTROL[[#This Row],[VEHIDCODE]]</f>
        <v>item_steam_Uruguay_AFE_N1_2_6_0</v>
      </c>
      <c r="Q136" s="32" t="str">
        <f>"str_"&amp;CONTROL[[#This Row],[VEHIDCODE]]</f>
        <v>str_steam_Uruguay_AFE_N1_2_6_0</v>
      </c>
    </row>
    <row r="137" spans="1:17">
      <c r="A137" s="2" t="s">
        <v>161</v>
      </c>
      <c r="B137" s="32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s">
        <v>1177</v>
      </c>
      <c r="G137" t="s">
        <v>2476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s="32" t="str">
        <f>"item_"&amp;CONTROL[[#This Row],[VEHIDCODE]]</f>
        <v>item_steam_Argentina_FCCA_PS11</v>
      </c>
      <c r="Q137" s="32" t="str">
        <f>"str_"&amp;CONTROL[[#This Row],[VEHIDCODE]]</f>
        <v>str_steam_Argentina_FCCA_PS11</v>
      </c>
    </row>
    <row r="138" spans="1:17">
      <c r="A138" s="2" t="s">
        <v>162</v>
      </c>
      <c r="B138" s="32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s">
        <v>2477</v>
      </c>
      <c r="G138" t="s">
        <v>2478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s="32" t="str">
        <f>"item_"&amp;CONTROL[[#This Row],[VEHIDCODE]]</f>
        <v>item_steam_South_Africa_Harbour_Board_EL_0_4_0</v>
      </c>
      <c r="Q138" s="32" t="str">
        <f>"str_"&amp;CONTROL[[#This Row],[VEHIDCODE]]</f>
        <v>str_steam_South_Africa_Harbour_Board_EL_0_4_0</v>
      </c>
    </row>
    <row r="139" spans="1:17">
      <c r="A139" s="2" t="s">
        <v>163</v>
      </c>
      <c r="B139" s="32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s">
        <v>1178</v>
      </c>
      <c r="G139" t="s">
        <v>2479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s="32" t="str">
        <f>"item_"&amp;CONTROL[[#This Row],[VEHIDCODE]]</f>
        <v>item_steam_Mozambique_Beira_Railway_BR6_F2_Falcon</v>
      </c>
      <c r="Q139" s="32" t="str">
        <f>"str_"&amp;CONTROL[[#This Row],[VEHIDCODE]]</f>
        <v>str_steam_Mozambique_Beira_Railway_BR6_F2_Falcon</v>
      </c>
    </row>
    <row r="140" spans="1:17">
      <c r="A140" s="2" t="s">
        <v>164</v>
      </c>
      <c r="B140" s="32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s">
        <v>1179</v>
      </c>
      <c r="G140" t="s">
        <v>2480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s="32" t="str">
        <f>"item_"&amp;CONTROL[[#This Row],[VEHIDCODE]]</f>
        <v>item_steam_Eritrea_Eritrean_Railway_R440</v>
      </c>
      <c r="Q140" s="32" t="str">
        <f>"str_"&amp;CONTROL[[#This Row],[VEHIDCODE]]</f>
        <v>str_steam_Eritrea_Eritrean_Railway_R440</v>
      </c>
    </row>
    <row r="141" spans="1:17">
      <c r="A141" s="2" t="s">
        <v>165</v>
      </c>
      <c r="B141" s="32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s">
        <v>1180</v>
      </c>
      <c r="G141" t="s">
        <v>2481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s="32" t="str">
        <f>"item_"&amp;CONTROL[[#This Row],[VEHIDCODE]]</f>
        <v>item_steam_Kenya_East_African_Railway_23</v>
      </c>
      <c r="Q141" s="32" t="str">
        <f>"str_"&amp;CONTROL[[#This Row],[VEHIDCODE]]</f>
        <v>str_steam_Kenya_East_African_Railway_23</v>
      </c>
    </row>
    <row r="142" spans="1:17">
      <c r="A142" s="2" t="s">
        <v>166</v>
      </c>
      <c r="B142" s="3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s">
        <v>1181</v>
      </c>
      <c r="G142" t="s">
        <v>2482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s="32" t="str">
        <f>"item_"&amp;CONTROL[[#This Row],[VEHIDCODE]]</f>
        <v>item_steam_Kenya_East_African_Railway_21</v>
      </c>
      <c r="Q142" s="32" t="str">
        <f>"str_"&amp;CONTROL[[#This Row],[VEHIDCODE]]</f>
        <v>str_steam_Kenya_East_African_Railway_21</v>
      </c>
    </row>
    <row r="143" spans="1:17">
      <c r="A143" s="2" t="s">
        <v>167</v>
      </c>
      <c r="B143" s="32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s">
        <v>1182</v>
      </c>
      <c r="G143" t="s">
        <v>2483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s="32" t="str">
        <f>"item_"&amp;CONTROL[[#This Row],[VEHIDCODE]]</f>
        <v>item_steam_Zimbabwe_Zimbabwe_Railways_15</v>
      </c>
      <c r="Q143" s="32" t="str">
        <f>"str_"&amp;CONTROL[[#This Row],[VEHIDCODE]]</f>
        <v>str_steam_Zimbabwe_Zimbabwe_Railways_15</v>
      </c>
    </row>
    <row r="144" spans="1:17">
      <c r="A144" s="2" t="s">
        <v>168</v>
      </c>
      <c r="B144" s="32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s">
        <v>1183</v>
      </c>
      <c r="G144" t="s">
        <v>2484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s="32" t="str">
        <f>"item_"&amp;CONTROL[[#This Row],[VEHIDCODE]]</f>
        <v>item_steam_South_Africa_SAR_GMA_4_8_2_2_8_4</v>
      </c>
      <c r="Q144" s="32" t="str">
        <f>"str_"&amp;CONTROL[[#This Row],[VEHIDCODE]]</f>
        <v>str_steam_South_Africa_SAR_GMA_4_8_2_2_8_4</v>
      </c>
    </row>
    <row r="145" spans="1:17">
      <c r="A145" s="2" t="s">
        <v>169</v>
      </c>
      <c r="B145" s="32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s">
        <v>1184</v>
      </c>
      <c r="G145" t="s">
        <v>2485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s="32" t="str">
        <f>"item_"&amp;CONTROL[[#This Row],[VEHIDCODE]]</f>
        <v>item_steam_Kenya_East_African_Railway_31</v>
      </c>
      <c r="Q145" s="32" t="str">
        <f>"str_"&amp;CONTROL[[#This Row],[VEHIDCODE]]</f>
        <v>str_steam_Kenya_East_African_Railway_31</v>
      </c>
    </row>
    <row r="146" spans="1:17">
      <c r="A146" s="2" t="s">
        <v>170</v>
      </c>
      <c r="B146" s="32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s">
        <v>1185</v>
      </c>
      <c r="G146" t="s">
        <v>2486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s="32" t="str">
        <f>"item_"&amp;CONTROL[[#This Row],[VEHIDCODE]]</f>
        <v>item_steam_India_Fairy_Queen</v>
      </c>
      <c r="Q146" s="32" t="str">
        <f>"str_"&amp;CONTROL[[#This Row],[VEHIDCODE]]</f>
        <v>str_steam_India_Fairy_Queen</v>
      </c>
    </row>
    <row r="147" spans="1:17">
      <c r="A147" s="2" t="s">
        <v>171</v>
      </c>
      <c r="B147" s="32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s">
        <v>1186</v>
      </c>
      <c r="G147" t="s">
        <v>2487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s="32" t="str">
        <f>"item_"&amp;CONTROL[[#This Row],[VEHIDCODE]]</f>
        <v>item_steam_India_DHR_B</v>
      </c>
      <c r="Q147" s="32" t="str">
        <f>"str_"&amp;CONTROL[[#This Row],[VEHIDCODE]]</f>
        <v>str_steam_India_DHR_B</v>
      </c>
    </row>
    <row r="148" spans="1:17">
      <c r="A148" s="2" t="s">
        <v>172</v>
      </c>
      <c r="B148" s="32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s">
        <v>1794</v>
      </c>
      <c r="G148" t="s">
        <v>2488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s="32" t="str">
        <f>"item_"&amp;CONTROL[[#This Row],[VEHIDCODE]]</f>
        <v>item_steam_China_China_Railways_H</v>
      </c>
      <c r="Q148" s="32" t="str">
        <f>"str_"&amp;CONTROL[[#This Row],[VEHIDCODE]]</f>
        <v>str_steam_China_China_Railways_H</v>
      </c>
    </row>
    <row r="149" spans="1:17">
      <c r="A149" s="2" t="s">
        <v>173</v>
      </c>
      <c r="B149" s="32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s">
        <v>1187</v>
      </c>
      <c r="G149" t="s">
        <v>2490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s="32" t="str">
        <f>"item_"&amp;CONTROL[[#This Row],[VEHIDCODE]]</f>
        <v>item_steam_Russia_RZD_U</v>
      </c>
      <c r="Q149" s="32" t="str">
        <f>"str_"&amp;CONTROL[[#This Row],[VEHIDCODE]]</f>
        <v>str_steam_Russia_RZD_U</v>
      </c>
    </row>
    <row r="150" spans="1:17">
      <c r="A150" s="2" t="s">
        <v>174</v>
      </c>
      <c r="B150" s="32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s">
        <v>1188</v>
      </c>
      <c r="G150" t="s">
        <v>2489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s="32" t="str">
        <f>"item_"&amp;CONTROL[[#This Row],[VEHIDCODE]]</f>
        <v>item_steam_Russia_RZD_E</v>
      </c>
      <c r="Q150" s="32" t="str">
        <f>"str_"&amp;CONTROL[[#This Row],[VEHIDCODE]]</f>
        <v>str_steam_Russia_RZD_E</v>
      </c>
    </row>
    <row r="151" spans="1:17">
      <c r="A151" s="2" t="s">
        <v>175</v>
      </c>
      <c r="B151" s="32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s">
        <v>2492</v>
      </c>
      <c r="G151" t="s">
        <v>2491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s="32" t="str">
        <f>"item_"&amp;CONTROL[[#This Row],[VEHIDCODE]]</f>
        <v>item_steam_Israel_Israel_Railways_H</v>
      </c>
      <c r="Q151" s="32" t="str">
        <f>"str_"&amp;CONTROL[[#This Row],[VEHIDCODE]]</f>
        <v>str_steam_Israel_Israel_Railways_H</v>
      </c>
    </row>
    <row r="152" spans="1:17">
      <c r="A152" s="2" t="s">
        <v>176</v>
      </c>
      <c r="B152" s="3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s">
        <v>1189</v>
      </c>
      <c r="G152" t="s">
        <v>2493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s="32" t="str">
        <f>"item_"&amp;CONTROL[[#This Row],[VEHIDCODE]]</f>
        <v>item_steam_Italy_FS_480</v>
      </c>
      <c r="Q152" s="32" t="str">
        <f>"str_"&amp;CONTROL[[#This Row],[VEHIDCODE]]</f>
        <v>str_steam_Italy_FS_480</v>
      </c>
    </row>
    <row r="153" spans="1:17">
      <c r="A153" s="2" t="s">
        <v>177</v>
      </c>
      <c r="B153" s="32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s">
        <v>1190</v>
      </c>
      <c r="G153" t="s">
        <v>2494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s="32" t="str">
        <f>"item_"&amp;CONTROL[[#This Row],[VEHIDCODE]]</f>
        <v>item_steam_Italy_FS_691</v>
      </c>
      <c r="Q153" s="32" t="str">
        <f>"str_"&amp;CONTROL[[#This Row],[VEHIDCODE]]</f>
        <v>str_steam_Italy_FS_691</v>
      </c>
    </row>
    <row r="154" spans="1:17">
      <c r="A154" s="2" t="s">
        <v>178</v>
      </c>
      <c r="B154" s="32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s">
        <v>1191</v>
      </c>
      <c r="G154" t="s">
        <v>2495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s="32" t="str">
        <f>"item_"&amp;CONTROL[[#This Row],[VEHIDCODE]]</f>
        <v>item_steam_Greece_SEK_Lb</v>
      </c>
      <c r="Q154" s="32" t="str">
        <f>"str_"&amp;CONTROL[[#This Row],[VEHIDCODE]]</f>
        <v>str_steam_Greece_SEK_Lb</v>
      </c>
    </row>
    <row r="155" spans="1:17">
      <c r="A155" s="2" t="s">
        <v>179</v>
      </c>
      <c r="B155" s="32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s">
        <v>1192</v>
      </c>
      <c r="G155" t="s">
        <v>2496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s="32" t="str">
        <f>"item_"&amp;CONTROL[[#This Row],[VEHIDCODE]]</f>
        <v>item_steam_Albania_HSH_01</v>
      </c>
      <c r="Q155" s="32" t="str">
        <f>"str_"&amp;CONTROL[[#This Row],[VEHIDCODE]]</f>
        <v>str_steam_Albania_HSH_01</v>
      </c>
    </row>
    <row r="156" spans="1:17">
      <c r="A156" s="2" t="s">
        <v>180</v>
      </c>
      <c r="B156" s="32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s">
        <v>1193</v>
      </c>
      <c r="G156" t="s">
        <v>2497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s="32" t="str">
        <f>"item_"&amp;CONTROL[[#This Row],[VEHIDCODE]]</f>
        <v>item_steam_Spain_RENFE_242F</v>
      </c>
      <c r="Q156" s="32" t="str">
        <f>"str_"&amp;CONTROL[[#This Row],[VEHIDCODE]]</f>
        <v>str_steam_Spain_RENFE_242F</v>
      </c>
    </row>
    <row r="157" spans="1:17">
      <c r="A157" s="2" t="s">
        <v>181</v>
      </c>
      <c r="B157" s="32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s">
        <v>2828</v>
      </c>
      <c r="G157" t="s">
        <v>2498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s="32" t="str">
        <f>"item_"&amp;CONTROL[[#This Row],[VEHIDCODE]]</f>
        <v>item_steam_Czech_Republic_CD_5341</v>
      </c>
      <c r="Q157" s="32" t="str">
        <f>"str_"&amp;CONTROL[[#This Row],[VEHIDCODE]]</f>
        <v>str_steam_Czech_Republic_CD_5341</v>
      </c>
    </row>
    <row r="158" spans="1:17">
      <c r="A158" s="2" t="s">
        <v>182</v>
      </c>
      <c r="B158" s="32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s">
        <v>1194</v>
      </c>
      <c r="G158" t="s">
        <v>2499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s="32" t="str">
        <f>"item_"&amp;CONTROL[[#This Row],[VEHIDCODE]]</f>
        <v>item_steam_Poland_PKP_Ok22</v>
      </c>
      <c r="Q158" s="32" t="str">
        <f>"str_"&amp;CONTROL[[#This Row],[VEHIDCODE]]</f>
        <v>str_steam_Poland_PKP_Ok22</v>
      </c>
    </row>
    <row r="159" spans="1:17">
      <c r="A159" s="2" t="s">
        <v>183</v>
      </c>
      <c r="B159" s="32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s">
        <v>2543</v>
      </c>
      <c r="G159" t="s">
        <v>2500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s="32" t="str">
        <f>"item_"&amp;CONTROL[[#This Row],[VEHIDCODE]]</f>
        <v>item_steam_Croatia_HZ_11</v>
      </c>
      <c r="Q159" s="32" t="str">
        <f>"str_"&amp;CONTROL[[#This Row],[VEHIDCODE]]</f>
        <v>str_steam_Croatia_HZ_11</v>
      </c>
    </row>
    <row r="160" spans="1:17">
      <c r="A160" s="2" t="s">
        <v>184</v>
      </c>
      <c r="B160" s="32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s">
        <v>2544</v>
      </c>
      <c r="G160" t="s">
        <v>2501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s="32" t="str">
        <f>"item_"&amp;CONTROL[[#This Row],[VEHIDCODE]]</f>
        <v>item_steam_Hungary_MAV_242</v>
      </c>
      <c r="Q160" s="32" t="str">
        <f>"str_"&amp;CONTROL[[#This Row],[VEHIDCODE]]</f>
        <v>str_steam_Hungary_MAV_242</v>
      </c>
    </row>
    <row r="161" spans="1:17">
      <c r="A161" s="2" t="s">
        <v>185</v>
      </c>
      <c r="B161" s="32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s">
        <v>2829</v>
      </c>
      <c r="G161" t="s">
        <v>1786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s="32" t="str">
        <f>"item_"&amp;CONTROL[[#This Row],[VEHIDCODE]]</f>
        <v>item_steam_Czech_Republic_CD_4590</v>
      </c>
      <c r="Q161" s="32" t="str">
        <f>"str_"&amp;CONTROL[[#This Row],[VEHIDCODE]]</f>
        <v>str_steam_Czech_Republic_CD_4590</v>
      </c>
    </row>
    <row r="162" spans="1:17">
      <c r="A162" s="2" t="s">
        <v>186</v>
      </c>
      <c r="B162" s="3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s">
        <v>1195</v>
      </c>
      <c r="G162" t="s">
        <v>2502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s="32" t="str">
        <f>"item_"&amp;CONTROL[[#This Row],[VEHIDCODE]]</f>
        <v>item_steam_Poland_PKP_OI49</v>
      </c>
      <c r="Q162" s="32" t="str">
        <f>"str_"&amp;CONTROL[[#This Row],[VEHIDCODE]]</f>
        <v>str_steam_Poland_PKP_OI49</v>
      </c>
    </row>
    <row r="163" spans="1:17">
      <c r="A163" s="2" t="s">
        <v>187</v>
      </c>
      <c r="B163" s="32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s">
        <v>1196</v>
      </c>
      <c r="G163" t="s">
        <v>2503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s="32" t="str">
        <f>"item_"&amp;CONTROL[[#This Row],[VEHIDCODE]]</f>
        <v>item_steam_Austria_KKStB_310</v>
      </c>
      <c r="Q163" s="32" t="str">
        <f>"str_"&amp;CONTROL[[#This Row],[VEHIDCODE]]</f>
        <v>str_steam_Austria_KKStB_310</v>
      </c>
    </row>
    <row r="164" spans="1:17">
      <c r="A164" s="2" t="s">
        <v>188</v>
      </c>
      <c r="B164" s="32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s">
        <v>1197</v>
      </c>
      <c r="G164" t="s">
        <v>2504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s="32" t="str">
        <f>"item_"&amp;CONTROL[[#This Row],[VEHIDCODE]]</f>
        <v>item_steam_USA_Southern_Pacific_GS_4_Daylight</v>
      </c>
      <c r="Q164" s="32" t="str">
        <f>"str_"&amp;CONTROL[[#This Row],[VEHIDCODE]]</f>
        <v>str_steam_USA_Southern_Pacific_GS_4_Daylight</v>
      </c>
    </row>
    <row r="165" spans="1:17">
      <c r="A165" s="2" t="s">
        <v>189</v>
      </c>
      <c r="B165" s="32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s">
        <v>1198</v>
      </c>
      <c r="G165" t="s">
        <v>2505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s="32" t="str">
        <f>"item_"&amp;CONTROL[[#This Row],[VEHIDCODE]]</f>
        <v>item_steam_Ireland_GS_WR_101</v>
      </c>
      <c r="Q165" s="32" t="str">
        <f>"str_"&amp;CONTROL[[#This Row],[VEHIDCODE]]</f>
        <v>str_steam_Ireland_GS_WR_101</v>
      </c>
    </row>
    <row r="166" spans="1:17">
      <c r="A166" s="2" t="s">
        <v>190</v>
      </c>
      <c r="B166" s="32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s">
        <v>1199</v>
      </c>
      <c r="G166" t="s">
        <v>2506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s="32" t="str">
        <f>"item_"&amp;CONTROL[[#This Row],[VEHIDCODE]]</f>
        <v>item_steam_USA_NYC_H_6A_Light_Mikado</v>
      </c>
      <c r="Q166" s="32" t="str">
        <f>"str_"&amp;CONTROL[[#This Row],[VEHIDCODE]]</f>
        <v>str_steam_USA_NYC_H_6A_Light_Mikado</v>
      </c>
    </row>
    <row r="167" spans="1:17">
      <c r="A167" s="2" t="s">
        <v>191</v>
      </c>
      <c r="B167" s="32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s">
        <v>1200</v>
      </c>
      <c r="G167" t="s">
        <v>2507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s="32" t="str">
        <f>"item_"&amp;CONTROL[[#This Row],[VEHIDCODE]]</f>
        <v>item_steam_Argentina_FCGR_315</v>
      </c>
      <c r="Q167" s="32" t="str">
        <f>"str_"&amp;CONTROL[[#This Row],[VEHIDCODE]]</f>
        <v>str_steam_Argentina_FCGR_315</v>
      </c>
    </row>
    <row r="168" spans="1:17">
      <c r="A168" s="2" t="s">
        <v>192</v>
      </c>
      <c r="B168" s="32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s">
        <v>1201</v>
      </c>
      <c r="G168" t="s">
        <v>2508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s="32" t="str">
        <f>"item_"&amp;CONTROL[[#This Row],[VEHIDCODE]]</f>
        <v>item_steam_Australia_NSWGR_C35</v>
      </c>
      <c r="Q168" s="32" t="str">
        <f>"str_"&amp;CONTROL[[#This Row],[VEHIDCODE]]</f>
        <v>str_steam_Australia_NSWGR_C35</v>
      </c>
    </row>
    <row r="169" spans="1:17">
      <c r="A169" s="2" t="s">
        <v>193</v>
      </c>
      <c r="B169" s="32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s">
        <v>1202</v>
      </c>
      <c r="G169" t="s">
        <v>2509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s="32" t="str">
        <f>"item_"&amp;CONTROL[[#This Row],[VEHIDCODE]]</f>
        <v>item_steam_Belgium_NMBS_SNCB_Type_29</v>
      </c>
      <c r="Q169" s="32" t="str">
        <f>"str_"&amp;CONTROL[[#This Row],[VEHIDCODE]]</f>
        <v>str_steam_Belgium_NMBS_SNCB_Type_29</v>
      </c>
    </row>
    <row r="170" spans="1:17">
      <c r="A170" s="2" t="s">
        <v>194</v>
      </c>
      <c r="B170" s="32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s">
        <v>2510</v>
      </c>
      <c r="G170" t="s">
        <v>2511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s="32" t="str">
        <f>"item_"&amp;CONTROL[[#This Row],[VEHIDCODE]]</f>
        <v>item_steam_Chile_FCAB_4_8_2</v>
      </c>
      <c r="Q170" s="32" t="str">
        <f>"str_"&amp;CONTROL[[#This Row],[VEHIDCODE]]</f>
        <v>str_steam_Chile_FCAB_4_8_2</v>
      </c>
    </row>
    <row r="171" spans="1:17">
      <c r="A171" s="2" t="s">
        <v>195</v>
      </c>
      <c r="B171" s="32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s">
        <v>1203</v>
      </c>
      <c r="G171" t="s">
        <v>2512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s="32" t="str">
        <f>"item_"&amp;CONTROL[[#This Row],[VEHIDCODE]]</f>
        <v>item_steam_China_Railways_QJ</v>
      </c>
      <c r="Q171" s="32" t="str">
        <f>"str_"&amp;CONTROL[[#This Row],[VEHIDCODE]]</f>
        <v>str_steam_China_Railways_QJ</v>
      </c>
    </row>
    <row r="172" spans="1:17">
      <c r="A172" s="2" t="s">
        <v>196</v>
      </c>
      <c r="B172" s="3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s">
        <v>1204</v>
      </c>
      <c r="G172" t="s">
        <v>2513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s="32" t="str">
        <f>"item_"&amp;CONTROL[[#This Row],[VEHIDCODE]]</f>
        <v>item_diesel_Germany_DB_Kof_II</v>
      </c>
      <c r="Q172" s="32" t="str">
        <f>"str_"&amp;CONTROL[[#This Row],[VEHIDCODE]]</f>
        <v>str_diesel_Germany_DB_Kof_II</v>
      </c>
    </row>
    <row r="173" spans="1:17">
      <c r="A173" s="2" t="s">
        <v>197</v>
      </c>
      <c r="B173" s="32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s">
        <v>2514</v>
      </c>
      <c r="G173" t="s">
        <v>2516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s="32" t="str">
        <f>"item_"&amp;CONTROL[[#This Row],[VEHIDCODE]]</f>
        <v>item_diesel_USA_CNJ_ALCo_GE_IR_Boxcab</v>
      </c>
      <c r="Q173" s="32" t="str">
        <f>"str_"&amp;CONTROL[[#This Row],[VEHIDCODE]]</f>
        <v>str_diesel_USA_CNJ_ALCo_GE_IR_Boxcab</v>
      </c>
    </row>
    <row r="174" spans="1:17">
      <c r="A174" s="2" t="s">
        <v>198</v>
      </c>
      <c r="B174" s="32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s">
        <v>1205</v>
      </c>
      <c r="G174" t="s">
        <v>2515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s="32" t="str">
        <f>"item_"&amp;CONTROL[[#This Row],[VEHIDCODE]]</f>
        <v>item_diesel_Netherlands_NS_200</v>
      </c>
      <c r="Q174" s="32" t="str">
        <f>"str_"&amp;CONTROL[[#This Row],[VEHIDCODE]]</f>
        <v>str_diesel_Netherlands_NS_200</v>
      </c>
    </row>
    <row r="175" spans="1:17">
      <c r="A175" s="2" t="s">
        <v>199</v>
      </c>
      <c r="B175" s="32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s">
        <v>1206</v>
      </c>
      <c r="G175" t="s">
        <v>2517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s="32" t="str">
        <f>"item_"&amp;CONTROL[[#This Row],[VEHIDCODE]]</f>
        <v>item_diesel_Germany_DB_270</v>
      </c>
      <c r="Q175" s="32" t="str">
        <f>"str_"&amp;CONTROL[[#This Row],[VEHIDCODE]]</f>
        <v>str_diesel_Germany_DB_270</v>
      </c>
    </row>
    <row r="176" spans="1:17">
      <c r="A176" s="2" t="s">
        <v>200</v>
      </c>
      <c r="B176" s="32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s">
        <v>1207</v>
      </c>
      <c r="G176" t="s">
        <v>2518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s="32" t="str">
        <f>"item_"&amp;CONTROL[[#This Row],[VEHIDCODE]]</f>
        <v>item_diesel_Switzerland_SBB_Am_4_6</v>
      </c>
      <c r="Q176" s="32" t="str">
        <f>"str_"&amp;CONTROL[[#This Row],[VEHIDCODE]]</f>
        <v>str_diesel_Switzerland_SBB_Am_4_6</v>
      </c>
    </row>
    <row r="177" spans="1:17">
      <c r="A177" s="2" t="s">
        <v>201</v>
      </c>
      <c r="B177" s="32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s">
        <v>1208</v>
      </c>
      <c r="G177" t="s">
        <v>2519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s="32" t="str">
        <f>"item_"&amp;CONTROL[[#This Row],[VEHIDCODE]]</f>
        <v>item_diesel_Australia_NSWGR_79</v>
      </c>
      <c r="Q177" s="32" t="str">
        <f>"str_"&amp;CONTROL[[#This Row],[VEHIDCODE]]</f>
        <v>str_diesel_Australia_NSWGR_79</v>
      </c>
    </row>
    <row r="178" spans="1:17">
      <c r="A178" s="2" t="s">
        <v>202</v>
      </c>
      <c r="B178" s="32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s">
        <v>1209</v>
      </c>
      <c r="G178" t="s">
        <v>2521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s="32" t="str">
        <f>"item_"&amp;CONTROL[[#This Row],[VEHIDCODE]]</f>
        <v>item_diesel_USA_Western_Pacific_ALCO_S_2</v>
      </c>
      <c r="Q178" s="32" t="str">
        <f>"str_"&amp;CONTROL[[#This Row],[VEHIDCODE]]</f>
        <v>str_diesel_USA_Western_Pacific_ALCO_S_2</v>
      </c>
    </row>
    <row r="179" spans="1:17">
      <c r="A179" s="2" t="s">
        <v>203</v>
      </c>
      <c r="B179" s="32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s">
        <v>1210</v>
      </c>
      <c r="G179" t="s">
        <v>2520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s="32" t="str">
        <f>"item_"&amp;CONTROL[[#This Row],[VEHIDCODE]]</f>
        <v>item_diesel_USA_AT_SF_EMD_F3</v>
      </c>
      <c r="Q179" s="32" t="str">
        <f>"str_"&amp;CONTROL[[#This Row],[VEHIDCODE]]</f>
        <v>str_diesel_USA_AT_SF_EMD_F3</v>
      </c>
    </row>
    <row r="180" spans="1:17">
      <c r="A180" s="2" t="s">
        <v>204</v>
      </c>
      <c r="B180" s="32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s">
        <v>1211</v>
      </c>
      <c r="G180" t="s">
        <v>2523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s="32" t="str">
        <f>"item_"&amp;CONTROL[[#This Row],[VEHIDCODE]]</f>
        <v>item_diesel_USA_UP_EMD_E8</v>
      </c>
      <c r="Q180" s="32" t="str">
        <f>"str_"&amp;CONTROL[[#This Row],[VEHIDCODE]]</f>
        <v>str_diesel_USA_UP_EMD_E8</v>
      </c>
    </row>
    <row r="181" spans="1:17">
      <c r="A181" s="2" t="s">
        <v>205</v>
      </c>
      <c r="B181" s="32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s">
        <v>1212</v>
      </c>
      <c r="G181" t="s">
        <v>2525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s="32" t="str">
        <f>"item_"&amp;CONTROL[[#This Row],[VEHIDCODE]]</f>
        <v>item_diesel_Brazil_EFCB_ALCO_RS_3</v>
      </c>
      <c r="Q181" s="32" t="str">
        <f>"str_"&amp;CONTROL[[#This Row],[VEHIDCODE]]</f>
        <v>str_diesel_Brazil_EFCB_ALCO_RS_3</v>
      </c>
    </row>
    <row r="182" spans="1:17">
      <c r="A182" s="2" t="s">
        <v>206</v>
      </c>
      <c r="B182" s="3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s">
        <v>1213</v>
      </c>
      <c r="G182" t="s">
        <v>2526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s="32" t="str">
        <f>"item_"&amp;CONTROL[[#This Row],[VEHIDCODE]]</f>
        <v>item_diesel_Netherlands_NS_600</v>
      </c>
      <c r="Q182" s="32" t="str">
        <f>"str_"&amp;CONTROL[[#This Row],[VEHIDCODE]]</f>
        <v>str_diesel_Netherlands_NS_600</v>
      </c>
    </row>
    <row r="183" spans="1:17">
      <c r="A183" s="2" t="s">
        <v>207</v>
      </c>
      <c r="B183" s="32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s">
        <v>1214</v>
      </c>
      <c r="G183" t="s">
        <v>2527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s="32" t="str">
        <f>"item_"&amp;CONTROL[[#This Row],[VEHIDCODE]]</f>
        <v>item_diesel_USA_Pennsylvania_Railroad_RF_16_Sharknose</v>
      </c>
      <c r="Q183" s="32" t="str">
        <f>"str_"&amp;CONTROL[[#This Row],[VEHIDCODE]]</f>
        <v>str_diesel_USA_Pennsylvania_Railroad_RF_16_Sharknose</v>
      </c>
    </row>
    <row r="184" spans="1:17">
      <c r="A184" s="2" t="s">
        <v>208</v>
      </c>
      <c r="B184" s="32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s">
        <v>1215</v>
      </c>
      <c r="G184" t="s">
        <v>2474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s="32" t="str">
        <f>"item_"&amp;CONTROL[[#This Row],[VEHIDCODE]]</f>
        <v>item_diesel_Uruguay_AFE_1500</v>
      </c>
      <c r="Q184" s="32" t="str">
        <f>"str_"&amp;CONTROL[[#This Row],[VEHIDCODE]]</f>
        <v>str_diesel_Uruguay_AFE_1500</v>
      </c>
    </row>
    <row r="185" spans="1:17">
      <c r="A185" s="2" t="s">
        <v>209</v>
      </c>
      <c r="B185" s="32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s">
        <v>2528</v>
      </c>
      <c r="G185" t="s">
        <v>2529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s="32" t="str">
        <f>"item_"&amp;CONTROL[[#This Row],[VEHIDCODE]]</f>
        <v>item_diesel_Canada_CPR_Trainmaster</v>
      </c>
      <c r="Q185" s="32" t="str">
        <f>"str_"&amp;CONTROL[[#This Row],[VEHIDCODE]]</f>
        <v>str_diesel_Canada_CPR_Trainmaster</v>
      </c>
    </row>
    <row r="186" spans="1:17">
      <c r="A186" s="2" t="s">
        <v>210</v>
      </c>
      <c r="B186" s="32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s">
        <v>2530</v>
      </c>
      <c r="G186" t="s">
        <v>2531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s="32" t="str">
        <f>"item_"&amp;CONTROL[[#This Row],[VEHIDCODE]]</f>
        <v>item_diesel_Liberia_Liberia_Railways_Class_08</v>
      </c>
      <c r="Q186" s="32" t="str">
        <f>"str_"&amp;CONTROL[[#This Row],[VEHIDCODE]]</f>
        <v>str_diesel_Liberia_Liberia_Railways_Class_08</v>
      </c>
    </row>
    <row r="187" spans="1:17">
      <c r="A187" s="2" t="s">
        <v>211</v>
      </c>
      <c r="B187" s="32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s">
        <v>2535</v>
      </c>
      <c r="G187" t="s">
        <v>2549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s="32" t="str">
        <f>"item_"&amp;CONTROL[[#This Row],[VEHIDCODE]]</f>
        <v>item_diesel_Austria_OBB_2060</v>
      </c>
      <c r="Q187" s="32" t="str">
        <f>"str_"&amp;CONTROL[[#This Row],[VEHIDCODE]]</f>
        <v>str_diesel_Austria_OBB_2060</v>
      </c>
    </row>
    <row r="188" spans="1:17">
      <c r="A188" s="2" t="s">
        <v>212</v>
      </c>
      <c r="B188" s="32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s">
        <v>1216</v>
      </c>
      <c r="G188" t="s">
        <v>2550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s="32" t="str">
        <f>"item_"&amp;CONTROL[[#This Row],[VEHIDCODE]]</f>
        <v>item_diesel_Canada_CNR_SW1200</v>
      </c>
      <c r="Q188" s="32" t="str">
        <f>"str_"&amp;CONTROL[[#This Row],[VEHIDCODE]]</f>
        <v>str_diesel_Canada_CNR_SW1200</v>
      </c>
    </row>
    <row r="189" spans="1:17">
      <c r="A189" s="2" t="s">
        <v>213</v>
      </c>
      <c r="B189" s="32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s">
        <v>1217</v>
      </c>
      <c r="G189" t="s">
        <v>2551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s="32" t="str">
        <f>"item_"&amp;CONTROL[[#This Row],[VEHIDCODE]]</f>
        <v>item_diesel_Canada_VIA_Rail_FP9</v>
      </c>
      <c r="Q189" s="32" t="str">
        <f>"str_"&amp;CONTROL[[#This Row],[VEHIDCODE]]</f>
        <v>str_diesel_Canada_VIA_Rail_FP9</v>
      </c>
    </row>
    <row r="190" spans="1:17">
      <c r="A190" s="2" t="s">
        <v>214</v>
      </c>
      <c r="B190" s="32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s">
        <v>2545</v>
      </c>
      <c r="G190" t="s">
        <v>2522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s="32" t="str">
        <f>"item_"&amp;CONTROL[[#This Row],[VEHIDCODE]]</f>
        <v>item_diesel_Hungary_MAV_M44</v>
      </c>
      <c r="Q190" s="32" t="str">
        <f>"str_"&amp;CONTROL[[#This Row],[VEHIDCODE]]</f>
        <v>str_diesel_Hungary_MAV_M44</v>
      </c>
    </row>
    <row r="191" spans="1:17">
      <c r="A191" s="2" t="s">
        <v>215</v>
      </c>
      <c r="B191" s="32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s">
        <v>2546</v>
      </c>
      <c r="G191" t="s">
        <v>2552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s="32" t="str">
        <f>"item_"&amp;CONTROL[[#This Row],[VEHIDCODE]]</f>
        <v>item_diesel_Hungary_MAV_M28</v>
      </c>
      <c r="Q191" s="32" t="str">
        <f>"str_"&amp;CONTROL[[#This Row],[VEHIDCODE]]</f>
        <v>str_diesel_Hungary_MAV_M28</v>
      </c>
    </row>
    <row r="192" spans="1:17">
      <c r="A192" s="2" t="s">
        <v>216</v>
      </c>
      <c r="B192" s="3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s">
        <v>1218</v>
      </c>
      <c r="G192" t="s">
        <v>2553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s="32" t="str">
        <f>"item_"&amp;CONTROL[[#This Row],[VEHIDCODE]]</f>
        <v>item_diesel_Belgium_NMBS_SNCB_83</v>
      </c>
      <c r="Q192" s="32" t="str">
        <f>"str_"&amp;CONTROL[[#This Row],[VEHIDCODE]]</f>
        <v>str_diesel_Belgium_NMBS_SNCB_83</v>
      </c>
    </row>
    <row r="193" spans="1:17">
      <c r="A193" s="2" t="s">
        <v>217</v>
      </c>
      <c r="B193" s="32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s">
        <v>1219</v>
      </c>
      <c r="G193" t="s">
        <v>2554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s="32" t="str">
        <f>"item_"&amp;CONTROL[[#This Row],[VEHIDCODE]]</f>
        <v>item_diesel_Germany_DB_220</v>
      </c>
      <c r="Q193" s="32" t="str">
        <f>"str_"&amp;CONTROL[[#This Row],[VEHIDCODE]]</f>
        <v>str_diesel_Germany_DB_220</v>
      </c>
    </row>
    <row r="194" spans="1:17">
      <c r="A194" s="2" t="s">
        <v>218</v>
      </c>
      <c r="B194" s="32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s">
        <v>1220</v>
      </c>
      <c r="G194" t="s">
        <v>2555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s="32" t="str">
        <f>"item_"&amp;CONTROL[[#This Row],[VEHIDCODE]]</f>
        <v>item_diesel_USA_Amtrak_FL9</v>
      </c>
      <c r="Q194" s="32" t="str">
        <f>"str_"&amp;CONTROL[[#This Row],[VEHIDCODE]]</f>
        <v>str_diesel_USA_Amtrak_FL9</v>
      </c>
    </row>
    <row r="195" spans="1:17">
      <c r="A195" s="2" t="s">
        <v>219</v>
      </c>
      <c r="B195" s="32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s">
        <v>2830</v>
      </c>
      <c r="G195" t="s">
        <v>2556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s="32" t="str">
        <f>"item_"&amp;CONTROL[[#This Row],[VEHIDCODE]]</f>
        <v>item_diesel_Czech_Republic_CD_720_ChME2</v>
      </c>
      <c r="Q195" s="32" t="str">
        <f>"str_"&amp;CONTROL[[#This Row],[VEHIDCODE]]</f>
        <v>str_diesel_Czech_Republic_CD_720_ChME2</v>
      </c>
    </row>
    <row r="196" spans="1:17">
      <c r="A196" s="2" t="s">
        <v>220</v>
      </c>
      <c r="B196" s="32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s">
        <v>1221</v>
      </c>
      <c r="G196" t="s">
        <v>2557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s="32" t="str">
        <f>"item_"&amp;CONTROL[[#This Row],[VEHIDCODE]]</f>
        <v>item_diesel_Finland_VR_Dr12</v>
      </c>
      <c r="Q196" s="32" t="str">
        <f>"str_"&amp;CONTROL[[#This Row],[VEHIDCODE]]</f>
        <v>str_diesel_Finland_VR_Dr12</v>
      </c>
    </row>
    <row r="197" spans="1:17">
      <c r="A197" s="2" t="s">
        <v>221</v>
      </c>
      <c r="B197" s="32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s">
        <v>1222</v>
      </c>
      <c r="G197" t="s">
        <v>2558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s="32" t="str">
        <f>"item_"&amp;CONTROL[[#This Row],[VEHIDCODE]]</f>
        <v>item_diesel_Romania_CFR_060_DA</v>
      </c>
      <c r="Q197" s="32" t="str">
        <f>"str_"&amp;CONTROL[[#This Row],[VEHIDCODE]]</f>
        <v>str_diesel_Romania_CFR_060_DA</v>
      </c>
    </row>
    <row r="198" spans="1:17">
      <c r="A198" s="2" t="s">
        <v>222</v>
      </c>
      <c r="B198" s="32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s">
        <v>1223</v>
      </c>
      <c r="G198" t="s">
        <v>2559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s="32" t="str">
        <f>"item_"&amp;CONTROL[[#This Row],[VEHIDCODE]]</f>
        <v>item_diesel_Brazil_BF_EMD_GL8</v>
      </c>
      <c r="Q198" s="32" t="str">
        <f>"str_"&amp;CONTROL[[#This Row],[VEHIDCODE]]</f>
        <v>str_diesel_Brazil_BF_EMD_GL8</v>
      </c>
    </row>
    <row r="199" spans="1:17">
      <c r="A199" s="2" t="s">
        <v>223</v>
      </c>
      <c r="B199" s="32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s">
        <v>1224</v>
      </c>
      <c r="G199" t="s">
        <v>2560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s="32" t="str">
        <f>"item_"&amp;CONTROL[[#This Row],[VEHIDCODE]]</f>
        <v>item_diesel_Brazil_EFVM_ML4000</v>
      </c>
      <c r="Q199" s="32" t="str">
        <f>"str_"&amp;CONTROL[[#This Row],[VEHIDCODE]]</f>
        <v>str_diesel_Brazil_EFVM_ML4000</v>
      </c>
    </row>
    <row r="200" spans="1:17">
      <c r="A200" s="2" t="s">
        <v>224</v>
      </c>
      <c r="B200" s="32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s">
        <v>1225</v>
      </c>
      <c r="G200" t="s">
        <v>2561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s="32" t="str">
        <f>"item_"&amp;CONTROL[[#This Row],[VEHIDCODE]]</f>
        <v>item_diesel_Russia_RZD_TEP60</v>
      </c>
      <c r="Q200" s="32" t="str">
        <f>"str_"&amp;CONTROL[[#This Row],[VEHIDCODE]]</f>
        <v>str_diesel_Russia_RZD_TEP60</v>
      </c>
    </row>
    <row r="201" spans="1:17">
      <c r="A201" s="2" t="s">
        <v>225</v>
      </c>
      <c r="B201" s="32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s">
        <v>1226</v>
      </c>
      <c r="G201" t="s">
        <v>2562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s="32" t="str">
        <f>"item_"&amp;CONTROL[[#This Row],[VEHIDCODE]]</f>
        <v>item_diesel_Belgium_NMBS_SNCB_62</v>
      </c>
      <c r="Q201" s="32" t="str">
        <f>"str_"&amp;CONTROL[[#This Row],[VEHIDCODE]]</f>
        <v>str_diesel_Belgium_NMBS_SNCB_62</v>
      </c>
    </row>
    <row r="202" spans="1:17">
      <c r="A202" s="2" t="s">
        <v>226</v>
      </c>
      <c r="B202" s="3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s">
        <v>1227</v>
      </c>
      <c r="G202" t="s">
        <v>2563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s="32" t="str">
        <f>"item_"&amp;CONTROL[[#This Row],[VEHIDCODE]]</f>
        <v>item_diesel_Denmark_DSB_MaK_100</v>
      </c>
      <c r="Q202" s="32" t="str">
        <f>"str_"&amp;CONTROL[[#This Row],[VEHIDCODE]]</f>
        <v>str_diesel_Denmark_DSB_MaK_100</v>
      </c>
    </row>
    <row r="203" spans="1:17">
      <c r="A203" s="2" t="s">
        <v>227</v>
      </c>
      <c r="B203" s="32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s">
        <v>1228</v>
      </c>
      <c r="G203" t="s">
        <v>2564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s="32" t="str">
        <f>"item_"&amp;CONTROL[[#This Row],[VEHIDCODE]]</f>
        <v>item_diesel_India_Indian_Railways_WDM_2</v>
      </c>
      <c r="Q203" s="32" t="str">
        <f>"str_"&amp;CONTROL[[#This Row],[VEHIDCODE]]</f>
        <v>str_diesel_India_Indian_Railways_WDM_2</v>
      </c>
    </row>
    <row r="204" spans="1:17">
      <c r="A204" s="2" t="s">
        <v>228</v>
      </c>
      <c r="B204" s="32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s">
        <v>1229</v>
      </c>
      <c r="G204" t="s">
        <v>2565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s="32" t="str">
        <f>"item_"&amp;CONTROL[[#This Row],[VEHIDCODE]]</f>
        <v>item_diesel_UK_BR_14</v>
      </c>
      <c r="Q204" s="32" t="str">
        <f>"str_"&amp;CONTROL[[#This Row],[VEHIDCODE]]</f>
        <v>str_diesel_UK_BR_14</v>
      </c>
    </row>
    <row r="205" spans="1:17">
      <c r="A205" s="2" t="s">
        <v>229</v>
      </c>
      <c r="B205" s="32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s">
        <v>1230</v>
      </c>
      <c r="G205" t="s">
        <v>2566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s="32" t="str">
        <f>"item_"&amp;CONTROL[[#This Row],[VEHIDCODE]]</f>
        <v>item_diesel_Russia_RZD_ChME3</v>
      </c>
      <c r="Q205" s="32" t="str">
        <f>"str_"&amp;CONTROL[[#This Row],[VEHIDCODE]]</f>
        <v>str_diesel_Russia_RZD_ChME3</v>
      </c>
    </row>
    <row r="206" spans="1:17">
      <c r="A206" s="2" t="s">
        <v>230</v>
      </c>
      <c r="B206" s="32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s">
        <v>2567</v>
      </c>
      <c r="G206" t="s">
        <v>2568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s="32" t="str">
        <f>"item_"&amp;CONTROL[[#This Row],[VEHIDCODE]]</f>
        <v>item_diesel_Argentina_MF_GM_EMD_J16CW_AC</v>
      </c>
      <c r="Q206" s="32" t="str">
        <f>"str_"&amp;CONTROL[[#This Row],[VEHIDCODE]]</f>
        <v>str_diesel_Argentina_MF_GM_EMD_J16CW_AC</v>
      </c>
    </row>
    <row r="207" spans="1:17">
      <c r="A207" s="2" t="s">
        <v>231</v>
      </c>
      <c r="B207" s="32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s">
        <v>1231</v>
      </c>
      <c r="G207" t="s">
        <v>2569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s="32" t="str">
        <f>"item_"&amp;CONTROL[[#This Row],[VEHIDCODE]]</f>
        <v>item_diesel_Russia_RZD_M62</v>
      </c>
      <c r="Q207" s="32" t="str">
        <f>"str_"&amp;CONTROL[[#This Row],[VEHIDCODE]]</f>
        <v>str_diesel_Russia_RZD_M62</v>
      </c>
    </row>
    <row r="208" spans="1:17">
      <c r="A208" s="2" t="s">
        <v>232</v>
      </c>
      <c r="B208" s="32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s">
        <v>1232</v>
      </c>
      <c r="G208" t="s">
        <v>2570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s="32" t="str">
        <f>"item_"&amp;CONTROL[[#This Row],[VEHIDCODE]]</f>
        <v>item_diesel_Australia_NSWGR_422</v>
      </c>
      <c r="Q208" s="32" t="str">
        <f>"str_"&amp;CONTROL[[#This Row],[VEHIDCODE]]</f>
        <v>str_diesel_Australia_NSWGR_422</v>
      </c>
    </row>
    <row r="209" spans="1:17">
      <c r="A209" s="2" t="s">
        <v>233</v>
      </c>
      <c r="B209" s="32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s">
        <v>1233</v>
      </c>
      <c r="G209" t="s">
        <v>2571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s="32" t="str">
        <f>"item_"&amp;CONTROL[[#This Row],[VEHIDCODE]]</f>
        <v>item_diesel_Egypt_ENR_G22W</v>
      </c>
      <c r="Q209" s="32" t="str">
        <f>"str_"&amp;CONTROL[[#This Row],[VEHIDCODE]]</f>
        <v>str_diesel_Egypt_ENR_G22W</v>
      </c>
    </row>
    <row r="210" spans="1:17">
      <c r="A210" s="2" t="s">
        <v>234</v>
      </c>
      <c r="B210" s="32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s">
        <v>1234</v>
      </c>
      <c r="G210" t="s">
        <v>2572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s="32" t="str">
        <f>"item_"&amp;CONTROL[[#This Row],[VEHIDCODE]]</f>
        <v>item_diesel_USA_UP_EMD_DDA40X</v>
      </c>
      <c r="Q210" s="32" t="str">
        <f>"str_"&amp;CONTROL[[#This Row],[VEHIDCODE]]</f>
        <v>str_diesel_USA_UP_EMD_DDA40X</v>
      </c>
    </row>
    <row r="211" spans="1:17">
      <c r="A211" s="2" t="s">
        <v>235</v>
      </c>
      <c r="B211" s="32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s">
        <v>1235</v>
      </c>
      <c r="G211" t="s">
        <v>2573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s="32" t="str">
        <f>"item_"&amp;CONTROL[[#This Row],[VEHIDCODE]]</f>
        <v>item_diesel_Australia_Queensland_Rail_2100</v>
      </c>
      <c r="Q211" s="32" t="str">
        <f>"str_"&amp;CONTROL[[#This Row],[VEHIDCODE]]</f>
        <v>str_diesel_Australia_Queensland_Rail_2100</v>
      </c>
    </row>
    <row r="212" spans="1:17">
      <c r="A212" s="2" t="s">
        <v>236</v>
      </c>
      <c r="B212" s="3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s">
        <v>1236</v>
      </c>
      <c r="G212" t="s">
        <v>2574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s="32" t="str">
        <f>"item_"&amp;CONTROL[[#This Row],[VEHIDCODE]]</f>
        <v>item_diesel_Croatia_HZ_2062</v>
      </c>
      <c r="Q212" s="32" t="str">
        <f>"str_"&amp;CONTROL[[#This Row],[VEHIDCODE]]</f>
        <v>str_diesel_Croatia_HZ_2062</v>
      </c>
    </row>
    <row r="213" spans="1:17">
      <c r="A213" s="2" t="s">
        <v>237</v>
      </c>
      <c r="B213" s="32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s">
        <v>1237</v>
      </c>
      <c r="G213" t="s">
        <v>2575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s="32" t="str">
        <f>"item_"&amp;CONTROL[[#This Row],[VEHIDCODE]]</f>
        <v>item_diesel_Sweden_SJ_V4</v>
      </c>
      <c r="Q213" s="32" t="str">
        <f>"str_"&amp;CONTROL[[#This Row],[VEHIDCODE]]</f>
        <v>str_diesel_Sweden_SJ_V4</v>
      </c>
    </row>
    <row r="214" spans="1:17">
      <c r="A214" s="2" t="s">
        <v>238</v>
      </c>
      <c r="B214" s="32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s">
        <v>1238</v>
      </c>
      <c r="G214" t="s">
        <v>2576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s="32" t="str">
        <f>"item_"&amp;CONTROL[[#This Row],[VEHIDCODE]]</f>
        <v>item_diesel_Canada_CNR_MLW_M420W</v>
      </c>
      <c r="Q214" s="32" t="str">
        <f>"str_"&amp;CONTROL[[#This Row],[VEHIDCODE]]</f>
        <v>str_diesel_Canada_CNR_MLW_M420W</v>
      </c>
    </row>
    <row r="215" spans="1:17">
      <c r="A215" s="2" t="s">
        <v>936</v>
      </c>
      <c r="B215" s="32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s">
        <v>1239</v>
      </c>
      <c r="G215" t="s">
        <v>2577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s="32" t="str">
        <f>"item_"&amp;CONTROL[[#This Row],[VEHIDCODE]]</f>
        <v>item_diesel_USA_Amtrak_SDP_40F</v>
      </c>
      <c r="Q215" s="32" t="str">
        <f>"str_"&amp;CONTROL[[#This Row],[VEHIDCODE]]</f>
        <v>str_diesel_USA_Amtrak_SDP_40F</v>
      </c>
    </row>
    <row r="216" spans="1:17">
      <c r="A216" s="2" t="s">
        <v>239</v>
      </c>
      <c r="B216" s="32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s">
        <v>1240</v>
      </c>
      <c r="G216" t="s">
        <v>2578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s="32" t="str">
        <f>"item_"&amp;CONTROL[[#This Row],[VEHIDCODE]]</f>
        <v>item_diesel_China_China_Railways_DFH3</v>
      </c>
      <c r="Q216" s="32" t="str">
        <f>"str_"&amp;CONTROL[[#This Row],[VEHIDCODE]]</f>
        <v>str_diesel_China_China_Railways_DFH3</v>
      </c>
    </row>
    <row r="217" spans="1:17">
      <c r="A217" s="2" t="s">
        <v>240</v>
      </c>
      <c r="B217" s="32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s">
        <v>1241</v>
      </c>
      <c r="G217" t="s">
        <v>2579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s="32" t="str">
        <f>"item_"&amp;CONTROL[[#This Row],[VEHIDCODE]]</f>
        <v>item_diesel_Panama_Panama_Canal_Railway_EMD_F40PH</v>
      </c>
      <c r="Q217" s="32" t="str">
        <f>"str_"&amp;CONTROL[[#This Row],[VEHIDCODE]]</f>
        <v>str_diesel_Panama_Panama_Canal_Railway_EMD_F40PH</v>
      </c>
    </row>
    <row r="218" spans="1:17">
      <c r="A218" s="2" t="s">
        <v>241</v>
      </c>
      <c r="B218" s="32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s">
        <v>1242</v>
      </c>
      <c r="G218" t="s">
        <v>2580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s="32" t="str">
        <f>"item_"&amp;CONTROL[[#This Row],[VEHIDCODE]]</f>
        <v>item_diesel_Portugal_CP_1900</v>
      </c>
      <c r="Q218" s="32" t="str">
        <f>"str_"&amp;CONTROL[[#This Row],[VEHIDCODE]]</f>
        <v>str_diesel_Portugal_CP_1900</v>
      </c>
    </row>
    <row r="219" spans="1:17">
      <c r="A219" s="2" t="s">
        <v>242</v>
      </c>
      <c r="B219" s="32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s">
        <v>1243</v>
      </c>
      <c r="G219" t="s">
        <v>2581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s="32" t="str">
        <f>"item_"&amp;CONTROL[[#This Row],[VEHIDCODE]]</f>
        <v>item_diesel_Finland_VR_Dr16</v>
      </c>
      <c r="Q219" s="32" t="str">
        <f>"str_"&amp;CONTROL[[#This Row],[VEHIDCODE]]</f>
        <v>str_diesel_Finland_VR_Dr16</v>
      </c>
    </row>
    <row r="220" spans="1:17">
      <c r="A220" s="2" t="s">
        <v>243</v>
      </c>
      <c r="B220" s="32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s">
        <v>1244</v>
      </c>
      <c r="G220" t="s">
        <v>2582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s="32" t="str">
        <f>"item_"&amp;CONTROL[[#This Row],[VEHIDCODE]]</f>
        <v>item_diesel_Russia_RZD_TEP80</v>
      </c>
      <c r="Q220" s="32" t="str">
        <f>"str_"&amp;CONTROL[[#This Row],[VEHIDCODE]]</f>
        <v>str_diesel_Russia_RZD_TEP80</v>
      </c>
    </row>
    <row r="221" spans="1:17">
      <c r="A221" s="2" t="s">
        <v>244</v>
      </c>
      <c r="B221" s="32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s">
        <v>1245</v>
      </c>
      <c r="G221" t="s">
        <v>2583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s="32" t="str">
        <f>"item_"&amp;CONTROL[[#This Row],[VEHIDCODE]]</f>
        <v>item_diesel_Australia_Australian_National_AN</v>
      </c>
      <c r="Q221" s="32" t="str">
        <f>"str_"&amp;CONTROL[[#This Row],[VEHIDCODE]]</f>
        <v>str_diesel_Australia_Australian_National_AN</v>
      </c>
    </row>
    <row r="222" spans="1:17">
      <c r="A222" s="2" t="s">
        <v>245</v>
      </c>
      <c r="B222" s="3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s">
        <v>1246</v>
      </c>
      <c r="G222" t="s">
        <v>2584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s="32" t="str">
        <f>"item_"&amp;CONTROL[[#This Row],[VEHIDCODE]]</f>
        <v>item_diesel_USA_Amtrak_P42DC_Genesis</v>
      </c>
      <c r="Q222" s="32" t="str">
        <f>"str_"&amp;CONTROL[[#This Row],[VEHIDCODE]]</f>
        <v>str_diesel_USA_Amtrak_P42DC_Genesis</v>
      </c>
    </row>
    <row r="223" spans="1:17">
      <c r="A223" s="2" t="s">
        <v>246</v>
      </c>
      <c r="B223" s="32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s">
        <v>2831</v>
      </c>
      <c r="G223" t="s">
        <v>2585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s="32" t="str">
        <f>"item_"&amp;CONTROL[[#This Row],[VEHIDCODE]]</f>
        <v>item_diesel_Turkey_TCDD_DH7000</v>
      </c>
      <c r="Q223" s="32" t="str">
        <f>"str_"&amp;CONTROL[[#This Row],[VEHIDCODE]]</f>
        <v>str_diesel_Turkey_TCDD_DH7000</v>
      </c>
    </row>
    <row r="224" spans="1:17">
      <c r="A224" s="2" t="s">
        <v>247</v>
      </c>
      <c r="B224" s="32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s">
        <v>1247</v>
      </c>
      <c r="G224" t="s">
        <v>2586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s="32" t="str">
        <f>"item_"&amp;CONTROL[[#This Row],[VEHIDCODE]]</f>
        <v>item_diesel_Argentina_MF_GE_U20C</v>
      </c>
      <c r="Q224" s="32" t="str">
        <f>"str_"&amp;CONTROL[[#This Row],[VEHIDCODE]]</f>
        <v>str_diesel_Argentina_MF_GE_U20C</v>
      </c>
    </row>
    <row r="225" spans="1:17">
      <c r="A225" s="2" t="s">
        <v>248</v>
      </c>
      <c r="B225" s="32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s">
        <v>1248</v>
      </c>
      <c r="G225" t="s">
        <v>2587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s="32" t="str">
        <f>"item_"&amp;CONTROL[[#This Row],[VEHIDCODE]]</f>
        <v>item_diesel_Belgium_NMBS_SNCB_7800</v>
      </c>
      <c r="Q225" s="32" t="str">
        <f>"str_"&amp;CONTROL[[#This Row],[VEHIDCODE]]</f>
        <v>str_diesel_Belgium_NMBS_SNCB_7800</v>
      </c>
    </row>
    <row r="226" spans="1:17">
      <c r="A226" s="2" t="s">
        <v>249</v>
      </c>
      <c r="B226" s="32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s">
        <v>1249</v>
      </c>
      <c r="G226" t="s">
        <v>2588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s="32" t="str">
        <f>"item_"&amp;CONTROL[[#This Row],[VEHIDCODE]]</f>
        <v>item_diesel_UK_BR_66</v>
      </c>
      <c r="Q226" s="32" t="str">
        <f>"str_"&amp;CONTROL[[#This Row],[VEHIDCODE]]</f>
        <v>str_diesel_UK_BR_66</v>
      </c>
    </row>
    <row r="227" spans="1:17">
      <c r="A227" s="2" t="s">
        <v>250</v>
      </c>
      <c r="B227" s="32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s">
        <v>1250</v>
      </c>
      <c r="G227" t="s">
        <v>2589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s="32" t="str">
        <f>"item_"&amp;CONTROL[[#This Row],[VEHIDCODE]]</f>
        <v>item_diesel_UK_BR_67</v>
      </c>
      <c r="Q227" s="32" t="str">
        <f>"str_"&amp;CONTROL[[#This Row],[VEHIDCODE]]</f>
        <v>str_diesel_UK_BR_67</v>
      </c>
    </row>
    <row r="228" spans="1:17">
      <c r="A228" s="2" t="s">
        <v>251</v>
      </c>
      <c r="B228" s="32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s">
        <v>1251</v>
      </c>
      <c r="G228" t="s">
        <v>2590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s="32" t="str">
        <f>"item_"&amp;CONTROL[[#This Row],[VEHIDCODE]]</f>
        <v>item_diesel_Iran_RAI_DE43CA_Prima</v>
      </c>
      <c r="Q228" s="32" t="str">
        <f>"str_"&amp;CONTROL[[#This Row],[VEHIDCODE]]</f>
        <v>str_diesel_Iran_RAI_DE43CA_Prima</v>
      </c>
    </row>
    <row r="229" spans="1:17">
      <c r="A229" s="2" t="s">
        <v>252</v>
      </c>
      <c r="B229" s="32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s">
        <v>1252</v>
      </c>
      <c r="G229" t="s">
        <v>2591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s="32" t="str">
        <f>"item_"&amp;CONTROL[[#This Row],[VEHIDCODE]]</f>
        <v>item_diesel_Ukraine_UZ_TEP150</v>
      </c>
      <c r="Q229" s="32" t="str">
        <f>"str_"&amp;CONTROL[[#This Row],[VEHIDCODE]]</f>
        <v>str_diesel_Ukraine_UZ_TEP150</v>
      </c>
    </row>
    <row r="230" spans="1:17">
      <c r="A230" s="2" t="s">
        <v>253</v>
      </c>
      <c r="B230" s="32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s">
        <v>1253</v>
      </c>
      <c r="G230" t="s">
        <v>2592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s="32" t="str">
        <f>"item_"&amp;CONTROL[[#This Row],[VEHIDCODE]]</f>
        <v>item_diesel_China_China_Railways_HXN5</v>
      </c>
      <c r="Q230" s="32" t="str">
        <f>"str_"&amp;CONTROL[[#This Row],[VEHIDCODE]]</f>
        <v>str_diesel_China_China_Railways_HXN5</v>
      </c>
    </row>
    <row r="231" spans="1:17">
      <c r="A231" s="2" t="s">
        <v>254</v>
      </c>
      <c r="B231" s="32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s">
        <v>1254</v>
      </c>
      <c r="G231" t="s">
        <v>2593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s="32" t="str">
        <f>"item_"&amp;CONTROL[[#This Row],[VEHIDCODE]]</f>
        <v>item_diesel_Germany_DB_261_Gravita_10BB</v>
      </c>
      <c r="Q231" s="32" t="str">
        <f>"str_"&amp;CONTROL[[#This Row],[VEHIDCODE]]</f>
        <v>str_diesel_Germany_DB_261_Gravita_10BB</v>
      </c>
    </row>
    <row r="232" spans="1:17">
      <c r="A232" s="2" t="s">
        <v>255</v>
      </c>
      <c r="B232" s="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s">
        <v>1255</v>
      </c>
      <c r="G232" t="s">
        <v>2594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s="32" t="str">
        <f>"item_"&amp;CONTROL[[#This Row],[VEHIDCODE]]</f>
        <v>item_diesel_Russia_RZD_GT1</v>
      </c>
      <c r="Q232" s="32" t="str">
        <f>"str_"&amp;CONTROL[[#This Row],[VEHIDCODE]]</f>
        <v>str_diesel_Russia_RZD_GT1</v>
      </c>
    </row>
    <row r="233" spans="1:17">
      <c r="A233" s="2" t="s">
        <v>256</v>
      </c>
      <c r="B233" s="32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s">
        <v>1256</v>
      </c>
      <c r="G233" t="s">
        <v>2596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s="32" t="str">
        <f>"item_"&amp;CONTROL[[#This Row],[VEHIDCODE]]</f>
        <v>item_diesel_China_MTR_8000</v>
      </c>
      <c r="Q233" s="32" t="str">
        <f>"str_"&amp;CONTROL[[#This Row],[VEHIDCODE]]</f>
        <v>str_diesel_China_MTR_8000</v>
      </c>
    </row>
    <row r="234" spans="1:17">
      <c r="A234" s="2" t="s">
        <v>257</v>
      </c>
      <c r="B234" s="32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s">
        <v>1755</v>
      </c>
      <c r="G234" t="s">
        <v>2597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s="32" t="str">
        <f>"item_"&amp;CONTROL[[#This Row],[VEHIDCODE]]</f>
        <v>item_diesel_Germany_HVLE_V490</v>
      </c>
      <c r="Q234" s="32" t="str">
        <f>"str_"&amp;CONTROL[[#This Row],[VEHIDCODE]]</f>
        <v>str_diesel_Germany_HVLE_V490</v>
      </c>
    </row>
    <row r="235" spans="1:17">
      <c r="A235" s="2" t="s">
        <v>258</v>
      </c>
      <c r="B235" s="32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s">
        <v>1257</v>
      </c>
      <c r="G235" t="s">
        <v>2566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s="32" t="str">
        <f>"item_"&amp;CONTROL[[#This Row],[VEHIDCODE]]</f>
        <v>item_diesel_Russia_RZD_Emch_3</v>
      </c>
      <c r="Q235" s="32" t="str">
        <f>"str_"&amp;CONTROL[[#This Row],[VEHIDCODE]]</f>
        <v>str_diesel_Russia_RZD_Emch_3</v>
      </c>
    </row>
    <row r="236" spans="1:17">
      <c r="A236" s="2" t="s">
        <v>259</v>
      </c>
      <c r="B236" s="32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s">
        <v>1258</v>
      </c>
      <c r="G236" t="s">
        <v>2598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s="32" t="str">
        <f>"item_"&amp;CONTROL[[#This Row],[VEHIDCODE]]</f>
        <v>item_diesel_Canada_CNR_9000</v>
      </c>
      <c r="Q236" s="32" t="str">
        <f>"str_"&amp;CONTROL[[#This Row],[VEHIDCODE]]</f>
        <v>str_diesel_Canada_CNR_9000</v>
      </c>
    </row>
    <row r="237" spans="1:17">
      <c r="A237" s="2" t="s">
        <v>260</v>
      </c>
      <c r="B237" s="32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s">
        <v>1259</v>
      </c>
      <c r="G237" t="s">
        <v>2599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s="32" t="str">
        <f>"item_"&amp;CONTROL[[#This Row],[VEHIDCODE]]</f>
        <v>item_diesel_UK_LMS_7051_Diesel_Shunter</v>
      </c>
      <c r="Q237" s="32" t="str">
        <f>"str_"&amp;CONTROL[[#This Row],[VEHIDCODE]]</f>
        <v>str_diesel_UK_LMS_7051_Diesel_Shunter</v>
      </c>
    </row>
    <row r="238" spans="1:17">
      <c r="A238" s="2" t="s">
        <v>261</v>
      </c>
      <c r="B238" s="32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s">
        <v>1260</v>
      </c>
      <c r="G238" t="s">
        <v>2600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s="32" t="str">
        <f>"item_"&amp;CONTROL[[#This Row],[VEHIDCODE]]</f>
        <v>item_diesel_USA_Rock_Island_EMC_TA</v>
      </c>
      <c r="Q238" s="32" t="str">
        <f>"str_"&amp;CONTROL[[#This Row],[VEHIDCODE]]</f>
        <v>str_diesel_USA_Rock_Island_EMC_TA</v>
      </c>
    </row>
    <row r="239" spans="1:17">
      <c r="A239" s="2" t="s">
        <v>262</v>
      </c>
      <c r="B239" s="32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s">
        <v>1261</v>
      </c>
      <c r="G239" t="s">
        <v>2601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s="32" t="str">
        <f>"item_"&amp;CONTROL[[#This Row],[VEHIDCODE]]</f>
        <v>item_diesel_USA_NYC_Baldwin_VO_660</v>
      </c>
      <c r="Q239" s="32" t="str">
        <f>"str_"&amp;CONTROL[[#This Row],[VEHIDCODE]]</f>
        <v>str_diesel_USA_NYC_Baldwin_VO_660</v>
      </c>
    </row>
    <row r="240" spans="1:17">
      <c r="A240" s="2" t="s">
        <v>263</v>
      </c>
      <c r="B240" s="32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s">
        <v>1262</v>
      </c>
      <c r="G240" t="s">
        <v>2602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s="32" t="str">
        <f>"item_"&amp;CONTROL[[#This Row],[VEHIDCODE]]</f>
        <v>item_diesel_UK_BR_Class_D3_7</v>
      </c>
      <c r="Q240" s="32" t="str">
        <f>"str_"&amp;CONTROL[[#This Row],[VEHIDCODE]]</f>
        <v>str_diesel_UK_BR_Class_D3_7</v>
      </c>
    </row>
    <row r="241" spans="1:17">
      <c r="A241" s="2" t="s">
        <v>264</v>
      </c>
      <c r="B241" s="32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s">
        <v>1263</v>
      </c>
      <c r="G241" t="s">
        <v>2603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s="32" t="str">
        <f>"item_"&amp;CONTROL[[#This Row],[VEHIDCODE]]</f>
        <v>item_diesel_Australia_Queensland_Railways_DL_Class</v>
      </c>
      <c r="Q241" s="32" t="str">
        <f>"str_"&amp;CONTROL[[#This Row],[VEHIDCODE]]</f>
        <v>str_diesel_Australia_Queensland_Railways_DL_Class</v>
      </c>
    </row>
    <row r="242" spans="1:17">
      <c r="A242" s="2" t="s">
        <v>265</v>
      </c>
      <c r="B242" s="3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s">
        <v>1264</v>
      </c>
      <c r="G242" t="s">
        <v>2604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s="32" t="str">
        <f>"item_"&amp;CONTROL[[#This Row],[VEHIDCODE]]</f>
        <v>item_diesel_USA_PRR_FM_H_10_44</v>
      </c>
      <c r="Q242" s="32" t="str">
        <f>"str_"&amp;CONTROL[[#This Row],[VEHIDCODE]]</f>
        <v>str_diesel_USA_PRR_FM_H_10_44</v>
      </c>
    </row>
    <row r="243" spans="1:17">
      <c r="A243" s="2" t="s">
        <v>266</v>
      </c>
      <c r="B243" s="32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s">
        <v>1265</v>
      </c>
      <c r="G243" t="s">
        <v>2605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s="32" t="str">
        <f>"item_"&amp;CONTROL[[#This Row],[VEHIDCODE]]</f>
        <v>item_diesel_Algeria_SNTF_Baldwin_DRS6_4_1000</v>
      </c>
      <c r="Q243" s="32" t="str">
        <f>"str_"&amp;CONTROL[[#This Row],[VEHIDCODE]]</f>
        <v>str_diesel_Algeria_SNTF_Baldwin_DRS6_4_1000</v>
      </c>
    </row>
    <row r="244" spans="1:17">
      <c r="A244" s="2" t="s">
        <v>267</v>
      </c>
      <c r="B244" s="32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s">
        <v>2607</v>
      </c>
      <c r="G244" t="s">
        <v>2606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s="32" t="str">
        <f>"item_"&amp;CONTROL[[#This Row],[VEHIDCODE]]</f>
        <v>item_diesel_Ireland_CIE_113</v>
      </c>
      <c r="Q244" s="32" t="str">
        <f>"str_"&amp;CONTROL[[#This Row],[VEHIDCODE]]</f>
        <v>str_diesel_Ireland_CIE_113</v>
      </c>
    </row>
    <row r="245" spans="1:17">
      <c r="A245" s="2" t="s">
        <v>268</v>
      </c>
      <c r="B245" s="32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s">
        <v>1266</v>
      </c>
      <c r="G245" t="s">
        <v>2608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s="32" t="str">
        <f>"item_"&amp;CONTROL[[#This Row],[VEHIDCODE]]</f>
        <v>item_diesel_Brazil_EFC_3300_Baldwin_AS_616</v>
      </c>
      <c r="Q245" s="32" t="str">
        <f>"str_"&amp;CONTROL[[#This Row],[VEHIDCODE]]</f>
        <v>str_diesel_Brazil_EFC_3300_Baldwin_AS_616</v>
      </c>
    </row>
    <row r="246" spans="1:17">
      <c r="A246" s="2" t="s">
        <v>269</v>
      </c>
      <c r="B246" s="32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s">
        <v>1267</v>
      </c>
      <c r="G246" t="s">
        <v>2609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s="32" t="str">
        <f>"item_"&amp;CONTROL[[#This Row],[VEHIDCODE]]</f>
        <v>item_diesel_Mexico_CHP_500_FM_H_16_44</v>
      </c>
      <c r="Q246" s="32" t="str">
        <f>"str_"&amp;CONTROL[[#This Row],[VEHIDCODE]]</f>
        <v>str_diesel_Mexico_CHP_500_FM_H_16_44</v>
      </c>
    </row>
    <row r="247" spans="1:17">
      <c r="A247" s="2" t="s">
        <v>270</v>
      </c>
      <c r="B247" s="32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s">
        <v>1268</v>
      </c>
      <c r="G247" t="s">
        <v>2611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s="32" t="str">
        <f>"item_"&amp;CONTROL[[#This Row],[VEHIDCODE]]</f>
        <v>item_diesel_Australia_South_Australian_Railways_900</v>
      </c>
      <c r="Q247" s="32" t="str">
        <f>"str_"&amp;CONTROL[[#This Row],[VEHIDCODE]]</f>
        <v>str_diesel_Australia_South_Australian_Railways_900</v>
      </c>
    </row>
    <row r="248" spans="1:17">
      <c r="A248" s="2" t="s">
        <v>271</v>
      </c>
      <c r="B248" s="32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s">
        <v>1269</v>
      </c>
      <c r="G248" t="s">
        <v>2610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s="32" t="str">
        <f>"item_"&amp;CONTROL[[#This Row],[VEHIDCODE]]</f>
        <v>item_diesel_Sri_Lanka_Sri_Lanka_Railways_M2</v>
      </c>
      <c r="Q248" s="32" t="str">
        <f>"str_"&amp;CONTROL[[#This Row],[VEHIDCODE]]</f>
        <v>str_diesel_Sri_Lanka_Sri_Lanka_Railways_M2</v>
      </c>
    </row>
    <row r="249" spans="1:17">
      <c r="A249" s="2" t="s">
        <v>272</v>
      </c>
      <c r="B249" s="32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s">
        <v>2612</v>
      </c>
      <c r="G249" t="s">
        <v>2613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s="32" t="str">
        <f>"item_"&amp;CONTROL[[#This Row],[VEHIDCODE]]</f>
        <v>item_diesel_Ireland_CIE_001</v>
      </c>
      <c r="Q249" s="32" t="str">
        <f>"str_"&amp;CONTROL[[#This Row],[VEHIDCODE]]</f>
        <v>str_diesel_Ireland_CIE_001</v>
      </c>
    </row>
    <row r="250" spans="1:17">
      <c r="A250" s="2" t="s">
        <v>273</v>
      </c>
      <c r="B250" s="32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s">
        <v>1270</v>
      </c>
      <c r="G250" t="s">
        <v>2614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s="32" t="str">
        <f>"item_"&amp;CONTROL[[#This Row],[VEHIDCODE]]</f>
        <v>item_diesel_Italy_FS_D341</v>
      </c>
      <c r="Q250" s="32" t="str">
        <f>"str_"&amp;CONTROL[[#This Row],[VEHIDCODE]]</f>
        <v>str_diesel_Italy_FS_D341</v>
      </c>
    </row>
    <row r="251" spans="1:17">
      <c r="A251" s="2" t="s">
        <v>274</v>
      </c>
      <c r="B251" s="32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s">
        <v>1271</v>
      </c>
      <c r="G251" t="s">
        <v>2615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s="32" t="str">
        <f>"item_"&amp;CONTROL[[#This Row],[VEHIDCODE]]</f>
        <v>item_diesel_Australia_NSWGR_44</v>
      </c>
      <c r="Q251" s="32" t="str">
        <f>"str_"&amp;CONTROL[[#This Row],[VEHIDCODE]]</f>
        <v>str_diesel_Australia_NSWGR_44</v>
      </c>
    </row>
    <row r="252" spans="1:17">
      <c r="A252" s="2" t="s">
        <v>275</v>
      </c>
      <c r="B252" s="3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s">
        <v>1272</v>
      </c>
      <c r="G252" t="s">
        <v>2616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s="32" t="str">
        <f>"item_"&amp;CONTROL[[#This Row],[VEHIDCODE]]</f>
        <v>item_diesel_Zimbabwe_Zimbabwe_Railways_DH_1</v>
      </c>
      <c r="Q252" s="32" t="str">
        <f>"str_"&amp;CONTROL[[#This Row],[VEHIDCODE]]</f>
        <v>str_diesel_Zimbabwe_Zimbabwe_Railways_DH_1</v>
      </c>
    </row>
    <row r="253" spans="1:17">
      <c r="A253" s="2" t="s">
        <v>276</v>
      </c>
      <c r="B253" s="32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s">
        <v>1273</v>
      </c>
      <c r="G253" t="s">
        <v>2617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s="32" t="str">
        <f>"item_"&amp;CONTROL[[#This Row],[VEHIDCODE]]</f>
        <v>item_diesel_South_Korea_Korail_6000_EMD_SD18</v>
      </c>
      <c r="Q253" s="32" t="str">
        <f>"str_"&amp;CONTROL[[#This Row],[VEHIDCODE]]</f>
        <v>str_diesel_South_Korea_Korail_6000_EMD_SD18</v>
      </c>
    </row>
    <row r="254" spans="1:17">
      <c r="A254" s="2" t="s">
        <v>277</v>
      </c>
      <c r="B254" s="32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s">
        <v>1274</v>
      </c>
      <c r="G254" t="s">
        <v>2618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s="32" t="str">
        <f>"item_"&amp;CONTROL[[#This Row],[VEHIDCODE]]</f>
        <v>item_diesel_Italy_FS_D345</v>
      </c>
      <c r="Q254" s="32" t="str">
        <f>"str_"&amp;CONTROL[[#This Row],[VEHIDCODE]]</f>
        <v>str_diesel_Italy_FS_D345</v>
      </c>
    </row>
    <row r="255" spans="1:17">
      <c r="A255" s="2" t="s">
        <v>278</v>
      </c>
      <c r="B255" s="32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s">
        <v>1275</v>
      </c>
      <c r="G255" t="s">
        <v>2619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s="32" t="str">
        <f>"item_"&amp;CONTROL[[#This Row],[VEHIDCODE]]</f>
        <v>item_diesel_Norway_NSB_Di4</v>
      </c>
      <c r="Q255" s="32" t="str">
        <f>"str_"&amp;CONTROL[[#This Row],[VEHIDCODE]]</f>
        <v>str_diesel_Norway_NSB_Di4</v>
      </c>
    </row>
    <row r="256" spans="1:17">
      <c r="A256" s="2" t="s">
        <v>279</v>
      </c>
      <c r="B256" s="32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s">
        <v>1276</v>
      </c>
      <c r="G256" t="s">
        <v>2620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s="32" t="str">
        <f>"item_"&amp;CONTROL[[#This Row],[VEHIDCODE]]</f>
        <v>item_diesel_China_China_Railways_DF8</v>
      </c>
      <c r="Q256" s="32" t="str">
        <f>"str_"&amp;CONTROL[[#This Row],[VEHIDCODE]]</f>
        <v>str_diesel_China_China_Railways_DF8</v>
      </c>
    </row>
    <row r="257" spans="1:17">
      <c r="A257" s="2" t="s">
        <v>280</v>
      </c>
      <c r="B257" s="32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s">
        <v>1277</v>
      </c>
      <c r="G257" t="s">
        <v>2621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s="32" t="str">
        <f>"item_"&amp;CONTROL[[#This Row],[VEHIDCODE]]</f>
        <v>item_diesel_Australia_Pacific_National_G_Class</v>
      </c>
      <c r="Q257" s="32" t="str">
        <f>"str_"&amp;CONTROL[[#This Row],[VEHIDCODE]]</f>
        <v>str_diesel_Australia_Pacific_National_G_Class</v>
      </c>
    </row>
    <row r="258" spans="1:17">
      <c r="A258" s="2" t="s">
        <v>281</v>
      </c>
      <c r="B258" s="32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s">
        <v>1278</v>
      </c>
      <c r="G258" t="s">
        <v>2622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s="32" t="str">
        <f>"item_"&amp;CONTROL[[#This Row],[VEHIDCODE]]</f>
        <v>item_diesel_UK_BR_60</v>
      </c>
      <c r="Q258" s="32" t="str">
        <f>"str_"&amp;CONTROL[[#This Row],[VEHIDCODE]]</f>
        <v>str_diesel_UK_BR_60</v>
      </c>
    </row>
    <row r="259" spans="1:17">
      <c r="A259" s="2" t="s">
        <v>282</v>
      </c>
      <c r="B259" s="32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s">
        <v>1279</v>
      </c>
      <c r="G259" t="s">
        <v>2623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s="32" t="str">
        <f>"item_"&amp;CONTROL[[#This Row],[VEHIDCODE]]</f>
        <v>item_diesel_Australia_Westrail_P_Class</v>
      </c>
      <c r="Q259" s="32" t="str">
        <f>"str_"&amp;CONTROL[[#This Row],[VEHIDCODE]]</f>
        <v>str_diesel_Australia_Westrail_P_Class</v>
      </c>
    </row>
    <row r="260" spans="1:17">
      <c r="A260" s="2" t="s">
        <v>283</v>
      </c>
      <c r="B260" s="32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s">
        <v>1280</v>
      </c>
      <c r="G260" t="s">
        <v>2624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s="32" t="str">
        <f>"item_"&amp;CONTROL[[#This Row],[VEHIDCODE]]</f>
        <v>item_diesel_Saudi_Arabia_Saudi_Railways_4000_EMD_SD70ACS</v>
      </c>
      <c r="Q260" s="32" t="str">
        <f>"str_"&amp;CONTROL[[#This Row],[VEHIDCODE]]</f>
        <v>str_diesel_Saudi_Arabia_Saudi_Railways_4000_EMD_SD70ACS</v>
      </c>
    </row>
    <row r="261" spans="1:17">
      <c r="A261" s="2" t="s">
        <v>284</v>
      </c>
      <c r="B261" s="32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s">
        <v>2625</v>
      </c>
      <c r="G261" t="s">
        <v>2626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s="32" t="str">
        <f>"item_"&amp;CONTROL[[#This Row],[VEHIDCODE]]</f>
        <v>item_diesel_Ireland_IE_201</v>
      </c>
      <c r="Q261" s="32" t="str">
        <f>"str_"&amp;CONTROL[[#This Row],[VEHIDCODE]]</f>
        <v>str_diesel_Ireland_IE_201</v>
      </c>
    </row>
    <row r="262" spans="1:17">
      <c r="A262" s="2" t="s">
        <v>285</v>
      </c>
      <c r="B262" s="3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s">
        <v>1281</v>
      </c>
      <c r="G262" t="s">
        <v>2627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s="32" t="str">
        <f>"item_"&amp;CONTROL[[#This Row],[VEHIDCODE]]</f>
        <v>item_diesel_USA_Metrolink_EMD_F59PH</v>
      </c>
      <c r="Q262" s="32" t="str">
        <f>"str_"&amp;CONTROL[[#This Row],[VEHIDCODE]]</f>
        <v>str_diesel_USA_Metrolink_EMD_F59PH</v>
      </c>
    </row>
    <row r="263" spans="1:17">
      <c r="A263" s="2" t="s">
        <v>286</v>
      </c>
      <c r="B263" s="32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s">
        <v>1282</v>
      </c>
      <c r="G263" t="s">
        <v>2628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s="32" t="str">
        <f>"item_"&amp;CONTROL[[#This Row],[VEHIDCODE]]</f>
        <v>item_diesel_France_SNCF_461000</v>
      </c>
      <c r="Q263" s="32" t="str">
        <f>"str_"&amp;CONTROL[[#This Row],[VEHIDCODE]]</f>
        <v>str_diesel_France_SNCF_461000</v>
      </c>
    </row>
    <row r="264" spans="1:17">
      <c r="A264" s="2" t="s">
        <v>287</v>
      </c>
      <c r="B264" s="32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s">
        <v>1283</v>
      </c>
      <c r="G264" t="s">
        <v>2629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s="32" t="str">
        <f>"item_"&amp;CONTROL[[#This Row],[VEHIDCODE]]</f>
        <v>item_diesel_Italy_ACT_D_200</v>
      </c>
      <c r="Q264" s="32" t="str">
        <f>"str_"&amp;CONTROL[[#This Row],[VEHIDCODE]]</f>
        <v>str_diesel_Italy_ACT_D_200</v>
      </c>
    </row>
    <row r="265" spans="1:17">
      <c r="A265" s="2" t="s">
        <v>288</v>
      </c>
      <c r="B265" s="32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s">
        <v>1284</v>
      </c>
      <c r="G265" t="s">
        <v>2630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s="32" t="str">
        <f>"item_"&amp;CONTROL[[#This Row],[VEHIDCODE]]</f>
        <v>item_diesel_Canada_GO_Transit_MP40PH_3C</v>
      </c>
      <c r="Q265" s="32" t="str">
        <f>"str_"&amp;CONTROL[[#This Row],[VEHIDCODE]]</f>
        <v>str_diesel_Canada_GO_Transit_MP40PH_3C</v>
      </c>
    </row>
    <row r="266" spans="1:17">
      <c r="A266" s="2" t="s">
        <v>289</v>
      </c>
      <c r="B266" s="32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s">
        <v>1285</v>
      </c>
      <c r="G266" t="s">
        <v>2631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s="32" t="str">
        <f>"item_"&amp;CONTROL[[#This Row],[VEHIDCODE]]</f>
        <v>item_diesel_Spain_RENFE_Class_334</v>
      </c>
      <c r="Q266" s="32" t="str">
        <f>"str_"&amp;CONTROL[[#This Row],[VEHIDCODE]]</f>
        <v>str_diesel_Spain_RENFE_Class_334</v>
      </c>
    </row>
    <row r="267" spans="1:17">
      <c r="A267" s="2" t="s">
        <v>290</v>
      </c>
      <c r="B267" s="32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s">
        <v>1286</v>
      </c>
      <c r="G267" t="s">
        <v>2632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s="32" t="str">
        <f>"item_"&amp;CONTROL[[#This Row],[VEHIDCODE]]</f>
        <v>item_diesel_Indonesia_Indonesia_Railways_CC300</v>
      </c>
      <c r="Q267" s="32" t="str">
        <f>"str_"&amp;CONTROL[[#This Row],[VEHIDCODE]]</f>
        <v>str_diesel_Indonesia_Indonesia_Railways_CC300</v>
      </c>
    </row>
    <row r="268" spans="1:17">
      <c r="A268" s="2" t="s">
        <v>291</v>
      </c>
      <c r="B268" s="32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s">
        <v>1287</v>
      </c>
      <c r="G268" t="s">
        <v>2507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s="32" t="str">
        <f>"item_"&amp;CONTROL[[#This Row],[VEHIDCODE]]</f>
        <v>item_diesel_Argentina_Great_Southern_Railway_DH501</v>
      </c>
      <c r="Q268" s="32" t="str">
        <f>"str_"&amp;CONTROL[[#This Row],[VEHIDCODE]]</f>
        <v>str_diesel_Argentina_Great_Southern_Railway_DH501</v>
      </c>
    </row>
    <row r="269" spans="1:17">
      <c r="A269" s="2" t="s">
        <v>292</v>
      </c>
      <c r="B269" s="32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s">
        <v>1288</v>
      </c>
      <c r="G269" t="s">
        <v>2633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s="32" t="str">
        <f>"item_"&amp;CONTROL[[#This Row],[VEHIDCODE]]</f>
        <v>item_diesel_Brazil_EE_VFFLB</v>
      </c>
      <c r="Q269" s="32" t="str">
        <f>"str_"&amp;CONTROL[[#This Row],[VEHIDCODE]]</f>
        <v>str_diesel_Brazil_EE_VFFLB</v>
      </c>
    </row>
    <row r="270" spans="1:17">
      <c r="A270" s="2" t="s">
        <v>293</v>
      </c>
      <c r="B270" s="32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s">
        <v>1289</v>
      </c>
      <c r="G270" t="s">
        <v>2634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s="32" t="str">
        <f>"item_"&amp;CONTROL[[#This Row],[VEHIDCODE]]</f>
        <v>item_diesel_Chile_EFE_GE_U5B</v>
      </c>
      <c r="Q270" s="32" t="str">
        <f>"str_"&amp;CONTROL[[#This Row],[VEHIDCODE]]</f>
        <v>str_diesel_Chile_EFE_GE_U5B</v>
      </c>
    </row>
    <row r="271" spans="1:17">
      <c r="A271" s="2" t="s">
        <v>294</v>
      </c>
      <c r="B271" s="32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s">
        <v>1290</v>
      </c>
      <c r="G271" t="s">
        <v>2635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s="32" t="str">
        <f>"item_"&amp;CONTROL[[#This Row],[VEHIDCODE]]</f>
        <v>item_diesel_Peru_Ferrocarril_Central_Andino_Alco_RSD_39</v>
      </c>
      <c r="Q271" s="32" t="str">
        <f>"str_"&amp;CONTROL[[#This Row],[VEHIDCODE]]</f>
        <v>str_diesel_Peru_Ferrocarril_Central_Andino_Alco_RSD_39</v>
      </c>
    </row>
    <row r="272" spans="1:17">
      <c r="A272" s="2" t="s">
        <v>295</v>
      </c>
      <c r="B272" s="3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s">
        <v>1291</v>
      </c>
      <c r="G272" t="s">
        <v>2636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s="32" t="str">
        <f>"item_"&amp;CONTROL[[#This Row],[VEHIDCODE]]</f>
        <v>item_diesel_Brazil_EFVM_EMD_DDM45</v>
      </c>
      <c r="Q272" s="32" t="str">
        <f>"str_"&amp;CONTROL[[#This Row],[VEHIDCODE]]</f>
        <v>str_diesel_Brazil_EFVM_EMD_DDM45</v>
      </c>
    </row>
    <row r="273" spans="1:17">
      <c r="A273" s="2" t="s">
        <v>296</v>
      </c>
      <c r="B273" s="32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s">
        <v>1292</v>
      </c>
      <c r="G273" t="s">
        <v>2637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s="32" t="str">
        <f>"item_"&amp;CONTROL[[#This Row],[VEHIDCODE]]</f>
        <v>item_diesel_Peru_Ferrocarril_Central_Andino_GE_C39_8</v>
      </c>
      <c r="Q273" s="32" t="str">
        <f>"str_"&amp;CONTROL[[#This Row],[VEHIDCODE]]</f>
        <v>str_diesel_Peru_Ferrocarril_Central_Andino_GE_C39_8</v>
      </c>
    </row>
    <row r="274" spans="1:17">
      <c r="A274" s="2" t="s">
        <v>297</v>
      </c>
      <c r="B274" s="32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s">
        <v>1293</v>
      </c>
      <c r="G274" t="s">
        <v>2638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s="32" t="str">
        <f>"item_"&amp;CONTROL[[#This Row],[VEHIDCODE]]</f>
        <v>item_diesel_Argentina_SOFSE_3193</v>
      </c>
      <c r="Q274" s="32" t="str">
        <f>"str_"&amp;CONTROL[[#This Row],[VEHIDCODE]]</f>
        <v>str_diesel_Argentina_SOFSE_3193</v>
      </c>
    </row>
    <row r="275" spans="1:17">
      <c r="A275" s="2" t="s">
        <v>298</v>
      </c>
      <c r="B275" s="32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s">
        <v>2640</v>
      </c>
      <c r="G275" t="s">
        <v>2639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s="32" t="str">
        <f>"item_"&amp;CONTROL[[#This Row],[VEHIDCODE]]</f>
        <v>item_diesel_Argentina_SOFSE_CNR_CKD8</v>
      </c>
      <c r="Q275" s="32" t="str">
        <f>"str_"&amp;CONTROL[[#This Row],[VEHIDCODE]]</f>
        <v>str_diesel_Argentina_SOFSE_CNR_CKD8</v>
      </c>
    </row>
    <row r="276" spans="1:17">
      <c r="A276" s="2" t="s">
        <v>299</v>
      </c>
      <c r="B276" s="32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s">
        <v>1294</v>
      </c>
      <c r="G276" t="s">
        <v>2641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s="32" t="str">
        <f>"item_"&amp;CONTROL[[#This Row],[VEHIDCODE]]</f>
        <v>item_diesel_South_Africa_SAR_DS</v>
      </c>
      <c r="Q276" s="32" t="str">
        <f>"str_"&amp;CONTROL[[#This Row],[VEHIDCODE]]</f>
        <v>str_diesel_South_Africa_SAR_DS</v>
      </c>
    </row>
    <row r="277" spans="1:17">
      <c r="A277" s="2" t="s">
        <v>300</v>
      </c>
      <c r="B277" s="32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s">
        <v>1295</v>
      </c>
      <c r="G277" t="s">
        <v>2642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s="32" t="str">
        <f>"item_"&amp;CONTROL[[#This Row],[VEHIDCODE]]</f>
        <v>item_diesel_Algeria_SNTF_040_DG</v>
      </c>
      <c r="Q277" s="32" t="str">
        <f>"str_"&amp;CONTROL[[#This Row],[VEHIDCODE]]</f>
        <v>str_diesel_Algeria_SNTF_040_DG</v>
      </c>
    </row>
    <row r="278" spans="1:17">
      <c r="A278" s="2" t="s">
        <v>301</v>
      </c>
      <c r="B278" s="32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s">
        <v>1296</v>
      </c>
      <c r="G278" t="s">
        <v>2643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s="32" t="str">
        <f>"item_"&amp;CONTROL[[#This Row],[VEHIDCODE]]</f>
        <v>item_diesel_Tunisia_SNCFT_040_DF</v>
      </c>
      <c r="Q278" s="32" t="str">
        <f>"str_"&amp;CONTROL[[#This Row],[VEHIDCODE]]</f>
        <v>str_diesel_Tunisia_SNCFT_040_DF</v>
      </c>
    </row>
    <row r="279" spans="1:17">
      <c r="A279" s="2" t="s">
        <v>302</v>
      </c>
      <c r="B279" s="32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s">
        <v>1297</v>
      </c>
      <c r="G279" t="s">
        <v>2644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s="32" t="str">
        <f>"item_"&amp;CONTROL[[#This Row],[VEHIDCODE]]</f>
        <v>item_diesel_Egypt_ENR_TE114E</v>
      </c>
      <c r="Q279" s="32" t="str">
        <f>"str_"&amp;CONTROL[[#This Row],[VEHIDCODE]]</f>
        <v>str_diesel_Egypt_ENR_TE114E</v>
      </c>
    </row>
    <row r="280" spans="1:17">
      <c r="A280" s="2" t="s">
        <v>303</v>
      </c>
      <c r="B280" s="32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s">
        <v>1298</v>
      </c>
      <c r="G280" t="s">
        <v>2645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s="32" t="str">
        <f>"item_"&amp;CONTROL[[#This Row],[VEHIDCODE]]</f>
        <v>item_diesel_Tunisia_SNCFT_040_DJ</v>
      </c>
      <c r="Q280" s="32" t="str">
        <f>"str_"&amp;CONTROL[[#This Row],[VEHIDCODE]]</f>
        <v>str_diesel_Tunisia_SNCFT_040_DJ</v>
      </c>
    </row>
    <row r="281" spans="1:17">
      <c r="A281" s="2" t="s">
        <v>304</v>
      </c>
      <c r="B281" s="32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s">
        <v>1299</v>
      </c>
      <c r="G281" t="s">
        <v>2646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s="32" t="str">
        <f>"item_"&amp;CONTROL[[#This Row],[VEHIDCODE]]</f>
        <v>item_diesel_Morocco_ONCF_DF_100</v>
      </c>
      <c r="Q281" s="32" t="str">
        <f>"str_"&amp;CONTROL[[#This Row],[VEHIDCODE]]</f>
        <v>str_diesel_Morocco_ONCF_DF_100</v>
      </c>
    </row>
    <row r="282" spans="1:17">
      <c r="A282" s="2" t="s">
        <v>305</v>
      </c>
      <c r="B282" s="3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s">
        <v>1300</v>
      </c>
      <c r="G282" t="s">
        <v>2647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s="32" t="str">
        <f>"item_"&amp;CONTROL[[#This Row],[VEHIDCODE]]</f>
        <v>item_diesel_Ukraine_UZ_TEP10L</v>
      </c>
      <c r="Q282" s="32" t="str">
        <f>"str_"&amp;CONTROL[[#This Row],[VEHIDCODE]]</f>
        <v>str_diesel_Ukraine_UZ_TEP10L</v>
      </c>
    </row>
    <row r="283" spans="1:17">
      <c r="A283" s="2" t="s">
        <v>306</v>
      </c>
      <c r="B283" s="32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s">
        <v>1301</v>
      </c>
      <c r="G283" t="s">
        <v>2648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s="32" t="str">
        <f>"item_"&amp;CONTROL[[#This Row],[VEHIDCODE]]</f>
        <v>item_diesel_Belarus_BCh_2TE10M</v>
      </c>
      <c r="Q283" s="32" t="str">
        <f>"str_"&amp;CONTROL[[#This Row],[VEHIDCODE]]</f>
        <v>str_diesel_Belarus_BCh_2TE10M</v>
      </c>
    </row>
    <row r="284" spans="1:17">
      <c r="A284" s="2" t="s">
        <v>307</v>
      </c>
      <c r="B284" s="32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s">
        <v>1302</v>
      </c>
      <c r="G284" t="s">
        <v>2649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s="32" t="str">
        <f>"item_"&amp;CONTROL[[#This Row],[VEHIDCODE]]</f>
        <v>item_diesel_Poland_PKP_SP32</v>
      </c>
      <c r="Q284" s="32" t="str">
        <f>"str_"&amp;CONTROL[[#This Row],[VEHIDCODE]]</f>
        <v>str_diesel_Poland_PKP_SP32</v>
      </c>
    </row>
    <row r="285" spans="1:17">
      <c r="A285" s="2" t="s">
        <v>308</v>
      </c>
      <c r="B285" s="32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s">
        <v>1303</v>
      </c>
      <c r="G285" t="s">
        <v>2650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s="32" t="str">
        <f>"item_"&amp;CONTROL[[#This Row],[VEHIDCODE]]</f>
        <v>item_diesel_Ukraine_UZ_2TE126</v>
      </c>
      <c r="Q285" s="32" t="str">
        <f>"str_"&amp;CONTROL[[#This Row],[VEHIDCODE]]</f>
        <v>str_diesel_Ukraine_UZ_2TE126</v>
      </c>
    </row>
    <row r="286" spans="1:17">
      <c r="A286" s="2" t="s">
        <v>309</v>
      </c>
      <c r="B286" s="32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s">
        <v>1304</v>
      </c>
      <c r="G286" t="s">
        <v>2651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s="32" t="str">
        <f>"item_"&amp;CONTROL[[#This Row],[VEHIDCODE]]</f>
        <v>item_diesel_Ukraine_UZ_2TE10Ut</v>
      </c>
      <c r="Q286" s="32" t="str">
        <f>"str_"&amp;CONTROL[[#This Row],[VEHIDCODE]]</f>
        <v>str_diesel_Ukraine_UZ_2TE10Ut</v>
      </c>
    </row>
    <row r="287" spans="1:17">
      <c r="A287" s="2" t="s">
        <v>310</v>
      </c>
      <c r="B287" s="32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s">
        <v>1305</v>
      </c>
      <c r="G287" t="s">
        <v>2652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s="32" t="str">
        <f>"item_"&amp;CONTROL[[#This Row],[VEHIDCODE]]</f>
        <v>item_diesel_Serbia_ZS_621</v>
      </c>
      <c r="Q287" s="32" t="str">
        <f>"str_"&amp;CONTROL[[#This Row],[VEHIDCODE]]</f>
        <v>str_diesel_Serbia_ZS_621</v>
      </c>
    </row>
    <row r="288" spans="1:17">
      <c r="A288" s="2" t="s">
        <v>311</v>
      </c>
      <c r="B288" s="32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s">
        <v>1306</v>
      </c>
      <c r="G288" t="s">
        <v>2653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s="32" t="str">
        <f>"item_"&amp;CONTROL[[#This Row],[VEHIDCODE]]</f>
        <v>item_diesel_Italy_FS_207</v>
      </c>
      <c r="Q288" s="32" t="str">
        <f>"str_"&amp;CONTROL[[#This Row],[VEHIDCODE]]</f>
        <v>str_diesel_Italy_FS_207</v>
      </c>
    </row>
    <row r="289" spans="1:17">
      <c r="A289" s="2" t="s">
        <v>312</v>
      </c>
      <c r="B289" s="32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s">
        <v>1307</v>
      </c>
      <c r="G289" t="s">
        <v>2654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s="32" t="str">
        <f>"item_"&amp;CONTROL[[#This Row],[VEHIDCODE]]</f>
        <v>item_diesel_Russia_RZD_Db</v>
      </c>
      <c r="Q289" s="32" t="str">
        <f>"str_"&amp;CONTROL[[#This Row],[VEHIDCODE]]</f>
        <v>str_diesel_Russia_RZD_Db</v>
      </c>
    </row>
    <row r="290" spans="1:17">
      <c r="A290" s="2" t="s">
        <v>313</v>
      </c>
      <c r="B290" s="32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s">
        <v>1308</v>
      </c>
      <c r="G290" t="s">
        <v>2655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s="32" t="str">
        <f>"item_"&amp;CONTROL[[#This Row],[VEHIDCODE]]</f>
        <v>item_diesel_Portugal_CP_1500</v>
      </c>
      <c r="Q290" s="32" t="str">
        <f>"str_"&amp;CONTROL[[#This Row],[VEHIDCODE]]</f>
        <v>str_diesel_Portugal_CP_1500</v>
      </c>
    </row>
    <row r="291" spans="1:17">
      <c r="A291" s="2" t="s">
        <v>314</v>
      </c>
      <c r="B291" s="32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s">
        <v>1309</v>
      </c>
      <c r="G291" t="s">
        <v>2656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s="32" t="str">
        <f>"item_"&amp;CONTROL[[#This Row],[VEHIDCODE]]</f>
        <v>item_diesel_France_SNCF_BB_67400</v>
      </c>
      <c r="Q291" s="32" t="str">
        <f>"str_"&amp;CONTROL[[#This Row],[VEHIDCODE]]</f>
        <v>str_diesel_France_SNCF_BB_67400</v>
      </c>
    </row>
    <row r="292" spans="1:17">
      <c r="A292" s="2" t="s">
        <v>315</v>
      </c>
      <c r="B292" s="3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s">
        <v>1310</v>
      </c>
      <c r="G292" t="s">
        <v>2657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s="32" t="str">
        <f>"item_"&amp;CONTROL[[#This Row],[VEHIDCODE]]</f>
        <v>item_diesel_Netherlands_NS_6400</v>
      </c>
      <c r="Q292" s="32" t="str">
        <f>"str_"&amp;CONTROL[[#This Row],[VEHIDCODE]]</f>
        <v>str_diesel_Netherlands_NS_6400</v>
      </c>
    </row>
    <row r="293" spans="1:17">
      <c r="A293" s="2" t="s">
        <v>316</v>
      </c>
      <c r="B293" s="32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s">
        <v>1311</v>
      </c>
      <c r="G293" t="s">
        <v>2658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s="32" t="str">
        <f>"item_"&amp;CONTROL[[#This Row],[VEHIDCODE]]</f>
        <v>item_diesel_Egypt_ENR_2400_GE_ES40ACi</v>
      </c>
      <c r="Q293" s="32" t="str">
        <f>"str_"&amp;CONTROL[[#This Row],[VEHIDCODE]]</f>
        <v>str_diesel_Egypt_ENR_2400_GE_ES40ACi</v>
      </c>
    </row>
    <row r="294" spans="1:17">
      <c r="A294" s="2" t="s">
        <v>317</v>
      </c>
      <c r="B294" s="32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s">
        <v>2306</v>
      </c>
      <c r="G294" t="s">
        <v>2659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s="32" t="str">
        <f>"item_"&amp;CONTROL[[#This Row],[VEHIDCODE]]</f>
        <v>item_diesel_South_Africa_SAR_Afro_4000</v>
      </c>
      <c r="Q294" s="32" t="str">
        <f>"str_"&amp;CONTROL[[#This Row],[VEHIDCODE]]</f>
        <v>str_diesel_South_Africa_SAR_Afro_4000</v>
      </c>
    </row>
    <row r="295" spans="1:17">
      <c r="A295" s="2" t="s">
        <v>318</v>
      </c>
      <c r="B295" s="32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s">
        <v>1312</v>
      </c>
      <c r="G295" t="s">
        <v>2660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s="32" t="str">
        <f>"item_"&amp;CONTROL[[#This Row],[VEHIDCODE]]</f>
        <v>item_diesel_Spain_RENFE_308</v>
      </c>
      <c r="Q295" s="32" t="str">
        <f>"str_"&amp;CONTROL[[#This Row],[VEHIDCODE]]</f>
        <v>str_diesel_Spain_RENFE_308</v>
      </c>
    </row>
    <row r="296" spans="1:17">
      <c r="A296" s="2" t="s">
        <v>319</v>
      </c>
      <c r="B296" s="32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s">
        <v>1313</v>
      </c>
      <c r="G296" t="s">
        <v>2661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s="32" t="str">
        <f>"item_"&amp;CONTROL[[#This Row],[VEHIDCODE]]</f>
        <v>item_diesel_Australia_Pacific_National_XR_XRB</v>
      </c>
      <c r="Q296" s="32" t="str">
        <f>"str_"&amp;CONTROL[[#This Row],[VEHIDCODE]]</f>
        <v>str_diesel_Australia_Pacific_National_XR_XRB</v>
      </c>
    </row>
    <row r="297" spans="1:17">
      <c r="A297" s="2" t="s">
        <v>320</v>
      </c>
      <c r="B297" s="32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s">
        <v>1314</v>
      </c>
      <c r="G297" t="s">
        <v>2662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s="32" t="str">
        <f>"item_"&amp;CONTROL[[#This Row],[VEHIDCODE]]</f>
        <v>item_diesel_Norway_CargoNet_312</v>
      </c>
      <c r="Q297" s="32" t="str">
        <f>"str_"&amp;CONTROL[[#This Row],[VEHIDCODE]]</f>
        <v>str_diesel_Norway_CargoNet_312</v>
      </c>
    </row>
    <row r="298" spans="1:17">
      <c r="A298" s="2" t="s">
        <v>321</v>
      </c>
      <c r="B298" s="32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s">
        <v>1315</v>
      </c>
      <c r="G298" t="s">
        <v>2663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s="32" t="str">
        <f>"item_"&amp;CONTROL[[#This Row],[VEHIDCODE]]</f>
        <v>item_diesel_Australia_Pacific_National_92</v>
      </c>
      <c r="Q298" s="32" t="str">
        <f>"str_"&amp;CONTROL[[#This Row],[VEHIDCODE]]</f>
        <v>str_diesel_Australia_Pacific_National_92</v>
      </c>
    </row>
    <row r="299" spans="1:17">
      <c r="A299" s="2" t="s">
        <v>322</v>
      </c>
      <c r="B299" s="32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s">
        <v>1316</v>
      </c>
      <c r="G299" t="s">
        <v>2664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s="32" t="str">
        <f>"item_"&amp;CONTROL[[#This Row],[VEHIDCODE]]</f>
        <v>item_diesel_UK_BR_68</v>
      </c>
      <c r="Q299" s="32" t="str">
        <f>"str_"&amp;CONTROL[[#This Row],[VEHIDCODE]]</f>
        <v>str_diesel_UK_BR_68</v>
      </c>
    </row>
    <row r="300" spans="1:17">
      <c r="A300" s="2" t="s">
        <v>323</v>
      </c>
      <c r="B300" s="32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s">
        <v>1317</v>
      </c>
      <c r="G300" t="s">
        <v>2665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s="32" t="str">
        <f>"item_"&amp;CONTROL[[#This Row],[VEHIDCODE]]</f>
        <v>item_diesel_USA_Amtrak_Charger</v>
      </c>
      <c r="Q300" s="32" t="str">
        <f>"str_"&amp;CONTROL[[#This Row],[VEHIDCODE]]</f>
        <v>str_diesel_USA_Amtrak_Charger</v>
      </c>
    </row>
    <row r="301" spans="1:17">
      <c r="A301" s="2" t="s">
        <v>324</v>
      </c>
      <c r="B301" s="32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s">
        <v>1318</v>
      </c>
      <c r="G301" t="s">
        <v>2667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s="32" t="str">
        <f>"item_"&amp;CONTROL[[#This Row],[VEHIDCODE]]</f>
        <v>item_mtro_Argentina_Le_Brugeoise</v>
      </c>
      <c r="Q301" s="32" t="str">
        <f>"str_"&amp;CONTROL[[#This Row],[VEHIDCODE]]</f>
        <v>str_mtro_Argentina_Le_Brugeoise</v>
      </c>
    </row>
    <row r="302" spans="1:17">
      <c r="A302" s="2" t="s">
        <v>327</v>
      </c>
      <c r="B302" s="3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s">
        <v>1319</v>
      </c>
      <c r="G302" t="s">
        <v>2668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s="32" t="str">
        <f>"item_"&amp;CONTROL[[#This Row],[VEHIDCODE]]</f>
        <v>item_mtro_USA_NY_R1</v>
      </c>
      <c r="Q302" s="32" t="str">
        <f>"str_"&amp;CONTROL[[#This Row],[VEHIDCODE]]</f>
        <v>str_mtro_USA_NY_R1</v>
      </c>
    </row>
    <row r="303" spans="1:17">
      <c r="A303" s="2" t="s">
        <v>328</v>
      </c>
      <c r="B303" s="32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s">
        <v>1320</v>
      </c>
      <c r="G303" t="s">
        <v>2669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s="32" t="str">
        <f>"item_"&amp;CONTROL[[#This Row],[VEHIDCODE]]</f>
        <v>item_mtro_Germany_DB_ET_171</v>
      </c>
      <c r="Q303" s="32" t="str">
        <f>"str_"&amp;CONTROL[[#This Row],[VEHIDCODE]]</f>
        <v>str_mtro_Germany_DB_ET_171</v>
      </c>
    </row>
    <row r="304" spans="1:17">
      <c r="A304" s="2" t="s">
        <v>329</v>
      </c>
      <c r="B304" s="32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s">
        <v>1321</v>
      </c>
      <c r="G304" t="s">
        <v>2672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s="32" t="str">
        <f>"item_"&amp;CONTROL[[#This Row],[VEHIDCODE]]</f>
        <v>item_mtro_France_Paris_M2_840</v>
      </c>
      <c r="Q304" s="32" t="str">
        <f>"str_"&amp;CONTROL[[#This Row],[VEHIDCODE]]</f>
        <v>str_mtro_France_Paris_M2_840</v>
      </c>
    </row>
    <row r="305" spans="1:17">
      <c r="A305" s="2" t="s">
        <v>330</v>
      </c>
      <c r="B305" s="32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s">
        <v>1322</v>
      </c>
      <c r="G305" t="s">
        <v>2671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s="32" t="str">
        <f>"item_"&amp;CONTROL[[#This Row],[VEHIDCODE]]</f>
        <v>item_mtro_Portugal_Lisbon_ML7</v>
      </c>
      <c r="Q305" s="32" t="str">
        <f>"str_"&amp;CONTROL[[#This Row],[VEHIDCODE]]</f>
        <v>str_mtro_Portugal_Lisbon_ML7</v>
      </c>
    </row>
    <row r="306" spans="1:17">
      <c r="A306" s="2" t="s">
        <v>331</v>
      </c>
      <c r="B306" s="32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s">
        <v>2674</v>
      </c>
      <c r="G306" t="s">
        <v>2670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s="32" t="str">
        <f>"item_"&amp;CONTROL[[#This Row],[VEHIDCODE]]</f>
        <v>item_mtro_Hungary_Budapest_Ev3_200</v>
      </c>
      <c r="Q306" s="32" t="str">
        <f>"str_"&amp;CONTROL[[#This Row],[VEHIDCODE]]</f>
        <v>str_mtro_Hungary_Budapest_Ev3_200</v>
      </c>
    </row>
    <row r="307" spans="1:17">
      <c r="A307" s="2" t="s">
        <v>332</v>
      </c>
      <c r="B307" s="32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s">
        <v>1323</v>
      </c>
      <c r="G307" t="s">
        <v>2673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s="32" t="str">
        <f>"item_"&amp;CONTROL[[#This Row],[VEHIDCODE]]</f>
        <v>item_mtro_Norway_Oslo_T1000</v>
      </c>
      <c r="Q307" s="32" t="str">
        <f>"str_"&amp;CONTROL[[#This Row],[VEHIDCODE]]</f>
        <v>str_mtro_Norway_Oslo_T1000</v>
      </c>
    </row>
    <row r="308" spans="1:17">
      <c r="A308" s="2" t="s">
        <v>333</v>
      </c>
      <c r="B308" s="32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s">
        <v>2676</v>
      </c>
      <c r="G308" t="s">
        <v>2675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s="32" t="str">
        <f>"item_"&amp;CONTROL[[#This Row],[VEHIDCODE]]</f>
        <v>item_mtro_Canada_Toronto_H_series</v>
      </c>
      <c r="Q308" s="32" t="str">
        <f>"str_"&amp;CONTROL[[#This Row],[VEHIDCODE]]</f>
        <v>str_mtro_Canada_Toronto_H_series</v>
      </c>
    </row>
    <row r="309" spans="1:17">
      <c r="A309" s="2" t="s">
        <v>334</v>
      </c>
      <c r="B309" s="32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s">
        <v>1324</v>
      </c>
      <c r="G309" t="s">
        <v>2677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s="32" t="str">
        <f>"item_"&amp;CONTROL[[#This Row],[VEHIDCODE]]</f>
        <v>item_mtro_Germany_Munchen_MVG_A2</v>
      </c>
      <c r="Q309" s="32" t="str">
        <f>"str_"&amp;CONTROL[[#This Row],[VEHIDCODE]]</f>
        <v>str_mtro_Germany_Munchen_MVG_A2</v>
      </c>
    </row>
    <row r="310" spans="1:17">
      <c r="A310" s="2" t="s">
        <v>335</v>
      </c>
      <c r="B310" s="32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s">
        <v>1325</v>
      </c>
      <c r="G310" t="s">
        <v>2678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s="32" t="str">
        <f>"item_"&amp;CONTROL[[#This Row],[VEHIDCODE]]</f>
        <v>item_mtro_USA_NY_R44</v>
      </c>
      <c r="Q310" s="32" t="str">
        <f>"str_"&amp;CONTROL[[#This Row],[VEHIDCODE]]</f>
        <v>str_mtro_USA_NY_R44</v>
      </c>
    </row>
    <row r="311" spans="1:17">
      <c r="A311" s="2" t="s">
        <v>336</v>
      </c>
      <c r="B311" s="32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s">
        <v>1326</v>
      </c>
      <c r="G311" t="s">
        <v>2679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s="32" t="str">
        <f>"item_"&amp;CONTROL[[#This Row],[VEHIDCODE]]</f>
        <v>item_mtro_Netherlands_Amsterdam_Type_M1</v>
      </c>
      <c r="Q311" s="32" t="str">
        <f>"str_"&amp;CONTROL[[#This Row],[VEHIDCODE]]</f>
        <v>str_mtro_Netherlands_Amsterdam_Type_M1</v>
      </c>
    </row>
    <row r="312" spans="1:17">
      <c r="A312" s="2" t="s">
        <v>337</v>
      </c>
      <c r="B312" s="3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s">
        <v>1327</v>
      </c>
      <c r="G312" t="s">
        <v>2680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s="32" t="str">
        <f>"item_"&amp;CONTROL[[#This Row],[VEHIDCODE]]</f>
        <v>item_mtro_Sweden_Stockholm_C8</v>
      </c>
      <c r="Q312" s="32" t="str">
        <f>"str_"&amp;CONTROL[[#This Row],[VEHIDCODE]]</f>
        <v>str_mtro_Sweden_Stockholm_C8</v>
      </c>
    </row>
    <row r="313" spans="1:17">
      <c r="A313" s="2" t="s">
        <v>338</v>
      </c>
      <c r="B313" s="32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s">
        <v>1328</v>
      </c>
      <c r="G313" t="s">
        <v>2681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s="32" t="str">
        <f>"item_"&amp;CONTROL[[#This Row],[VEHIDCODE]]</f>
        <v>item_mtro_North_Korea_Pyongyang_D_stock</v>
      </c>
      <c r="Q313" s="32" t="str">
        <f>"str_"&amp;CONTROL[[#This Row],[VEHIDCODE]]</f>
        <v>str_mtro_North_Korea_Pyongyang_D_stock</v>
      </c>
    </row>
    <row r="314" spans="1:17">
      <c r="A314" s="2" t="s">
        <v>339</v>
      </c>
      <c r="B314" s="32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s">
        <v>1329</v>
      </c>
      <c r="G314" t="s">
        <v>2682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s="32" t="str">
        <f>"item_"&amp;CONTROL[[#This Row],[VEHIDCODE]]</f>
        <v>item_mtro_Finland_Helsinki_M100</v>
      </c>
      <c r="Q314" s="32" t="str">
        <f>"str_"&amp;CONTROL[[#This Row],[VEHIDCODE]]</f>
        <v>str_mtro_Finland_Helsinki_M100</v>
      </c>
    </row>
    <row r="315" spans="1:17">
      <c r="A315" s="2" t="s">
        <v>340</v>
      </c>
      <c r="B315" s="32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s">
        <v>1330</v>
      </c>
      <c r="G315" t="s">
        <v>2683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s="32" t="str">
        <f>"item_"&amp;CONTROL[[#This Row],[VEHIDCODE]]</f>
        <v>item_mtro_Brazil_Sao_Paulo_Serie_5500</v>
      </c>
      <c r="Q315" s="32" t="str">
        <f>"str_"&amp;CONTROL[[#This Row],[VEHIDCODE]]</f>
        <v>str_mtro_Brazil_Sao_Paulo_Serie_5500</v>
      </c>
    </row>
    <row r="316" spans="1:17">
      <c r="A316" s="2" t="s">
        <v>341</v>
      </c>
      <c r="B316" s="32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s">
        <v>1331</v>
      </c>
      <c r="G316" t="s">
        <v>2666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s="32" t="str">
        <f>"item_"&amp;CONTROL[[#This Row],[VEHIDCODE]]</f>
        <v>item_mtro_Russia_Moscow_81_720</v>
      </c>
      <c r="Q316" s="32" t="str">
        <f>"str_"&amp;CONTROL[[#This Row],[VEHIDCODE]]</f>
        <v>str_mtro_Russia_Moscow_81_720</v>
      </c>
    </row>
    <row r="317" spans="1:17">
      <c r="A317" s="2" t="s">
        <v>342</v>
      </c>
      <c r="B317" s="32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s">
        <v>1332</v>
      </c>
      <c r="G317" t="s">
        <v>2684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s="32" t="str">
        <f>"item_"&amp;CONTROL[[#This Row],[VEHIDCODE]]</f>
        <v>item_mtro_Japan_Tokyo_S01</v>
      </c>
      <c r="Q317" s="32" t="str">
        <f>"str_"&amp;CONTROL[[#This Row],[VEHIDCODE]]</f>
        <v>str_mtro_Japan_Tokyo_S01</v>
      </c>
    </row>
    <row r="318" spans="1:17">
      <c r="A318" s="2" t="s">
        <v>343</v>
      </c>
      <c r="B318" s="32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s">
        <v>2685</v>
      </c>
      <c r="G318" t="s">
        <v>2686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s="32" t="str">
        <f>"item_"&amp;CONTROL[[#This Row],[VEHIDCODE]]</f>
        <v>item_mtro_Egypt_Cairo_1987_Stock</v>
      </c>
      <c r="Q318" s="32" t="str">
        <f>"str_"&amp;CONTROL[[#This Row],[VEHIDCODE]]</f>
        <v>str_mtro_Egypt_Cairo_1987_Stock</v>
      </c>
    </row>
    <row r="319" spans="1:17">
      <c r="A319" s="2" t="s">
        <v>344</v>
      </c>
      <c r="B319" s="32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s">
        <v>2687</v>
      </c>
      <c r="G319" t="s">
        <v>2688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s="32" t="str">
        <f>"item_"&amp;CONTROL[[#This Row],[VEHIDCODE]]</f>
        <v>item_mtro_UK_DLR_P86</v>
      </c>
      <c r="Q319" s="32" t="str">
        <f>"str_"&amp;CONTROL[[#This Row],[VEHIDCODE]]</f>
        <v>str_mtro_UK_DLR_P86</v>
      </c>
    </row>
    <row r="320" spans="1:17">
      <c r="A320" s="2" t="s">
        <v>345</v>
      </c>
      <c r="B320" s="32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s">
        <v>1333</v>
      </c>
      <c r="G320" t="s">
        <v>2689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s="32" t="str">
        <f>"item_"&amp;CONTROL[[#This Row],[VEHIDCODE]]</f>
        <v>item_mtro_Russia_Moscow_81_7175M</v>
      </c>
      <c r="Q320" s="32" t="str">
        <f>"str_"&amp;CONTROL[[#This Row],[VEHIDCODE]]</f>
        <v>str_mtro_Russia_Moscow_81_7175M</v>
      </c>
    </row>
    <row r="321" spans="1:17">
      <c r="A321" s="2" t="s">
        <v>346</v>
      </c>
      <c r="B321" s="32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s">
        <v>1334</v>
      </c>
      <c r="G321" t="s">
        <v>2690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s="32" t="str">
        <f>"item_"&amp;CONTROL[[#This Row],[VEHIDCODE]]</f>
        <v>item_mtro_USA_Boston_01800</v>
      </c>
      <c r="Q321" s="32" t="str">
        <f>"str_"&amp;CONTROL[[#This Row],[VEHIDCODE]]</f>
        <v>str_mtro_USA_Boston_01800</v>
      </c>
    </row>
    <row r="322" spans="1:17">
      <c r="A322" s="2" t="s">
        <v>347</v>
      </c>
      <c r="B322" s="3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s">
        <v>1335</v>
      </c>
      <c r="G322" t="s">
        <v>2691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s="32" t="str">
        <f>"item_"&amp;CONTROL[[#This Row],[VEHIDCODE]]</f>
        <v>item_mtro_USA_LA_A650</v>
      </c>
      <c r="Q322" s="32" t="str">
        <f>"str_"&amp;CONTROL[[#This Row],[VEHIDCODE]]</f>
        <v>str_mtro_USA_LA_A650</v>
      </c>
    </row>
    <row r="323" spans="1:17">
      <c r="A323" s="2" t="s">
        <v>348</v>
      </c>
      <c r="B323" s="32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s">
        <v>1336</v>
      </c>
      <c r="G323" t="s">
        <v>2692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s="32" t="str">
        <f>"item_"&amp;CONTROL[[#This Row],[VEHIDCODE]]</f>
        <v>item_mtro_Taiwan_Taipei_C301</v>
      </c>
      <c r="Q323" s="32" t="str">
        <f>"str_"&amp;CONTROL[[#This Row],[VEHIDCODE]]</f>
        <v>str_mtro_Taiwan_Taipei_C301</v>
      </c>
    </row>
    <row r="324" spans="1:17">
      <c r="A324" s="2" t="s">
        <v>349</v>
      </c>
      <c r="B324" s="32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s">
        <v>2694</v>
      </c>
      <c r="G324" t="s">
        <v>2693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s="32" t="str">
        <f>"item_"&amp;CONTROL[[#This Row],[VEHIDCODE]]</f>
        <v>item_mtro_Netherlands_Amsterdam_CAF_90</v>
      </c>
      <c r="Q324" s="32" t="str">
        <f>"str_"&amp;CONTROL[[#This Row],[VEHIDCODE]]</f>
        <v>str_mtro_Netherlands_Amsterdam_CAF_90</v>
      </c>
    </row>
    <row r="325" spans="1:17">
      <c r="A325" s="2" t="s">
        <v>350</v>
      </c>
      <c r="B325" s="32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s">
        <v>1337</v>
      </c>
      <c r="G325" t="s">
        <v>2695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s="32" t="str">
        <f>"item_"&amp;CONTROL[[#This Row],[VEHIDCODE]]</f>
        <v>item_mtro_France_Paris_MP89</v>
      </c>
      <c r="Q325" s="32" t="str">
        <f>"str_"&amp;CONTROL[[#This Row],[VEHIDCODE]]</f>
        <v>str_mtro_France_Paris_MP89</v>
      </c>
    </row>
    <row r="326" spans="1:17">
      <c r="A326" s="2" t="s">
        <v>351</v>
      </c>
      <c r="B326" s="32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s">
        <v>1338</v>
      </c>
      <c r="G326" t="s">
        <v>2696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s="32" t="str">
        <f>"item_"&amp;CONTROL[[#This Row],[VEHIDCODE]]</f>
        <v>item_mtro_Russia_Moscow_81_740</v>
      </c>
      <c r="Q326" s="32" t="str">
        <f>"str_"&amp;CONTROL[[#This Row],[VEHIDCODE]]</f>
        <v>str_mtro_Russia_Moscow_81_740</v>
      </c>
    </row>
    <row r="327" spans="1:17">
      <c r="A327" s="2" t="s">
        <v>352</v>
      </c>
      <c r="B327" s="32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s">
        <v>1339</v>
      </c>
      <c r="G327" t="s">
        <v>2697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s="32" t="str">
        <f>"item_"&amp;CONTROL[[#This Row],[VEHIDCODE]]</f>
        <v>item_mtro_Singapore_Singapore_C830_Metropolis</v>
      </c>
      <c r="Q327" s="32" t="str">
        <f>"str_"&amp;CONTROL[[#This Row],[VEHIDCODE]]</f>
        <v>str_mtro_Singapore_Singapore_C830_Metropolis</v>
      </c>
    </row>
    <row r="328" spans="1:17">
      <c r="A328" s="2" t="s">
        <v>353</v>
      </c>
      <c r="B328" s="32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s">
        <v>1340</v>
      </c>
      <c r="G328" t="s">
        <v>2698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s="32" t="str">
        <f>"item_"&amp;CONTROL[[#This Row],[VEHIDCODE]]</f>
        <v>item_mtro_Norway_Oslo_MX3000</v>
      </c>
      <c r="Q328" s="32" t="str">
        <f>"str_"&amp;CONTROL[[#This Row],[VEHIDCODE]]</f>
        <v>str_mtro_Norway_Oslo_MX3000</v>
      </c>
    </row>
    <row r="329" spans="1:17">
      <c r="A329" s="2" t="s">
        <v>354</v>
      </c>
      <c r="B329" s="32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s">
        <v>1341</v>
      </c>
      <c r="G329" t="s">
        <v>2699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s="32" t="str">
        <f>"item_"&amp;CONTROL[[#This Row],[VEHIDCODE]]</f>
        <v>item_mtro_Japan_Osaka_30000</v>
      </c>
      <c r="Q329" s="32" t="str">
        <f>"str_"&amp;CONTROL[[#This Row],[VEHIDCODE]]</f>
        <v>str_mtro_Japan_Osaka_30000</v>
      </c>
    </row>
    <row r="330" spans="1:17">
      <c r="A330" s="2" t="s">
        <v>355</v>
      </c>
      <c r="B330" s="32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s">
        <v>1342</v>
      </c>
      <c r="G330" t="s">
        <v>2700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s="32" t="str">
        <f>"item_"&amp;CONTROL[[#This Row],[VEHIDCODE]]</f>
        <v>item_mtro_Singapore_Singapore_C151A</v>
      </c>
      <c r="Q330" s="32" t="str">
        <f>"str_"&amp;CONTROL[[#This Row],[VEHIDCODE]]</f>
        <v>str_mtro_Singapore_Singapore_C151A</v>
      </c>
    </row>
    <row r="331" spans="1:17">
      <c r="A331" s="2" t="s">
        <v>356</v>
      </c>
      <c r="B331" s="32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s">
        <v>1343</v>
      </c>
      <c r="G331" t="s">
        <v>2701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s="32" t="str">
        <f>"item_"&amp;CONTROL[[#This Row],[VEHIDCODE]]</f>
        <v>item_mtro_USA_Washington_7000</v>
      </c>
      <c r="Q331" s="32" t="str">
        <f>"str_"&amp;CONTROL[[#This Row],[VEHIDCODE]]</f>
        <v>str_mtro_USA_Washington_7000</v>
      </c>
    </row>
    <row r="332" spans="1:17">
      <c r="A332" s="2" t="s">
        <v>357</v>
      </c>
      <c r="B332" s="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s">
        <v>1344</v>
      </c>
      <c r="G332" t="s">
        <v>2702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s="32" t="str">
        <f>"item_"&amp;CONTROL[[#This Row],[VEHIDCODE]]</f>
        <v>item_mtro_Greece_Thessaloniki_2014</v>
      </c>
      <c r="Q332" s="32" t="str">
        <f>"str_"&amp;CONTROL[[#This Row],[VEHIDCODE]]</f>
        <v>str_mtro_Greece_Thessaloniki_2014</v>
      </c>
    </row>
    <row r="333" spans="1:17">
      <c r="A333" s="2" t="s">
        <v>358</v>
      </c>
      <c r="B333" s="32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s">
        <v>1345</v>
      </c>
      <c r="G333" t="s">
        <v>2703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s="32" t="str">
        <f>"item_"&amp;CONTROL[[#This Row],[VEHIDCODE]]</f>
        <v>item_mtro_Germany_Berlin_U_Bahn_A_I</v>
      </c>
      <c r="Q333" s="32" t="str">
        <f>"str_"&amp;CONTROL[[#This Row],[VEHIDCODE]]</f>
        <v>str_mtro_Germany_Berlin_U_Bahn_A_I</v>
      </c>
    </row>
    <row r="334" spans="1:17">
      <c r="A334" s="2" t="s">
        <v>359</v>
      </c>
      <c r="B334" s="32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s">
        <v>1346</v>
      </c>
      <c r="G334" t="s">
        <v>2704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s="32" t="str">
        <f>"item_"&amp;CONTROL[[#This Row],[VEHIDCODE]]</f>
        <v>item_mtro_USA_NY_Hedley_Hi_V</v>
      </c>
      <c r="Q334" s="32" t="str">
        <f>"str_"&amp;CONTROL[[#This Row],[VEHIDCODE]]</f>
        <v>str_mtro_USA_NY_Hedley_Hi_V</v>
      </c>
    </row>
    <row r="335" spans="1:17">
      <c r="A335" s="2" t="s">
        <v>360</v>
      </c>
      <c r="B335" s="32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s">
        <v>1347</v>
      </c>
      <c r="G335" t="s">
        <v>2705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s="32" t="str">
        <f>"item_"&amp;CONTROL[[#This Row],[VEHIDCODE]]</f>
        <v>item_mtro_Japan_Osaka_1000</v>
      </c>
      <c r="Q335" s="32" t="str">
        <f>"str_"&amp;CONTROL[[#This Row],[VEHIDCODE]]</f>
        <v>str_mtro_Japan_Osaka_1000</v>
      </c>
    </row>
    <row r="336" spans="1:17">
      <c r="A336" s="2" t="s">
        <v>361</v>
      </c>
      <c r="B336" s="32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s">
        <v>1348</v>
      </c>
      <c r="G336" t="s">
        <v>2706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s="32" t="str">
        <f>"item_"&amp;CONTROL[[#This Row],[VEHIDCODE]]</f>
        <v>item_mtro_Russia_Moscow_Type_A</v>
      </c>
      <c r="Q336" s="32" t="str">
        <f>"str_"&amp;CONTROL[[#This Row],[VEHIDCODE]]</f>
        <v>str_mtro_Russia_Moscow_Type_A</v>
      </c>
    </row>
    <row r="337" spans="1:17">
      <c r="A337" s="2" t="s">
        <v>362</v>
      </c>
      <c r="B337" s="32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s">
        <v>1349</v>
      </c>
      <c r="G337" t="s">
        <v>2707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s="32" t="str">
        <f>"item_"&amp;CONTROL[[#This Row],[VEHIDCODE]]</f>
        <v>item_mtro_USA_NY_R10</v>
      </c>
      <c r="Q337" s="32" t="str">
        <f>"str_"&amp;CONTROL[[#This Row],[VEHIDCODE]]</f>
        <v>str_mtro_USA_NY_R10</v>
      </c>
    </row>
    <row r="338" spans="1:17">
      <c r="A338" s="2" t="s">
        <v>363</v>
      </c>
      <c r="B338" s="32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s">
        <v>1350</v>
      </c>
      <c r="G338" t="s">
        <v>2708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s="32" t="str">
        <f>"item_"&amp;CONTROL[[#This Row],[VEHIDCODE]]</f>
        <v>item_mtro_Italy_Rome_MR_100</v>
      </c>
      <c r="Q338" s="32" t="str">
        <f>"str_"&amp;CONTROL[[#This Row],[VEHIDCODE]]</f>
        <v>str_mtro_Italy_Rome_MR_100</v>
      </c>
    </row>
    <row r="339" spans="1:17">
      <c r="A339" s="2" t="s">
        <v>364</v>
      </c>
      <c r="B339" s="32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s">
        <v>1351</v>
      </c>
      <c r="G339" t="s">
        <v>2709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s="32" t="str">
        <f>"item_"&amp;CONTROL[[#This Row],[VEHIDCODE]]</f>
        <v>item_mtro_Russia_Moscow_Type_D</v>
      </c>
      <c r="Q339" s="32" t="str">
        <f>"str_"&amp;CONTROL[[#This Row],[VEHIDCODE]]</f>
        <v>str_mtro_Russia_Moscow_Type_D</v>
      </c>
    </row>
    <row r="340" spans="1:17">
      <c r="A340" s="2" t="s">
        <v>365</v>
      </c>
      <c r="B340" s="32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s">
        <v>1352</v>
      </c>
      <c r="G340" t="s">
        <v>2710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s="32" t="str">
        <f>"item_"&amp;CONTROL[[#This Row],[VEHIDCODE]]</f>
        <v>item_mtro_Netherlands_Rotterdam_MG2_Type_M</v>
      </c>
      <c r="Q340" s="32" t="str">
        <f>"str_"&amp;CONTROL[[#This Row],[VEHIDCODE]]</f>
        <v>str_mtro_Netherlands_Rotterdam_MG2_Type_M</v>
      </c>
    </row>
    <row r="341" spans="1:17">
      <c r="A341" s="2" t="s">
        <v>366</v>
      </c>
      <c r="B341" s="32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s">
        <v>1353</v>
      </c>
      <c r="G341" t="s">
        <v>2711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s="32" t="str">
        <f>"item_"&amp;CONTROL[[#This Row],[VEHIDCODE]]</f>
        <v>item_mtro_Czech_Republic_Prague_ECS_Set</v>
      </c>
      <c r="Q341" s="32" t="str">
        <f>"str_"&amp;CONTROL[[#This Row],[VEHIDCODE]]</f>
        <v>str_mtro_Czech_Republic_Prague_ECS_Set</v>
      </c>
    </row>
    <row r="342" spans="1:17">
      <c r="A342" s="2" t="s">
        <v>367</v>
      </c>
      <c r="B342" s="3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s">
        <v>1354</v>
      </c>
      <c r="G342" t="s">
        <v>2712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s="32" t="str">
        <f>"item_"&amp;CONTROL[[#This Row],[VEHIDCODE]]</f>
        <v>item_mtro_Argentina_Buenos_Aires_Serie_1200</v>
      </c>
      <c r="Q342" s="32" t="str">
        <f>"str_"&amp;CONTROL[[#This Row],[VEHIDCODE]]</f>
        <v>str_mtro_Argentina_Buenos_Aires_Serie_1200</v>
      </c>
    </row>
    <row r="343" spans="1:17">
      <c r="A343" s="2" t="s">
        <v>368</v>
      </c>
      <c r="B343" s="32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s">
        <v>1355</v>
      </c>
      <c r="G343" t="s">
        <v>2713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s="32" t="str">
        <f>"item_"&amp;CONTROL[[#This Row],[VEHIDCODE]]</f>
        <v>item_mtro_Chile_Santiago_NS_93</v>
      </c>
      <c r="Q343" s="32" t="str">
        <f>"str_"&amp;CONTROL[[#This Row],[VEHIDCODE]]</f>
        <v>str_mtro_Chile_Santiago_NS_93</v>
      </c>
    </row>
    <row r="344" spans="1:17">
      <c r="A344" s="2" t="s">
        <v>369</v>
      </c>
      <c r="B344" s="32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s">
        <v>1356</v>
      </c>
      <c r="G344" t="s">
        <v>2714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s="32" t="str">
        <f>"item_"&amp;CONTROL[[#This Row],[VEHIDCODE]]</f>
        <v>item_mtro_Chile_Santiago_AS_2002</v>
      </c>
      <c r="Q344" s="32" t="str">
        <f>"str_"&amp;CONTROL[[#This Row],[VEHIDCODE]]</f>
        <v>str_mtro_Chile_Santiago_AS_2002</v>
      </c>
    </row>
    <row r="345" spans="1:17">
      <c r="A345" s="2" t="s">
        <v>370</v>
      </c>
      <c r="B345" s="32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s">
        <v>1357</v>
      </c>
      <c r="G345" t="s">
        <v>2715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s="32" t="str">
        <f>"item_"&amp;CONTROL[[#This Row],[VEHIDCODE]]</f>
        <v>item_mtro_Brazil_Recife_VLT_Mobile_3</v>
      </c>
      <c r="Q345" s="32" t="str">
        <f>"str_"&amp;CONTROL[[#This Row],[VEHIDCODE]]</f>
        <v>str_mtro_Brazil_Recife_VLT_Mobile_3</v>
      </c>
    </row>
    <row r="346" spans="1:17">
      <c r="A346" s="2" t="s">
        <v>371</v>
      </c>
      <c r="B346" s="32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s">
        <v>1358</v>
      </c>
      <c r="G346" t="s">
        <v>2716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s="32" t="str">
        <f>"item_"&amp;CONTROL[[#This Row],[VEHIDCODE]]</f>
        <v>item_mtro_Spain_Madrid_Series_5000</v>
      </c>
      <c r="Q346" s="32" t="str">
        <f>"str_"&amp;CONTROL[[#This Row],[VEHIDCODE]]</f>
        <v>str_mtro_Spain_Madrid_Series_5000</v>
      </c>
    </row>
    <row r="347" spans="1:17">
      <c r="A347" s="2" t="s">
        <v>372</v>
      </c>
      <c r="B347" s="32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s">
        <v>1359</v>
      </c>
      <c r="G347" t="s">
        <v>2717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s="32" t="str">
        <f>"item_"&amp;CONTROL[[#This Row],[VEHIDCODE]]</f>
        <v>item_mtro_Italy_Rome_S_300</v>
      </c>
      <c r="Q347" s="32" t="str">
        <f>"str_"&amp;CONTROL[[#This Row],[VEHIDCODE]]</f>
        <v>str_mtro_Italy_Rome_S_300</v>
      </c>
    </row>
    <row r="348" spans="1:17">
      <c r="A348" s="2" t="s">
        <v>373</v>
      </c>
      <c r="B348" s="32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s">
        <v>1360</v>
      </c>
      <c r="G348" t="s">
        <v>2718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s="32" t="str">
        <f>"item_"&amp;CONTROL[[#This Row],[VEHIDCODE]]</f>
        <v>item_mtro_Algeria_Algiers_CAF_2011_Stock</v>
      </c>
      <c r="Q348" s="32" t="str">
        <f>"str_"&amp;CONTROL[[#This Row],[VEHIDCODE]]</f>
        <v>str_mtro_Algeria_Algiers_CAF_2011_Stock</v>
      </c>
    </row>
    <row r="349" spans="1:17">
      <c r="A349" s="2" t="s">
        <v>374</v>
      </c>
      <c r="B349" s="32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s">
        <v>1361</v>
      </c>
      <c r="G349" t="s">
        <v>2719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s="32" t="str">
        <f>"item_"&amp;CONTROL[[#This Row],[VEHIDCODE]]</f>
        <v>item_mtro_Germany_Berlin_U_Bahn_IK</v>
      </c>
      <c r="Q349" s="32" t="str">
        <f>"str_"&amp;CONTROL[[#This Row],[VEHIDCODE]]</f>
        <v>str_mtro_Germany_Berlin_U_Bahn_IK</v>
      </c>
    </row>
    <row r="350" spans="1:17">
      <c r="A350" s="2" t="s">
        <v>375</v>
      </c>
      <c r="B350" s="32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s">
        <v>1362</v>
      </c>
      <c r="G350" t="s">
        <v>2720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s="32" t="str">
        <f>"item_"&amp;CONTROL[[#This Row],[VEHIDCODE]]</f>
        <v>item_mtro_USA_Chicago_L_6000</v>
      </c>
      <c r="Q350" s="32" t="str">
        <f>"str_"&amp;CONTROL[[#This Row],[VEHIDCODE]]</f>
        <v>str_mtro_USA_Chicago_L_6000</v>
      </c>
    </row>
    <row r="351" spans="1:17">
      <c r="A351" s="2" t="s">
        <v>376</v>
      </c>
      <c r="B351" s="32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s">
        <v>1363</v>
      </c>
      <c r="G351" t="s">
        <v>2721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s="32" t="str">
        <f>"item_"&amp;CONTROL[[#This Row],[VEHIDCODE]]</f>
        <v>item_mtro_UK_London_1903_Stock</v>
      </c>
      <c r="Q351" s="32" t="str">
        <f>"str_"&amp;CONTROL[[#This Row],[VEHIDCODE]]</f>
        <v>str_mtro_UK_London_1903_Stock</v>
      </c>
    </row>
    <row r="352" spans="1:17">
      <c r="A352" s="2" t="s">
        <v>377</v>
      </c>
      <c r="B352" s="3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s">
        <v>1364</v>
      </c>
      <c r="G352" t="s">
        <v>2722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s="32" t="str">
        <f>"item_"&amp;CONTROL[[#This Row],[VEHIDCODE]]</f>
        <v>item_mtro_UK_London_1938_Stock</v>
      </c>
      <c r="Q352" s="32" t="str">
        <f>"str_"&amp;CONTROL[[#This Row],[VEHIDCODE]]</f>
        <v>str_mtro_UK_London_1938_Stock</v>
      </c>
    </row>
    <row r="353" spans="1:17">
      <c r="A353" s="2" t="s">
        <v>378</v>
      </c>
      <c r="B353" s="32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s">
        <v>1365</v>
      </c>
      <c r="G353" t="s">
        <v>2723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s="32" t="str">
        <f>"item_"&amp;CONTROL[[#This Row],[VEHIDCODE]]</f>
        <v>item_electric_UK_NER_EF1</v>
      </c>
      <c r="Q353" s="32" t="str">
        <f>"str_"&amp;CONTROL[[#This Row],[VEHIDCODE]]</f>
        <v>str_electric_UK_NER_EF1</v>
      </c>
    </row>
    <row r="354" spans="1:17">
      <c r="A354" s="2" t="s">
        <v>379</v>
      </c>
      <c r="B354" s="32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s">
        <v>1366</v>
      </c>
      <c r="G354" t="s">
        <v>2724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s="32" t="str">
        <f>"item_"&amp;CONTROL[[#This Row],[VEHIDCODE]]</f>
        <v>item_electric_Japan_JNR_EB10</v>
      </c>
      <c r="Q354" s="32" t="str">
        <f>"str_"&amp;CONTROL[[#This Row],[VEHIDCODE]]</f>
        <v>str_electric_Japan_JNR_EB10</v>
      </c>
    </row>
    <row r="355" spans="1:17">
      <c r="A355" s="2" t="s">
        <v>380</v>
      </c>
      <c r="B355" s="32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s">
        <v>1367</v>
      </c>
      <c r="G355" t="s">
        <v>2725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s="32" t="str">
        <f>"item_"&amp;CONTROL[[#This Row],[VEHIDCODE]]</f>
        <v>item_electric_Japan_JNR_EF55</v>
      </c>
      <c r="Q355" s="32" t="str">
        <f>"str_"&amp;CONTROL[[#This Row],[VEHIDCODE]]</f>
        <v>str_electric_Japan_JNR_EF55</v>
      </c>
    </row>
    <row r="356" spans="1:17">
      <c r="A356" s="2" t="s">
        <v>381</v>
      </c>
      <c r="B356" s="32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s">
        <v>1368</v>
      </c>
      <c r="G356" t="s">
        <v>2726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s="32" t="str">
        <f>"item_"&amp;CONTROL[[#This Row],[VEHIDCODE]]</f>
        <v>item_electric_Netherlands_NS_1000</v>
      </c>
      <c r="Q356" s="32" t="str">
        <f>"str_"&amp;CONTROL[[#This Row],[VEHIDCODE]]</f>
        <v>str_electric_Netherlands_NS_1000</v>
      </c>
    </row>
    <row r="357" spans="1:17">
      <c r="A357" s="2" t="s">
        <v>382</v>
      </c>
      <c r="B357" s="32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s">
        <v>1369</v>
      </c>
      <c r="G357" t="s">
        <v>2727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s="32" t="str">
        <f>"item_"&amp;CONTROL[[#This Row],[VEHIDCODE]]</f>
        <v>item_electric_Netherlands_NS_1600</v>
      </c>
      <c r="Q357" s="32" t="str">
        <f>"str_"&amp;CONTROL[[#This Row],[VEHIDCODE]]</f>
        <v>str_electric_Netherlands_NS_1600</v>
      </c>
    </row>
    <row r="358" spans="1:17">
      <c r="A358" s="2" t="s">
        <v>383</v>
      </c>
      <c r="B358" s="32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s">
        <v>1370</v>
      </c>
      <c r="G358" t="s">
        <v>2728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s="32" t="str">
        <f>"item_"&amp;CONTROL[[#This Row],[VEHIDCODE]]</f>
        <v>item_electric_Australia_Victorian_Railways_E_Class</v>
      </c>
      <c r="Q358" s="32" t="str">
        <f>"str_"&amp;CONTROL[[#This Row],[VEHIDCODE]]</f>
        <v>str_electric_Australia_Victorian_Railways_E_Class</v>
      </c>
    </row>
    <row r="359" spans="1:17">
      <c r="A359" s="2" t="s">
        <v>384</v>
      </c>
      <c r="B359" s="32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s">
        <v>1371</v>
      </c>
      <c r="G359" t="s">
        <v>2729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s="32" t="str">
        <f>"item_"&amp;CONTROL[[#This Row],[VEHIDCODE]]</f>
        <v>item_electric_UK_NER_ES1</v>
      </c>
      <c r="Q359" s="32" t="str">
        <f>"str_"&amp;CONTROL[[#This Row],[VEHIDCODE]]</f>
        <v>str_electric_UK_NER_ES1</v>
      </c>
    </row>
    <row r="360" spans="1:17">
      <c r="A360" s="2" t="s">
        <v>385</v>
      </c>
      <c r="B360" s="32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s">
        <v>2731</v>
      </c>
      <c r="G360" t="s">
        <v>2730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s="32" t="str">
        <f>"item_"&amp;CONTROL[[#This Row],[VEHIDCODE]]</f>
        <v>item_electric_USA_NYC_S_motor</v>
      </c>
      <c r="Q360" s="32" t="str">
        <f>"str_"&amp;CONTROL[[#This Row],[VEHIDCODE]]</f>
        <v>str_electric_USA_NYC_S_motor</v>
      </c>
    </row>
    <row r="361" spans="1:17">
      <c r="A361" s="2" t="s">
        <v>386</v>
      </c>
      <c r="B361" s="32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s">
        <v>1372</v>
      </c>
      <c r="G361" t="s">
        <v>2732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s="32" t="str">
        <f>"item_"&amp;CONTROL[[#This Row],[VEHIDCODE]]</f>
        <v>item_electric_Japan_Aichi_Railroad_DeKi_400</v>
      </c>
      <c r="Q361" s="32" t="str">
        <f>"str_"&amp;CONTROL[[#This Row],[VEHIDCODE]]</f>
        <v>str_electric_Japan_Aichi_Railroad_DeKi_400</v>
      </c>
    </row>
    <row r="362" spans="1:17">
      <c r="A362" s="2" t="s">
        <v>387</v>
      </c>
      <c r="B362" s="3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s">
        <v>1373</v>
      </c>
      <c r="G362" t="s">
        <v>2733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s="32" t="str">
        <f>"item_"&amp;CONTROL[[#This Row],[VEHIDCODE]]</f>
        <v>item_electric_India_Indian_Railways_WCG_1</v>
      </c>
      <c r="Q362" s="32" t="str">
        <f>"str_"&amp;CONTROL[[#This Row],[VEHIDCODE]]</f>
        <v>str_electric_India_Indian_Railways_WCG_1</v>
      </c>
    </row>
    <row r="363" spans="1:17">
      <c r="A363" s="2" t="s">
        <v>388</v>
      </c>
      <c r="B363" s="32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s">
        <v>1374</v>
      </c>
      <c r="G363" t="s">
        <v>2734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s="32" t="str">
        <f>"item_"&amp;CONTROL[[#This Row],[VEHIDCODE]]</f>
        <v>item_electric_France_SNCF_BB_9004</v>
      </c>
      <c r="Q363" s="32" t="str">
        <f>"str_"&amp;CONTROL[[#This Row],[VEHIDCODE]]</f>
        <v>str_electric_France_SNCF_BB_9004</v>
      </c>
    </row>
    <row r="364" spans="1:17">
      <c r="A364" s="2" t="s">
        <v>389</v>
      </c>
      <c r="B364" s="32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s">
        <v>1375</v>
      </c>
      <c r="G364" t="s">
        <v>2735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s="32" t="str">
        <f>"item_"&amp;CONTROL[[#This Row],[VEHIDCODE]]</f>
        <v>item_electric_Indonesia_ESS_3200</v>
      </c>
      <c r="Q364" s="32" t="str">
        <f>"str_"&amp;CONTROL[[#This Row],[VEHIDCODE]]</f>
        <v>str_electric_Indonesia_ESS_3200</v>
      </c>
    </row>
    <row r="365" spans="1:17">
      <c r="A365" s="2" t="s">
        <v>390</v>
      </c>
      <c r="B365" s="32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s">
        <v>1376</v>
      </c>
      <c r="G365" t="s">
        <v>2736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s="32" t="str">
        <f>"item_"&amp;CONTROL[[#This Row],[VEHIDCODE]]</f>
        <v>item_electric_UK_BR_77_Metrovic</v>
      </c>
      <c r="Q365" s="32" t="str">
        <f>"str_"&amp;CONTROL[[#This Row],[VEHIDCODE]]</f>
        <v>str_electric_UK_BR_77_Metrovic</v>
      </c>
    </row>
    <row r="366" spans="1:17">
      <c r="A366" s="2" t="s">
        <v>391</v>
      </c>
      <c r="B366" s="32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s">
        <v>1377</v>
      </c>
      <c r="G366" t="s">
        <v>2737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s="32" t="str">
        <f>"item_"&amp;CONTROL[[#This Row],[VEHIDCODE]]</f>
        <v>item_electric_UK_NER_EE1</v>
      </c>
      <c r="Q366" s="32" t="str">
        <f>"str_"&amp;CONTROL[[#This Row],[VEHIDCODE]]</f>
        <v>str_electric_UK_NER_EE1</v>
      </c>
    </row>
    <row r="367" spans="1:17">
      <c r="A367" s="2" t="s">
        <v>392</v>
      </c>
      <c r="B367" s="32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s">
        <v>1378</v>
      </c>
      <c r="G367" t="s">
        <v>2738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s="32" t="str">
        <f>"item_"&amp;CONTROL[[#This Row],[VEHIDCODE]]</f>
        <v>item_electric_USA_Milwaukee_Road_ES_2</v>
      </c>
      <c r="Q367" s="32" t="str">
        <f>"str_"&amp;CONTROL[[#This Row],[VEHIDCODE]]</f>
        <v>str_electric_USA_Milwaukee_Road_ES_2</v>
      </c>
    </row>
    <row r="368" spans="1:17">
      <c r="A368" s="2" t="s">
        <v>393</v>
      </c>
      <c r="B368" s="32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s">
        <v>1379</v>
      </c>
      <c r="G368" t="s">
        <v>2739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s="32" t="str">
        <f>"item_"&amp;CONTROL[[#This Row],[VEHIDCODE]]</f>
        <v>item_electric_USA_Milwaukee_Road_EP_2_Bipolar</v>
      </c>
      <c r="Q368" s="32" t="str">
        <f>"str_"&amp;CONTROL[[#This Row],[VEHIDCODE]]</f>
        <v>str_electric_USA_Milwaukee_Road_EP_2_Bipolar</v>
      </c>
    </row>
    <row r="369" spans="1:17">
      <c r="A369" s="2" t="s">
        <v>394</v>
      </c>
      <c r="B369" s="32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s">
        <v>1380</v>
      </c>
      <c r="G369" t="s">
        <v>1786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s="32" t="str">
        <f>"item_"&amp;CONTROL[[#This Row],[VEHIDCODE]]</f>
        <v>item_electric_Chile_EFE_E_28</v>
      </c>
      <c r="Q369" s="32" t="str">
        <f>"str_"&amp;CONTROL[[#This Row],[VEHIDCODE]]</f>
        <v>str_electric_Chile_EFE_E_28</v>
      </c>
    </row>
    <row r="370" spans="1:17">
      <c r="A370" s="2" t="s">
        <v>395</v>
      </c>
      <c r="B370" s="32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s">
        <v>1381</v>
      </c>
      <c r="G370" t="s">
        <v>2740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s="32" t="str">
        <f>"item_"&amp;CONTROL[[#This Row],[VEHIDCODE]]</f>
        <v>item_electric_Italy_FS_E428</v>
      </c>
      <c r="Q370" s="32" t="str">
        <f>"str_"&amp;CONTROL[[#This Row],[VEHIDCODE]]</f>
        <v>str_electric_Italy_FS_E428</v>
      </c>
    </row>
    <row r="371" spans="1:17">
      <c r="A371" s="2" t="s">
        <v>396</v>
      </c>
      <c r="B371" s="32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s">
        <v>1382</v>
      </c>
      <c r="G371" t="s">
        <v>2741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s="32" t="str">
        <f>"item_"&amp;CONTROL[[#This Row],[VEHIDCODE]]</f>
        <v>item_electric_South_Africa_SAR_ES_Class</v>
      </c>
      <c r="Q371" s="32" t="str">
        <f>"str_"&amp;CONTROL[[#This Row],[VEHIDCODE]]</f>
        <v>str_electric_South_Africa_SAR_ES_Class</v>
      </c>
    </row>
    <row r="372" spans="1:17">
      <c r="A372" s="2" t="s">
        <v>397</v>
      </c>
      <c r="B372" s="3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s">
        <v>1383</v>
      </c>
      <c r="G372" t="s">
        <v>2742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s="32" t="str">
        <f>"item_"&amp;CONTROL[[#This Row],[VEHIDCODE]]</f>
        <v>item_electric_Poland_PKP_EU06</v>
      </c>
      <c r="Q372" s="32" t="str">
        <f>"str_"&amp;CONTROL[[#This Row],[VEHIDCODE]]</f>
        <v>str_electric_Poland_PKP_EU06</v>
      </c>
    </row>
    <row r="373" spans="1:17">
      <c r="A373" s="2" t="s">
        <v>398</v>
      </c>
      <c r="B373" s="32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s">
        <v>1384</v>
      </c>
      <c r="G373" t="s">
        <v>2743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s="32" t="str">
        <f>"item_"&amp;CONTROL[[#This Row],[VEHIDCODE]]</f>
        <v>item_electric_Poland_PKP_ET41</v>
      </c>
      <c r="Q373" s="32" t="str">
        <f>"str_"&amp;CONTROL[[#This Row],[VEHIDCODE]]</f>
        <v>str_electric_Poland_PKP_ET41</v>
      </c>
    </row>
    <row r="374" spans="1:17">
      <c r="A374" s="2" t="s">
        <v>399</v>
      </c>
      <c r="B374" s="32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s">
        <v>1385</v>
      </c>
      <c r="G374" t="s">
        <v>2744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s="32" t="str">
        <f>"item_"&amp;CONTROL[[#This Row],[VEHIDCODE]]</f>
        <v>item_electric_Poland_PKP_EP09</v>
      </c>
      <c r="Q374" s="32" t="str">
        <f>"str_"&amp;CONTROL[[#This Row],[VEHIDCODE]]</f>
        <v>str_electric_Poland_PKP_EP09</v>
      </c>
    </row>
    <row r="375" spans="1:17">
      <c r="A375" s="2" t="s">
        <v>400</v>
      </c>
      <c r="B375" s="32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s">
        <v>1386</v>
      </c>
      <c r="G375" t="s">
        <v>2745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s="32" t="str">
        <f>"item_"&amp;CONTROL[[#This Row],[VEHIDCODE]]</f>
        <v>item_electric_Slovakia_ZSSK_162</v>
      </c>
      <c r="Q375" s="32" t="str">
        <f>"str_"&amp;CONTROL[[#This Row],[VEHIDCODE]]</f>
        <v>str_electric_Slovakia_ZSSK_162</v>
      </c>
    </row>
    <row r="376" spans="1:17">
      <c r="A376" s="2" t="s">
        <v>401</v>
      </c>
      <c r="B376" s="32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s">
        <v>1387</v>
      </c>
      <c r="G376" t="s">
        <v>2746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s="32" t="str">
        <f>"item_"&amp;CONTROL[[#This Row],[VEHIDCODE]]</f>
        <v>item_electric_Italy_FS_E646</v>
      </c>
      <c r="Q376" s="32" t="str">
        <f>"str_"&amp;CONTROL[[#This Row],[VEHIDCODE]]</f>
        <v>str_electric_Italy_FS_E646</v>
      </c>
    </row>
    <row r="377" spans="1:17">
      <c r="A377" s="2" t="s">
        <v>402</v>
      </c>
      <c r="B377" s="32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s">
        <v>1388</v>
      </c>
      <c r="G377" t="s">
        <v>2747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s="32" t="str">
        <f>"item_"&amp;CONTROL[[#This Row],[VEHIDCODE]]</f>
        <v>item_electric_Italy_FS_E424</v>
      </c>
      <c r="Q377" s="32" t="str">
        <f>"str_"&amp;CONTROL[[#This Row],[VEHIDCODE]]</f>
        <v>str_electric_Italy_FS_E424</v>
      </c>
    </row>
    <row r="378" spans="1:17">
      <c r="A378" s="2" t="s">
        <v>403</v>
      </c>
      <c r="B378" s="32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s">
        <v>1389</v>
      </c>
      <c r="G378" t="s">
        <v>2748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s="32" t="str">
        <f>"item_"&amp;CONTROL[[#This Row],[VEHIDCODE]]</f>
        <v>item_electric_Italy_FS_E444</v>
      </c>
      <c r="Q378" s="32" t="str">
        <f>"str_"&amp;CONTROL[[#This Row],[VEHIDCODE]]</f>
        <v>str_electric_Italy_FS_E444</v>
      </c>
    </row>
    <row r="379" spans="1:17">
      <c r="A379" s="2" t="s">
        <v>404</v>
      </c>
      <c r="B379" s="32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s">
        <v>1390</v>
      </c>
      <c r="G379" t="s">
        <v>2749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s="32" t="str">
        <f>"item_"&amp;CONTROL[[#This Row],[VEHIDCODE]]</f>
        <v>item_electric_Italy_FS_E633</v>
      </c>
      <c r="Q379" s="32" t="str">
        <f>"str_"&amp;CONTROL[[#This Row],[VEHIDCODE]]</f>
        <v>str_electric_Italy_FS_E633</v>
      </c>
    </row>
    <row r="380" spans="1:17">
      <c r="A380" s="2" t="s">
        <v>405</v>
      </c>
      <c r="B380" s="32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s">
        <v>1391</v>
      </c>
      <c r="G380" t="s">
        <v>2750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s="32" t="str">
        <f>"item_"&amp;CONTROL[[#This Row],[VEHIDCODE]]</f>
        <v>item_electric_Belgium_NMBS_Class_255</v>
      </c>
      <c r="Q380" s="32" t="str">
        <f>"str_"&amp;CONTROL[[#This Row],[VEHIDCODE]]</f>
        <v>str_electric_Belgium_NMBS_Class_255</v>
      </c>
    </row>
    <row r="381" spans="1:17">
      <c r="A381" s="2" t="s">
        <v>406</v>
      </c>
      <c r="B381" s="32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s">
        <v>1392</v>
      </c>
      <c r="G381" t="s">
        <v>2751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s="32" t="str">
        <f>"item_"&amp;CONTROL[[#This Row],[VEHIDCODE]]</f>
        <v>item_electric_Spain_RENFE_250</v>
      </c>
      <c r="Q381" s="32" t="str">
        <f>"str_"&amp;CONTROL[[#This Row],[VEHIDCODE]]</f>
        <v>str_electric_Spain_RENFE_250</v>
      </c>
    </row>
    <row r="382" spans="1:17">
      <c r="A382" s="2" t="s">
        <v>407</v>
      </c>
      <c r="B382" s="3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s">
        <v>1393</v>
      </c>
      <c r="G382" t="s">
        <v>1786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s="32" t="str">
        <f>"item_"&amp;CONTROL[[#This Row],[VEHIDCODE]]</f>
        <v>item_electric_Chile_EFE_E_29</v>
      </c>
      <c r="Q382" s="32" t="str">
        <f>"str_"&amp;CONTROL[[#This Row],[VEHIDCODE]]</f>
        <v>str_electric_Chile_EFE_E_29</v>
      </c>
    </row>
    <row r="383" spans="1:17">
      <c r="A383" s="2" t="s">
        <v>408</v>
      </c>
      <c r="B383" s="32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s">
        <v>1394</v>
      </c>
      <c r="G383" t="s">
        <v>1786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s="32" t="str">
        <f>"item_"&amp;CONTROL[[#This Row],[VEHIDCODE]]</f>
        <v>item_electric_Chile_EFE_E_17</v>
      </c>
      <c r="Q383" s="32" t="str">
        <f>"str_"&amp;CONTROL[[#This Row],[VEHIDCODE]]</f>
        <v>str_electric_Chile_EFE_E_17</v>
      </c>
    </row>
    <row r="384" spans="1:17">
      <c r="A384" s="2" t="s">
        <v>409</v>
      </c>
      <c r="B384" s="32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s">
        <v>1395</v>
      </c>
      <c r="G384" t="s">
        <v>2752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s="32" t="str">
        <f>"item_"&amp;CONTROL[[#This Row],[VEHIDCODE]]</f>
        <v>item_electric_Morocco_ONCF_E_700</v>
      </c>
      <c r="Q384" s="32" t="str">
        <f>"str_"&amp;CONTROL[[#This Row],[VEHIDCODE]]</f>
        <v>str_electric_Morocco_ONCF_E_700</v>
      </c>
    </row>
    <row r="385" spans="1:17">
      <c r="A385" s="2" t="s">
        <v>410</v>
      </c>
      <c r="B385" s="32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s">
        <v>1396</v>
      </c>
      <c r="G385" t="s">
        <v>2753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s="32" t="str">
        <f>"item_"&amp;CONTROL[[#This Row],[VEHIDCODE]]</f>
        <v>item_electric_India_Indian_Railways_WCM_1</v>
      </c>
      <c r="Q385" s="32" t="str">
        <f>"str_"&amp;CONTROL[[#This Row],[VEHIDCODE]]</f>
        <v>str_electric_India_Indian_Railways_WCM_1</v>
      </c>
    </row>
    <row r="386" spans="1:17">
      <c r="A386" s="2" t="s">
        <v>411</v>
      </c>
      <c r="B386" s="32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s">
        <v>2307</v>
      </c>
      <c r="G386" t="s">
        <v>2754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s="32" t="str">
        <f>"item_"&amp;CONTROL[[#This Row],[VEHIDCODE]]</f>
        <v>item_electric_South_Africa_SAR_E38</v>
      </c>
      <c r="Q386" s="32" t="str">
        <f>"str_"&amp;CONTROL[[#This Row],[VEHIDCODE]]</f>
        <v>str_electric_South_Africa_SAR_E38</v>
      </c>
    </row>
    <row r="387" spans="1:17">
      <c r="A387" s="2" t="s">
        <v>412</v>
      </c>
      <c r="B387" s="32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s">
        <v>1397</v>
      </c>
      <c r="G387" t="s">
        <v>2755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s="32" t="str">
        <f>"item_"&amp;CONTROL[[#This Row],[VEHIDCODE]]</f>
        <v>item_electric_Chile_EFE_E_269</v>
      </c>
      <c r="Q387" s="32" t="str">
        <f>"str_"&amp;CONTROL[[#This Row],[VEHIDCODE]]</f>
        <v>str_electric_Chile_EFE_E_269</v>
      </c>
    </row>
    <row r="388" spans="1:17">
      <c r="A388" s="2" t="s">
        <v>413</v>
      </c>
      <c r="B388" s="32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s">
        <v>2832</v>
      </c>
      <c r="G388" t="s">
        <v>2756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s="32" t="str">
        <f>"item_"&amp;CONTROL[[#This Row],[VEHIDCODE]]</f>
        <v>item_electric_Czech_Republic_CD_363</v>
      </c>
      <c r="Q388" s="32" t="str">
        <f>"str_"&amp;CONTROL[[#This Row],[VEHIDCODE]]</f>
        <v>str_electric_Czech_Republic_CD_363</v>
      </c>
    </row>
    <row r="389" spans="1:17">
      <c r="A389" s="2" t="s">
        <v>414</v>
      </c>
      <c r="B389" s="32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s">
        <v>1398</v>
      </c>
      <c r="G389" t="s">
        <v>2757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s="32" t="str">
        <f>"item_"&amp;CONTROL[[#This Row],[VEHIDCODE]]</f>
        <v>item_electric_Norway_NSB_EL7</v>
      </c>
      <c r="Q389" s="32" t="str">
        <f>"str_"&amp;CONTROL[[#This Row],[VEHIDCODE]]</f>
        <v>str_electric_Norway_NSB_EL7</v>
      </c>
    </row>
    <row r="390" spans="1:17">
      <c r="A390" s="2" t="s">
        <v>415</v>
      </c>
      <c r="B390" s="32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s">
        <v>1399</v>
      </c>
      <c r="G390" t="s">
        <v>2758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s="32" t="str">
        <f>"item_"&amp;CONTROL[[#This Row],[VEHIDCODE]]</f>
        <v>item_electric_USA_Pennsylvania_Railroad_FF_1</v>
      </c>
      <c r="Q390" s="32" t="str">
        <f>"str_"&amp;CONTROL[[#This Row],[VEHIDCODE]]</f>
        <v>str_electric_USA_Pennsylvania_Railroad_FF_1</v>
      </c>
    </row>
    <row r="391" spans="1:17">
      <c r="A391" s="2" t="s">
        <v>416</v>
      </c>
      <c r="B391" s="32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s">
        <v>2536</v>
      </c>
      <c r="G391" t="s">
        <v>2759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s="32" t="str">
        <f>"item_"&amp;CONTROL[[#This Row],[VEHIDCODE]]</f>
        <v>item_electric_Austria_OBB_1161</v>
      </c>
      <c r="Q391" s="32" t="str">
        <f>"str_"&amp;CONTROL[[#This Row],[VEHIDCODE]]</f>
        <v>str_electric_Austria_OBB_1161</v>
      </c>
    </row>
    <row r="392" spans="1:17">
      <c r="A392" s="2" t="s">
        <v>417</v>
      </c>
      <c r="B392" s="3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s">
        <v>1400</v>
      </c>
      <c r="G392" t="s">
        <v>2760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s="32" t="str">
        <f>"item_"&amp;CONTROL[[#This Row],[VEHIDCODE]]</f>
        <v>item_electric_Germany_DB_169</v>
      </c>
      <c r="Q392" s="32" t="str">
        <f>"str_"&amp;CONTROL[[#This Row],[VEHIDCODE]]</f>
        <v>str_electric_Germany_DB_169</v>
      </c>
    </row>
    <row r="393" spans="1:17">
      <c r="A393" s="2" t="s">
        <v>418</v>
      </c>
      <c r="B393" s="32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s">
        <v>1401</v>
      </c>
      <c r="G393" t="s">
        <v>2761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s="32" t="str">
        <f>"item_"&amp;CONTROL[[#This Row],[VEHIDCODE]]</f>
        <v>item_electric_Norway_NSB_EL10</v>
      </c>
      <c r="Q393" s="32" t="str">
        <f>"str_"&amp;CONTROL[[#This Row],[VEHIDCODE]]</f>
        <v>str_electric_Norway_NSB_EL10</v>
      </c>
    </row>
    <row r="394" spans="1:17">
      <c r="A394" s="2" t="s">
        <v>419</v>
      </c>
      <c r="B394" s="32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s">
        <v>1402</v>
      </c>
      <c r="G394" t="s">
        <v>2762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s="32" t="str">
        <f>"item_"&amp;CONTROL[[#This Row],[VEHIDCODE]]</f>
        <v>item_electric_Germany_DB_104</v>
      </c>
      <c r="Q394" s="32" t="str">
        <f>"str_"&amp;CONTROL[[#This Row],[VEHIDCODE]]</f>
        <v>str_electric_Germany_DB_104</v>
      </c>
    </row>
    <row r="395" spans="1:17">
      <c r="A395" s="2" t="s">
        <v>420</v>
      </c>
      <c r="B395" s="32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s">
        <v>1403</v>
      </c>
      <c r="G395" t="s">
        <v>2763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s="32" t="str">
        <f>"item_"&amp;CONTROL[[#This Row],[VEHIDCODE]]</f>
        <v>item_electric_USA_Pennsylvania_Railroad_GG_1</v>
      </c>
      <c r="Q395" s="32" t="str">
        <f>"str_"&amp;CONTROL[[#This Row],[VEHIDCODE]]</f>
        <v>str_electric_USA_Pennsylvania_Railroad_GG_1</v>
      </c>
    </row>
    <row r="396" spans="1:17">
      <c r="A396" s="2" t="s">
        <v>421</v>
      </c>
      <c r="B396" s="32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s">
        <v>2537</v>
      </c>
      <c r="G396" t="s">
        <v>2764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s="32" t="str">
        <f>"item_"&amp;CONTROL[[#This Row],[VEHIDCODE]]</f>
        <v>item_electric_Austria_OBB_1020_Crocodile</v>
      </c>
      <c r="Q396" s="32" t="str">
        <f>"str_"&amp;CONTROL[[#This Row],[VEHIDCODE]]</f>
        <v>str_electric_Austria_OBB_1020_Crocodile</v>
      </c>
    </row>
    <row r="397" spans="1:17">
      <c r="A397" s="2" t="s">
        <v>422</v>
      </c>
      <c r="B397" s="32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s">
        <v>1404</v>
      </c>
      <c r="G397" t="s">
        <v>2765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s="32" t="str">
        <f>"item_"&amp;CONTROL[[#This Row],[VEHIDCODE]]</f>
        <v>item_electric_Germany_DB_1031</v>
      </c>
      <c r="Q397" s="32" t="str">
        <f>"str_"&amp;CONTROL[[#This Row],[VEHIDCODE]]</f>
        <v>str_electric_Germany_DB_1031</v>
      </c>
    </row>
    <row r="398" spans="1:17">
      <c r="A398" s="2" t="s">
        <v>423</v>
      </c>
      <c r="B398" s="32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s">
        <v>1405</v>
      </c>
      <c r="G398" t="s">
        <v>2766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s="32" t="str">
        <f>"item_"&amp;CONTROL[[#This Row],[VEHIDCODE]]</f>
        <v>item_electric_Germany_DB_E_919</v>
      </c>
      <c r="Q398" s="32" t="str">
        <f>"str_"&amp;CONTROL[[#This Row],[VEHIDCODE]]</f>
        <v>str_electric_Germany_DB_E_919</v>
      </c>
    </row>
    <row r="399" spans="1:17">
      <c r="A399" s="2" t="s">
        <v>424</v>
      </c>
      <c r="B399" s="32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s">
        <v>1406</v>
      </c>
      <c r="G399" t="s">
        <v>2767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s="32" t="str">
        <f>"item_"&amp;CONTROL[[#This Row],[VEHIDCODE]]</f>
        <v>item_electric_Switzerland_BLS_Ce_4_4</v>
      </c>
      <c r="Q399" s="32" t="str">
        <f>"str_"&amp;CONTROL[[#This Row],[VEHIDCODE]]</f>
        <v>str_electric_Switzerland_BLS_Ce_4_4</v>
      </c>
    </row>
    <row r="400" spans="1:17">
      <c r="A400" s="2" t="s">
        <v>425</v>
      </c>
      <c r="B400" s="32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s">
        <v>1407</v>
      </c>
      <c r="G400" t="s">
        <v>2768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s="32" t="str">
        <f>"item_"&amp;CONTROL[[#This Row],[VEHIDCODE]]</f>
        <v>item_electric_Switzerland_SBB_Ae_6_6</v>
      </c>
      <c r="Q400" s="32" t="str">
        <f>"str_"&amp;CONTROL[[#This Row],[VEHIDCODE]]</f>
        <v>str_electric_Switzerland_SBB_Ae_6_6</v>
      </c>
    </row>
    <row r="401" spans="1:17">
      <c r="A401" s="2" t="s">
        <v>426</v>
      </c>
      <c r="B401" s="32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s">
        <v>1408</v>
      </c>
      <c r="G401" t="s">
        <v>2769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s="32" t="str">
        <f>"item_"&amp;CONTROL[[#This Row],[VEHIDCODE]]</f>
        <v>item_electric_Switzerland_SBB_Re460_Lok_2000</v>
      </c>
      <c r="Q401" s="32" t="str">
        <f>"str_"&amp;CONTROL[[#This Row],[VEHIDCODE]]</f>
        <v>str_electric_Switzerland_SBB_Re460_Lok_2000</v>
      </c>
    </row>
    <row r="402" spans="1:17">
      <c r="A402" s="2" t="s">
        <v>427</v>
      </c>
      <c r="B402" s="3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s">
        <v>1409</v>
      </c>
      <c r="G402" t="s">
        <v>2770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s="32" t="str">
        <f>"item_"&amp;CONTROL[[#This Row],[VEHIDCODE]]</f>
        <v>item_electric_Switzerland_SBB_Eem_923</v>
      </c>
      <c r="Q402" s="32" t="str">
        <f>"str_"&amp;CONTROL[[#This Row],[VEHIDCODE]]</f>
        <v>str_electric_Switzerland_SBB_Eem_923</v>
      </c>
    </row>
    <row r="403" spans="1:17">
      <c r="A403" s="2" t="s">
        <v>428</v>
      </c>
      <c r="B403" s="32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s">
        <v>2538</v>
      </c>
      <c r="G403" t="s">
        <v>2771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s="32" t="str">
        <f>"item_"&amp;CONTROL[[#This Row],[VEHIDCODE]]</f>
        <v>item_electric_Austria_OBB_1044</v>
      </c>
      <c r="Q403" s="32" t="str">
        <f>"str_"&amp;CONTROL[[#This Row],[VEHIDCODE]]</f>
        <v>str_electric_Austria_OBB_1044</v>
      </c>
    </row>
    <row r="404" spans="1:17">
      <c r="A404" s="2" t="s">
        <v>429</v>
      </c>
      <c r="B404" s="32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s">
        <v>2539</v>
      </c>
      <c r="G404" t="s">
        <v>2772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s="32" t="str">
        <f>"item_"&amp;CONTROL[[#This Row],[VEHIDCODE]]</f>
        <v>item_electric_Austria_OBB_1063</v>
      </c>
      <c r="Q404" s="32" t="str">
        <f>"str_"&amp;CONTROL[[#This Row],[VEHIDCODE]]</f>
        <v>str_electric_Austria_OBB_1063</v>
      </c>
    </row>
    <row r="405" spans="1:17">
      <c r="A405" s="2" t="s">
        <v>430</v>
      </c>
      <c r="B405" s="32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s">
        <v>1410</v>
      </c>
      <c r="G405" t="s">
        <v>2773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s="32" t="str">
        <f>"item_"&amp;CONTROL[[#This Row],[VEHIDCODE]]</f>
        <v>item_electric_Sweden_MTAB_Dm3</v>
      </c>
      <c r="Q405" s="32" t="str">
        <f>"str_"&amp;CONTROL[[#This Row],[VEHIDCODE]]</f>
        <v>str_electric_Sweden_MTAB_Dm3</v>
      </c>
    </row>
    <row r="406" spans="1:17">
      <c r="A406" s="2" t="s">
        <v>431</v>
      </c>
      <c r="B406" s="32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s">
        <v>1411</v>
      </c>
      <c r="G406" t="s">
        <v>2774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s="32" t="str">
        <f>"item_"&amp;CONTROL[[#This Row],[VEHIDCODE]]</f>
        <v>item_electric_Sweden_MTAB_IORE</v>
      </c>
      <c r="Q406" s="32" t="str">
        <f>"str_"&amp;CONTROL[[#This Row],[VEHIDCODE]]</f>
        <v>str_electric_Sweden_MTAB_IORE</v>
      </c>
    </row>
    <row r="407" spans="1:17">
      <c r="A407" s="2" t="s">
        <v>432</v>
      </c>
      <c r="B407" s="32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s">
        <v>1412</v>
      </c>
      <c r="G407" t="s">
        <v>2775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s="32" t="str">
        <f>"item_"&amp;CONTROL[[#This Row],[VEHIDCODE]]</f>
        <v>item_electric_Sweden_SJ_O_Class</v>
      </c>
      <c r="Q407" s="32" t="str">
        <f>"str_"&amp;CONTROL[[#This Row],[VEHIDCODE]]</f>
        <v>str_electric_Sweden_SJ_O_Class</v>
      </c>
    </row>
    <row r="408" spans="1:17">
      <c r="A408" s="2" t="s">
        <v>433</v>
      </c>
      <c r="B408" s="32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s">
        <v>1413</v>
      </c>
      <c r="G408" t="s">
        <v>2776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s="32" t="str">
        <f>"item_"&amp;CONTROL[[#This Row],[VEHIDCODE]]</f>
        <v>item_electric_Sweden_SJ_F_Class</v>
      </c>
      <c r="Q408" s="32" t="str">
        <f>"str_"&amp;CONTROL[[#This Row],[VEHIDCODE]]</f>
        <v>str_electric_Sweden_SJ_F_Class</v>
      </c>
    </row>
    <row r="409" spans="1:17">
      <c r="A409" s="2" t="s">
        <v>434</v>
      </c>
      <c r="B409" s="32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s">
        <v>1414</v>
      </c>
      <c r="G409" t="s">
        <v>2777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s="32" t="str">
        <f>"item_"&amp;CONTROL[[#This Row],[VEHIDCODE]]</f>
        <v>item_electric_Norway_NSB_EL17</v>
      </c>
      <c r="Q409" s="32" t="str">
        <f>"str_"&amp;CONTROL[[#This Row],[VEHIDCODE]]</f>
        <v>str_electric_Norway_NSB_EL17</v>
      </c>
    </row>
    <row r="410" spans="1:17">
      <c r="A410" s="2" t="s">
        <v>435</v>
      </c>
      <c r="B410" s="32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s">
        <v>1415</v>
      </c>
      <c r="G410" t="s">
        <v>2778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s="32" t="str">
        <f>"item_"&amp;CONTROL[[#This Row],[VEHIDCODE]]</f>
        <v>item_electric_Germany_Prussian_ES_6</v>
      </c>
      <c r="Q410" s="32" t="str">
        <f>"str_"&amp;CONTROL[[#This Row],[VEHIDCODE]]</f>
        <v>str_electric_Germany_Prussian_ES_6</v>
      </c>
    </row>
    <row r="411" spans="1:17">
      <c r="A411" s="2" t="s">
        <v>436</v>
      </c>
      <c r="B411" s="32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s">
        <v>1416</v>
      </c>
      <c r="G411" t="s">
        <v>2779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s="32" t="str">
        <f>"item_"&amp;CONTROL[[#This Row],[VEHIDCODE]]</f>
        <v>item_electric_USA_Virginian_Railway_EL_2B</v>
      </c>
      <c r="Q411" s="32" t="str">
        <f>"str_"&amp;CONTROL[[#This Row],[VEHIDCODE]]</f>
        <v>str_electric_USA_Virginian_Railway_EL_2B</v>
      </c>
    </row>
    <row r="412" spans="1:17">
      <c r="A412" s="2" t="s">
        <v>437</v>
      </c>
      <c r="B412" s="3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s">
        <v>1417</v>
      </c>
      <c r="G412" t="s">
        <v>2780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s="32" t="str">
        <f>"item_"&amp;CONTROL[[#This Row],[VEHIDCODE]]</f>
        <v>item_electric_USA_GN_W_1</v>
      </c>
      <c r="Q412" s="32" t="str">
        <f>"str_"&amp;CONTROL[[#This Row],[VEHIDCODE]]</f>
        <v>str_electric_USA_GN_W_1</v>
      </c>
    </row>
    <row r="413" spans="1:17">
      <c r="A413" s="2" t="s">
        <v>438</v>
      </c>
      <c r="B413" s="32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s">
        <v>1418</v>
      </c>
      <c r="G413" t="s">
        <v>2781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s="32" t="str">
        <f>"item_"&amp;CONTROL[[#This Row],[VEHIDCODE]]</f>
        <v>item_electric_USA_PRR_B1</v>
      </c>
      <c r="Q413" s="32" t="str">
        <f>"str_"&amp;CONTROL[[#This Row],[VEHIDCODE]]</f>
        <v>str_electric_USA_PRR_B1</v>
      </c>
    </row>
    <row r="414" spans="1:17">
      <c r="A414" s="2" t="s">
        <v>439</v>
      </c>
      <c r="B414" s="32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s">
        <v>1419</v>
      </c>
      <c r="G414" t="s">
        <v>2782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s="32" t="str">
        <f>"item_"&amp;CONTROL[[#This Row],[VEHIDCODE]]</f>
        <v>item_electric_Australia_Aurizon_E40_AG_V1</v>
      </c>
      <c r="Q414" s="32" t="str">
        <f>"str_"&amp;CONTROL[[#This Row],[VEHIDCODE]]</f>
        <v>str_electric_Australia_Aurizon_E40_AG_V1</v>
      </c>
    </row>
    <row r="415" spans="1:17">
      <c r="A415" s="2" t="s">
        <v>440</v>
      </c>
      <c r="B415" s="32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s">
        <v>1420</v>
      </c>
      <c r="G415" t="s">
        <v>2783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s="32" t="str">
        <f>"item_"&amp;CONTROL[[#This Row],[VEHIDCODE]]</f>
        <v>item_electric_China_China_Railways_SS6</v>
      </c>
      <c r="Q415" s="32" t="str">
        <f>"str_"&amp;CONTROL[[#This Row],[VEHIDCODE]]</f>
        <v>str_electric_China_China_Railways_SS6</v>
      </c>
    </row>
    <row r="416" spans="1:17">
      <c r="A416" s="2" t="s">
        <v>441</v>
      </c>
      <c r="B416" s="32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s">
        <v>1421</v>
      </c>
      <c r="G416" t="s">
        <v>2784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s="32" t="str">
        <f>"item_"&amp;CONTROL[[#This Row],[VEHIDCODE]]</f>
        <v>item_electric_China_China_Railways_SS3</v>
      </c>
      <c r="Q416" s="32" t="str">
        <f>"str_"&amp;CONTROL[[#This Row],[VEHIDCODE]]</f>
        <v>str_electric_China_China_Railways_SS3</v>
      </c>
    </row>
    <row r="417" spans="1:17">
      <c r="A417" s="2" t="s">
        <v>442</v>
      </c>
      <c r="B417" s="32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s">
        <v>1422</v>
      </c>
      <c r="G417" t="s">
        <v>2785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s="32" t="str">
        <f>"item_"&amp;CONTROL[[#This Row],[VEHIDCODE]]</f>
        <v>item_electric_China_China_Railways_HXD3</v>
      </c>
      <c r="Q417" s="32" t="str">
        <f>"str_"&amp;CONTROL[[#This Row],[VEHIDCODE]]</f>
        <v>str_electric_China_China_Railways_HXD3</v>
      </c>
    </row>
    <row r="418" spans="1:17">
      <c r="A418" s="2" t="s">
        <v>443</v>
      </c>
      <c r="B418" s="32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s">
        <v>1423</v>
      </c>
      <c r="G418" t="s">
        <v>2786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s="32" t="str">
        <f>"item_"&amp;CONTROL[[#This Row],[VEHIDCODE]]</f>
        <v>item_electric_China_China_Railways_HXD1D</v>
      </c>
      <c r="Q418" s="32" t="str">
        <f>"str_"&amp;CONTROL[[#This Row],[VEHIDCODE]]</f>
        <v>str_electric_China_China_Railways_HXD1D</v>
      </c>
    </row>
    <row r="419" spans="1:17">
      <c r="A419" s="2" t="s">
        <v>444</v>
      </c>
      <c r="B419" s="32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s">
        <v>1424</v>
      </c>
      <c r="G419" t="s">
        <v>2787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s="32" t="str">
        <f>"item_"&amp;CONTROL[[#This Row],[VEHIDCODE]]</f>
        <v>item_electric_China_China_Railways_6K</v>
      </c>
      <c r="Q419" s="32" t="str">
        <f>"str_"&amp;CONTROL[[#This Row],[VEHIDCODE]]</f>
        <v>str_electric_China_China_Railways_6K</v>
      </c>
    </row>
    <row r="420" spans="1:17">
      <c r="A420" s="2" t="s">
        <v>445</v>
      </c>
      <c r="B420" s="32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s">
        <v>1425</v>
      </c>
      <c r="G420" t="s">
        <v>2788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s="32" t="str">
        <f>"item_"&amp;CONTROL[[#This Row],[VEHIDCODE]]</f>
        <v>item_electric_USA_PRR_E44</v>
      </c>
      <c r="Q420" s="32" t="str">
        <f>"str_"&amp;CONTROL[[#This Row],[VEHIDCODE]]</f>
        <v>str_electric_USA_PRR_E44</v>
      </c>
    </row>
    <row r="421" spans="1:17">
      <c r="A421" s="2" t="s">
        <v>446</v>
      </c>
      <c r="B421" s="32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s">
        <v>1426</v>
      </c>
      <c r="G421" t="s">
        <v>2789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s="32" t="str">
        <f>"item_"&amp;CONTROL[[#This Row],[VEHIDCODE]]</f>
        <v>item_electric_Croatia_HZ_1141</v>
      </c>
      <c r="Q421" s="32" t="str">
        <f>"str_"&amp;CONTROL[[#This Row],[VEHIDCODE]]</f>
        <v>str_electric_Croatia_HZ_1141</v>
      </c>
    </row>
    <row r="422" spans="1:17">
      <c r="A422" s="2" t="s">
        <v>447</v>
      </c>
      <c r="B422" s="3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s">
        <v>2547</v>
      </c>
      <c r="G422" t="s">
        <v>2790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s="32" t="str">
        <f>"item_"&amp;CONTROL[[#This Row],[VEHIDCODE]]</f>
        <v>item_electric_Hungary_MAV_Class_V43</v>
      </c>
      <c r="Q422" s="32" t="str">
        <f>"str_"&amp;CONTROL[[#This Row],[VEHIDCODE]]</f>
        <v>str_electric_Hungary_MAV_Class_V43</v>
      </c>
    </row>
    <row r="423" spans="1:17">
      <c r="A423" s="2" t="s">
        <v>448</v>
      </c>
      <c r="B423" s="32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s">
        <v>1427</v>
      </c>
      <c r="G423" t="s">
        <v>2791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s="32" t="str">
        <f>"item_"&amp;CONTROL[[#This Row],[VEHIDCODE]]</f>
        <v>item_electric_Portugal_CP_2500</v>
      </c>
      <c r="Q423" s="32" t="str">
        <f>"str_"&amp;CONTROL[[#This Row],[VEHIDCODE]]</f>
        <v>str_electric_Portugal_CP_2500</v>
      </c>
    </row>
    <row r="424" spans="1:17">
      <c r="A424" s="2" t="s">
        <v>449</v>
      </c>
      <c r="B424" s="32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s">
        <v>1428</v>
      </c>
      <c r="G424" t="s">
        <v>2792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s="32" t="str">
        <f>"item_"&amp;CONTROL[[#This Row],[VEHIDCODE]]</f>
        <v>item_electric_Portugal_CP_2600</v>
      </c>
      <c r="Q424" s="32" t="str">
        <f>"str_"&amp;CONTROL[[#This Row],[VEHIDCODE]]</f>
        <v>str_electric_Portugal_CP_2600</v>
      </c>
    </row>
    <row r="425" spans="1:17">
      <c r="A425" s="2" t="s">
        <v>450</v>
      </c>
      <c r="B425" s="32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s">
        <v>2305</v>
      </c>
      <c r="G425" t="s">
        <v>2793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s="32" t="str">
        <f>"item_"&amp;CONTROL[[#This Row],[VEHIDCODE]]</f>
        <v>item_electric_South_Africa_SAR_20E</v>
      </c>
      <c r="Q425" s="32" t="str">
        <f>"str_"&amp;CONTROL[[#This Row],[VEHIDCODE]]</f>
        <v>str_electric_South_Africa_SAR_20E</v>
      </c>
    </row>
    <row r="426" spans="1:17">
      <c r="A426" s="2" t="s">
        <v>451</v>
      </c>
      <c r="B426" s="32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s">
        <v>1429</v>
      </c>
      <c r="G426" t="s">
        <v>2794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s="32" t="str">
        <f>"item_"&amp;CONTROL[[#This Row],[VEHIDCODE]]</f>
        <v>item_electric_South_Korea_Korail_8200</v>
      </c>
      <c r="Q426" s="32" t="str">
        <f>"str_"&amp;CONTROL[[#This Row],[VEHIDCODE]]</f>
        <v>str_electric_South_Korea_Korail_8200</v>
      </c>
    </row>
    <row r="427" spans="1:17">
      <c r="A427" s="2" t="s">
        <v>452</v>
      </c>
      <c r="B427" s="32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s">
        <v>1430</v>
      </c>
      <c r="G427" t="s">
        <v>2795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s="32" t="str">
        <f>"item_"&amp;CONTROL[[#This Row],[VEHIDCODE]]</f>
        <v>item_electric_Ukraine_UZ_DS3</v>
      </c>
      <c r="Q427" s="32" t="str">
        <f>"str_"&amp;CONTROL[[#This Row],[VEHIDCODE]]</f>
        <v>str_electric_Ukraine_UZ_DS3</v>
      </c>
    </row>
    <row r="428" spans="1:17">
      <c r="A428" s="2" t="s">
        <v>453</v>
      </c>
      <c r="B428" s="32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s">
        <v>2833</v>
      </c>
      <c r="G428" t="s">
        <v>2796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s="32" t="str">
        <f>"item_"&amp;CONTROL[[#This Row],[VEHIDCODE]]</f>
        <v>item_electric_Czech_Republic_CD_S499</v>
      </c>
      <c r="Q428" s="32" t="str">
        <f>"str_"&amp;CONTROL[[#This Row],[VEHIDCODE]]</f>
        <v>str_electric_Czech_Republic_CD_S499</v>
      </c>
    </row>
    <row r="429" spans="1:17">
      <c r="A429" s="2" t="s">
        <v>454</v>
      </c>
      <c r="B429" s="32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s">
        <v>1431</v>
      </c>
      <c r="G429" t="s">
        <v>2797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s="32" t="str">
        <f>"item_"&amp;CONTROL[[#This Row],[VEHIDCODE]]</f>
        <v>item_electric_Italy_FS_E491</v>
      </c>
      <c r="Q429" s="32" t="str">
        <f>"str_"&amp;CONTROL[[#This Row],[VEHIDCODE]]</f>
        <v>str_electric_Italy_FS_E491</v>
      </c>
    </row>
    <row r="430" spans="1:17">
      <c r="A430" s="2" t="s">
        <v>455</v>
      </c>
      <c r="B430" s="32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s">
        <v>1432</v>
      </c>
      <c r="G430" t="s">
        <v>2798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s="32" t="str">
        <f>"item_"&amp;CONTROL[[#This Row],[VEHIDCODE]]</f>
        <v>item_electric_Macedonia_Macedonian_Railways_462</v>
      </c>
      <c r="Q430" s="32" t="str">
        <f>"str_"&amp;CONTROL[[#This Row],[VEHIDCODE]]</f>
        <v>str_electric_Macedonia_Macedonian_Railways_462</v>
      </c>
    </row>
    <row r="431" spans="1:17">
      <c r="A431" s="2" t="s">
        <v>456</v>
      </c>
      <c r="B431" s="32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s">
        <v>1433</v>
      </c>
      <c r="G431" t="s">
        <v>2799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s="32" t="str">
        <f>"item_"&amp;CONTROL[[#This Row],[VEHIDCODE]]</f>
        <v>item_electric_Morocco_ONCFM_E_500</v>
      </c>
      <c r="Q431" s="32" t="str">
        <f>"str_"&amp;CONTROL[[#This Row],[VEHIDCODE]]</f>
        <v>str_electric_Morocco_ONCFM_E_500</v>
      </c>
    </row>
    <row r="432" spans="1:17">
      <c r="A432" s="2" t="s">
        <v>457</v>
      </c>
      <c r="B432" s="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s">
        <v>1434</v>
      </c>
      <c r="G432" t="s">
        <v>2800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s="32" t="str">
        <f>"item_"&amp;CONTROL[[#This Row],[VEHIDCODE]]</f>
        <v>item_electric_UK_BR_85</v>
      </c>
      <c r="Q432" s="32" t="str">
        <f>"str_"&amp;CONTROL[[#This Row],[VEHIDCODE]]</f>
        <v>str_electric_UK_BR_85</v>
      </c>
    </row>
    <row r="433" spans="1:17">
      <c r="A433" s="2" t="s">
        <v>458</v>
      </c>
      <c r="B433" s="32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s">
        <v>1435</v>
      </c>
      <c r="G433" t="s">
        <v>2801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s="32" t="str">
        <f>"item_"&amp;CONTROL[[#This Row],[VEHIDCODE]]</f>
        <v>item_electric_Mexico_FNM_GE_E60C_2</v>
      </c>
      <c r="Q433" s="32" t="str">
        <f>"str_"&amp;CONTROL[[#This Row],[VEHIDCODE]]</f>
        <v>str_electric_Mexico_FNM_GE_E60C_2</v>
      </c>
    </row>
    <row r="434" spans="1:17">
      <c r="A434" s="2" t="s">
        <v>459</v>
      </c>
      <c r="B434" s="32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s">
        <v>1436</v>
      </c>
      <c r="G434" t="s">
        <v>2802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s="32" t="str">
        <f>"item_"&amp;CONTROL[[#This Row],[VEHIDCODE]]</f>
        <v>item_electric_Morocco_ONCF_E_1400_Prima_II</v>
      </c>
      <c r="Q434" s="32" t="str">
        <f>"str_"&amp;CONTROL[[#This Row],[VEHIDCODE]]</f>
        <v>str_electric_Morocco_ONCF_E_1400_Prima_II</v>
      </c>
    </row>
    <row r="435" spans="1:17">
      <c r="A435" s="2" t="s">
        <v>460</v>
      </c>
      <c r="B435" s="32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s">
        <v>1437</v>
      </c>
      <c r="G435" t="s">
        <v>2803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s="32" t="str">
        <f>"item_"&amp;CONTROL[[#This Row],[VEHIDCODE]]</f>
        <v>item_electric_New_Zealand_NZR_EA</v>
      </c>
      <c r="Q435" s="32" t="str">
        <f>"str_"&amp;CONTROL[[#This Row],[VEHIDCODE]]</f>
        <v>str_electric_New_Zealand_NZR_EA</v>
      </c>
    </row>
    <row r="436" spans="1:17">
      <c r="A436" s="2" t="s">
        <v>461</v>
      </c>
      <c r="B436" s="32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s">
        <v>1438</v>
      </c>
      <c r="G436" t="s">
        <v>2804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s="32" t="str">
        <f>"item_"&amp;CONTROL[[#This Row],[VEHIDCODE]]</f>
        <v>item_electric_Canada_BC_Rail_GF6C</v>
      </c>
      <c r="Q436" s="32" t="str">
        <f>"str_"&amp;CONTROL[[#This Row],[VEHIDCODE]]</f>
        <v>str_electric_Canada_BC_Rail_GF6C</v>
      </c>
    </row>
    <row r="437" spans="1:17">
      <c r="A437" s="2" t="s">
        <v>462</v>
      </c>
      <c r="B437" s="32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s">
        <v>1439</v>
      </c>
      <c r="G437" t="s">
        <v>2806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s="32" t="str">
        <f>"item_"&amp;CONTROL[[#This Row],[VEHIDCODE]]</f>
        <v>item_electric_France_SNCF_BB_22200</v>
      </c>
      <c r="Q437" s="32" t="str">
        <f>"str_"&amp;CONTROL[[#This Row],[VEHIDCODE]]</f>
        <v>str_electric_France_SNCF_BB_22200</v>
      </c>
    </row>
    <row r="438" spans="1:17">
      <c r="A438" s="2" t="s">
        <v>463</v>
      </c>
      <c r="B438" s="32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s">
        <v>1440</v>
      </c>
      <c r="G438" t="s">
        <v>2805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s="32" t="str">
        <f>"item_"&amp;CONTROL[[#This Row],[VEHIDCODE]]</f>
        <v>item_electric_France_SNCF_BB_26000</v>
      </c>
      <c r="Q438" s="32" t="str">
        <f>"str_"&amp;CONTROL[[#This Row],[VEHIDCODE]]</f>
        <v>str_electric_France_SNCF_BB_26000</v>
      </c>
    </row>
    <row r="439" spans="1:17">
      <c r="A439" s="2" t="s">
        <v>464</v>
      </c>
      <c r="B439" s="32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s">
        <v>1441</v>
      </c>
      <c r="G439" t="s">
        <v>2807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s="32" t="str">
        <f>"item_"&amp;CONTROL[[#This Row],[VEHIDCODE]]</f>
        <v>item_electric_France_SNCF_BB_25500</v>
      </c>
      <c r="Q439" s="32" t="str">
        <f>"str_"&amp;CONTROL[[#This Row],[VEHIDCODE]]</f>
        <v>str_electric_France_SNCF_BB_25500</v>
      </c>
    </row>
    <row r="440" spans="1:17">
      <c r="A440" s="2" t="s">
        <v>465</v>
      </c>
      <c r="B440" s="32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s">
        <v>1442</v>
      </c>
      <c r="G440" t="s">
        <v>2808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s="32" t="str">
        <f>"item_"&amp;CONTROL[[#This Row],[VEHIDCODE]]</f>
        <v>item_electric_Germany_DB_182_ES64U_Taurus</v>
      </c>
      <c r="Q440" s="32" t="str">
        <f>"str_"&amp;CONTROL[[#This Row],[VEHIDCODE]]</f>
        <v>str_electric_Germany_DB_182_ES64U_Taurus</v>
      </c>
    </row>
    <row r="441" spans="1:17">
      <c r="A441" s="2" t="s">
        <v>466</v>
      </c>
      <c r="B441" s="32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s">
        <v>1443</v>
      </c>
      <c r="G441" t="s">
        <v>2809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s="32" t="str">
        <f>"item_"&amp;CONTROL[[#This Row],[VEHIDCODE]]</f>
        <v>item_electric_Japan_JR_EH500</v>
      </c>
      <c r="Q441" s="32" t="str">
        <f>"str_"&amp;CONTROL[[#This Row],[VEHIDCODE]]</f>
        <v>str_electric_Japan_JR_EH500</v>
      </c>
    </row>
    <row r="442" spans="1:17">
      <c r="A442" s="2" t="s">
        <v>467</v>
      </c>
      <c r="B442" s="3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s">
        <v>1444</v>
      </c>
      <c r="G442" t="s">
        <v>2810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s="32" t="str">
        <f>"item_"&amp;CONTROL[[#This Row],[VEHIDCODE]]</f>
        <v>item_electric_USA_Amtrak_EMD_AEM_7</v>
      </c>
      <c r="Q442" s="32" t="str">
        <f>"str_"&amp;CONTROL[[#This Row],[VEHIDCODE]]</f>
        <v>str_electric_USA_Amtrak_EMD_AEM_7</v>
      </c>
    </row>
    <row r="443" spans="1:17">
      <c r="A443" s="2" t="s">
        <v>468</v>
      </c>
      <c r="B443" s="32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s">
        <v>1445</v>
      </c>
      <c r="G443" t="s">
        <v>2811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s="32" t="str">
        <f>"item_"&amp;CONTROL[[#This Row],[VEHIDCODE]]</f>
        <v>item_electric_USA_Amtrak_HHP_8</v>
      </c>
      <c r="Q443" s="32" t="str">
        <f>"str_"&amp;CONTROL[[#This Row],[VEHIDCODE]]</f>
        <v>str_electric_USA_Amtrak_HHP_8</v>
      </c>
    </row>
    <row r="444" spans="1:17">
      <c r="A444" s="2" t="s">
        <v>469</v>
      </c>
      <c r="B444" s="32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s">
        <v>2834</v>
      </c>
      <c r="G444" t="s">
        <v>2812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s="32" t="str">
        <f>"item_"&amp;CONTROL[[#This Row],[VEHIDCODE]]</f>
        <v>item_electric_Czech_Republic_CD_380</v>
      </c>
      <c r="Q444" s="32" t="str">
        <f>"str_"&amp;CONTROL[[#This Row],[VEHIDCODE]]</f>
        <v>str_electric_Czech_Republic_CD_380</v>
      </c>
    </row>
    <row r="445" spans="1:17">
      <c r="A445" s="2" t="s">
        <v>470</v>
      </c>
      <c r="B445" s="32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s">
        <v>1446</v>
      </c>
      <c r="G445" t="s">
        <v>2813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s="32" t="str">
        <f>"item_"&amp;CONTROL[[#This Row],[VEHIDCODE]]</f>
        <v>item_electric_Spain_RENFE_252</v>
      </c>
      <c r="Q445" s="32" t="str">
        <f>"str_"&amp;CONTROL[[#This Row],[VEHIDCODE]]</f>
        <v>str_electric_Spain_RENFE_252</v>
      </c>
    </row>
    <row r="446" spans="1:17">
      <c r="A446" s="2" t="s">
        <v>471</v>
      </c>
      <c r="B446" s="32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s">
        <v>1447</v>
      </c>
      <c r="G446" t="s">
        <v>2814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s="32" t="str">
        <f>"item_"&amp;CONTROL[[#This Row],[VEHIDCODE]]</f>
        <v>item_electric_Germany_DB_185_TRAXX_F140</v>
      </c>
      <c r="Q446" s="32" t="str">
        <f>"str_"&amp;CONTROL[[#This Row],[VEHIDCODE]]</f>
        <v>str_electric_Germany_DB_185_TRAXX_F140</v>
      </c>
    </row>
    <row r="447" spans="1:17">
      <c r="A447" s="2" t="s">
        <v>472</v>
      </c>
      <c r="B447" s="32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s">
        <v>1448</v>
      </c>
      <c r="G447" t="s">
        <v>2815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s="32" t="str">
        <f>"item_"&amp;CONTROL[[#This Row],[VEHIDCODE]]</f>
        <v>item_electric_Italy_FS_E550</v>
      </c>
      <c r="Q447" s="32" t="str">
        <f>"str_"&amp;CONTROL[[#This Row],[VEHIDCODE]]</f>
        <v>str_electric_Italy_FS_E550</v>
      </c>
    </row>
    <row r="448" spans="1:17">
      <c r="A448" s="2" t="s">
        <v>473</v>
      </c>
      <c r="B448" s="32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s">
        <v>1449</v>
      </c>
      <c r="G448" t="s">
        <v>2816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s="32" t="str">
        <f>"item_"&amp;CONTROL[[#This Row],[VEHIDCODE]]</f>
        <v>item_electric_Japan_JNR_EF81</v>
      </c>
      <c r="Q448" s="32" t="str">
        <f>"str_"&amp;CONTROL[[#This Row],[VEHIDCODE]]</f>
        <v>str_electric_Japan_JNR_EF81</v>
      </c>
    </row>
    <row r="449" spans="1:17">
      <c r="A449" s="2" t="s">
        <v>474</v>
      </c>
      <c r="B449" s="32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s">
        <v>1450</v>
      </c>
      <c r="G449" t="s">
        <v>2817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s="32" t="str">
        <f>"item_"&amp;CONTROL[[#This Row],[VEHIDCODE]]</f>
        <v>item_electric_UK_BR_92</v>
      </c>
      <c r="Q449" s="32" t="str">
        <f>"str_"&amp;CONTROL[[#This Row],[VEHIDCODE]]</f>
        <v>str_electric_UK_BR_92</v>
      </c>
    </row>
    <row r="450" spans="1:17">
      <c r="A450" s="2" t="s">
        <v>475</v>
      </c>
      <c r="B450" s="32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s">
        <v>1451</v>
      </c>
      <c r="G450" t="s">
        <v>2818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s="32" t="str">
        <f>"item_"&amp;CONTROL[[#This Row],[VEHIDCODE]]</f>
        <v>item_electric_USA_Amtrak_ACS_64</v>
      </c>
      <c r="Q450" s="32" t="str">
        <f>"str_"&amp;CONTROL[[#This Row],[VEHIDCODE]]</f>
        <v>str_electric_USA_Amtrak_ACS_64</v>
      </c>
    </row>
    <row r="451" spans="1:17">
      <c r="A451" s="2" t="s">
        <v>476</v>
      </c>
      <c r="B451" s="32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s">
        <v>2819</v>
      </c>
      <c r="G451" t="s">
        <v>2820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s="32" t="str">
        <f>"item_"&amp;CONTROL[[#This Row],[VEHIDCODE]]</f>
        <v>item_electric_France_SNCF_CC_40100</v>
      </c>
      <c r="Q451" s="32" t="str">
        <f>"str_"&amp;CONTROL[[#This Row],[VEHIDCODE]]</f>
        <v>str_electric_France_SNCF_CC_40100</v>
      </c>
    </row>
    <row r="452" spans="1:17">
      <c r="A452" s="2" t="s">
        <v>477</v>
      </c>
      <c r="B452" s="3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s">
        <v>1452</v>
      </c>
      <c r="G452" t="s">
        <v>2821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s="32" t="str">
        <f>"item_"&amp;CONTROL[[#This Row],[VEHIDCODE]]</f>
        <v>item_electric_Belgium_NMBS_SNCB_13_HLE</v>
      </c>
      <c r="Q452" s="32" t="str">
        <f>"str_"&amp;CONTROL[[#This Row],[VEHIDCODE]]</f>
        <v>str_electric_Belgium_NMBS_SNCB_13_HLE</v>
      </c>
    </row>
    <row r="453" spans="1:17">
      <c r="A453" s="2" t="s">
        <v>478</v>
      </c>
      <c r="B453" s="32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s">
        <v>1453</v>
      </c>
      <c r="G453" t="s">
        <v>2844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s="32" t="str">
        <f>"item_"&amp;CONTROL[[#This Row],[VEHIDCODE]]</f>
        <v>item_dmu_Germany_DB_VT_040_Flying_Hamburger</v>
      </c>
      <c r="Q453" s="32" t="str">
        <f>"str_"&amp;CONTROL[[#This Row],[VEHIDCODE]]</f>
        <v>str_dmu_Germany_DB_VT_040_Flying_Hamburger</v>
      </c>
    </row>
    <row r="454" spans="1:17">
      <c r="A454" s="2" t="s">
        <v>480</v>
      </c>
      <c r="B454" s="32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s">
        <v>1454</v>
      </c>
      <c r="G454" t="s">
        <v>2822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s="32" t="str">
        <f>"item_"&amp;CONTROL[[#This Row],[VEHIDCODE]]</f>
        <v>item_dmu_Australia_NSWGR_Silver_City_Comet</v>
      </c>
      <c r="Q454" s="32" t="str">
        <f>"str_"&amp;CONTROL[[#This Row],[VEHIDCODE]]</f>
        <v>str_dmu_Australia_NSWGR_Silver_City_Comet</v>
      </c>
    </row>
    <row r="455" spans="1:17">
      <c r="A455" s="2" t="s">
        <v>481</v>
      </c>
      <c r="B455" s="32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s">
        <v>2835</v>
      </c>
      <c r="G455" t="s">
        <v>2823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s="32" t="str">
        <f>"item_"&amp;CONTROL[[#This Row],[VEHIDCODE]]</f>
        <v>item_dmu_Czech_Republic_CD_M131</v>
      </c>
      <c r="Q455" s="32" t="str">
        <f>"str_"&amp;CONTROL[[#This Row],[VEHIDCODE]]</f>
        <v>str_dmu_Czech_Republic_CD_M131</v>
      </c>
    </row>
    <row r="456" spans="1:17">
      <c r="A456" s="2" t="s">
        <v>482</v>
      </c>
      <c r="B456" s="32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s">
        <v>1455</v>
      </c>
      <c r="G456" t="s">
        <v>2839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s="32" t="str">
        <f>"item_"&amp;CONTROL[[#This Row],[VEHIDCODE]]</f>
        <v>item_dmu_Germany_DB_VT_085</v>
      </c>
      <c r="Q456" s="32" t="str">
        <f>"str_"&amp;CONTROL[[#This Row],[VEHIDCODE]]</f>
        <v>str_dmu_Germany_DB_VT_085</v>
      </c>
    </row>
    <row r="457" spans="1:17">
      <c r="A457" s="2" t="s">
        <v>483</v>
      </c>
      <c r="B457" s="32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s">
        <v>1795</v>
      </c>
      <c r="G457" t="s">
        <v>2840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s="32" t="str">
        <f>"item_"&amp;CONTROL[[#This Row],[VEHIDCODE]]</f>
        <v>item_dmu_Australia_Queensland_Rail_400</v>
      </c>
      <c r="Q457" s="32" t="str">
        <f>"str_"&amp;CONTROL[[#This Row],[VEHIDCODE]]</f>
        <v>str_dmu_Australia_Queensland_Rail_400</v>
      </c>
    </row>
    <row r="458" spans="1:17">
      <c r="A458" s="2" t="s">
        <v>484</v>
      </c>
      <c r="B458" s="32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s">
        <v>1456</v>
      </c>
      <c r="G458" t="s">
        <v>2841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s="32" t="str">
        <f>"item_"&amp;CONTROL[[#This Row],[VEHIDCODE]]</f>
        <v>item_dmu_Germany_DB_VT_115</v>
      </c>
      <c r="Q458" s="32" t="str">
        <f>"str_"&amp;CONTROL[[#This Row],[VEHIDCODE]]</f>
        <v>str_dmu_Germany_DB_VT_115</v>
      </c>
    </row>
    <row r="459" spans="1:17">
      <c r="A459" s="2" t="s">
        <v>485</v>
      </c>
      <c r="B459" s="32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s">
        <v>1457</v>
      </c>
      <c r="G459" t="s">
        <v>2842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s="32" t="str">
        <f>"item_"&amp;CONTROL[[#This Row],[VEHIDCODE]]</f>
        <v>item_dmu_Netherlands_NS_Plan_U_DE_III</v>
      </c>
      <c r="Q459" s="32" t="str">
        <f>"str_"&amp;CONTROL[[#This Row],[VEHIDCODE]]</f>
        <v>str_dmu_Netherlands_NS_Plan_U_DE_III</v>
      </c>
    </row>
    <row r="460" spans="1:17">
      <c r="A460" s="2" t="s">
        <v>486</v>
      </c>
      <c r="B460" s="32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s">
        <v>1458</v>
      </c>
      <c r="G460" t="s">
        <v>2843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s="32" t="str">
        <f>"item_"&amp;CONTROL[[#This Row],[VEHIDCODE]]</f>
        <v>item_dmu_Canada_CNR_Turbo_Train</v>
      </c>
      <c r="Q460" s="32" t="str">
        <f>"str_"&amp;CONTROL[[#This Row],[VEHIDCODE]]</f>
        <v>str_dmu_Canada_CNR_Turbo_Train</v>
      </c>
    </row>
    <row r="461" spans="1:17">
      <c r="A461" s="2" t="s">
        <v>487</v>
      </c>
      <c r="B461" s="32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s">
        <v>1459</v>
      </c>
      <c r="G461" t="s">
        <v>1786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s="32" t="str">
        <f>"item_"&amp;CONTROL[[#This Row],[VEHIDCODE]]</f>
        <v>item_dmu_Serbia_ZS_811</v>
      </c>
      <c r="Q461" s="32" t="str">
        <f>"str_"&amp;CONTROL[[#This Row],[VEHIDCODE]]</f>
        <v>str_dmu_Serbia_ZS_811</v>
      </c>
    </row>
    <row r="462" spans="1:17">
      <c r="A462" s="2" t="s">
        <v>488</v>
      </c>
      <c r="B462" s="3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s">
        <v>1460</v>
      </c>
      <c r="G462" t="s">
        <v>2845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s="32" t="str">
        <f>"item_"&amp;CONTROL[[#This Row],[VEHIDCODE]]</f>
        <v>item_dmu_UK_BR_43_IC125</v>
      </c>
      <c r="Q462" s="32" t="str">
        <f>"str_"&amp;CONTROL[[#This Row],[VEHIDCODE]]</f>
        <v>str_dmu_UK_BR_43_IC125</v>
      </c>
    </row>
    <row r="463" spans="1:17">
      <c r="A463" s="2" t="s">
        <v>489</v>
      </c>
      <c r="B463" s="32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s">
        <v>1461</v>
      </c>
      <c r="G463" t="s">
        <v>2846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s="32" t="str">
        <f>"item_"&amp;CONTROL[[#This Row],[VEHIDCODE]]</f>
        <v>item_dmu_Canada_VIA_Rail_LRC</v>
      </c>
      <c r="Q463" s="32" t="str">
        <f>"str_"&amp;CONTROL[[#This Row],[VEHIDCODE]]</f>
        <v>str_dmu_Canada_VIA_Rail_LRC</v>
      </c>
    </row>
    <row r="464" spans="1:17">
      <c r="A464" s="2" t="s">
        <v>490</v>
      </c>
      <c r="B464" s="32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s">
        <v>1462</v>
      </c>
      <c r="G464" t="s">
        <v>2847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s="32" t="str">
        <f>"item_"&amp;CONTROL[[#This Row],[VEHIDCODE]]</f>
        <v>item_dmu_Sweden_SJ_Y2</v>
      </c>
      <c r="Q464" s="32" t="str">
        <f>"str_"&amp;CONTROL[[#This Row],[VEHIDCODE]]</f>
        <v>str_dmu_Sweden_SJ_Y2</v>
      </c>
    </row>
    <row r="465" spans="1:17">
      <c r="A465" s="2" t="s">
        <v>491</v>
      </c>
      <c r="B465" s="32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s">
        <v>1463</v>
      </c>
      <c r="G465" t="s">
        <v>2848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s="32" t="str">
        <f>"item_"&amp;CONTROL[[#This Row],[VEHIDCODE]]</f>
        <v>item_dmu_Spain_RENFE_594_TRD</v>
      </c>
      <c r="Q465" s="32" t="str">
        <f>"str_"&amp;CONTROL[[#This Row],[VEHIDCODE]]</f>
        <v>str_dmu_Spain_RENFE_594_TRD</v>
      </c>
    </row>
    <row r="466" spans="1:17">
      <c r="A466" s="2" t="s">
        <v>492</v>
      </c>
      <c r="B466" s="32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s">
        <v>1464</v>
      </c>
      <c r="G466" t="s">
        <v>2849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s="32" t="str">
        <f>"item_"&amp;CONTROL[[#This Row],[VEHIDCODE]]</f>
        <v>item_dmu_UK_BR_168</v>
      </c>
      <c r="Q466" s="32" t="str">
        <f>"str_"&amp;CONTROL[[#This Row],[VEHIDCODE]]</f>
        <v>str_dmu_UK_BR_168</v>
      </c>
    </row>
    <row r="467" spans="1:17">
      <c r="A467" s="2" t="s">
        <v>493</v>
      </c>
      <c r="B467" s="32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s">
        <v>1465</v>
      </c>
      <c r="G467" t="s">
        <v>2850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s="32" t="str">
        <f>"item_"&amp;CONTROL[[#This Row],[VEHIDCODE]]</f>
        <v>item_dmu_Germany_DB_612_Regio_Swinger</v>
      </c>
      <c r="Q467" s="32" t="str">
        <f>"str_"&amp;CONTROL[[#This Row],[VEHIDCODE]]</f>
        <v>str_dmu_Germany_DB_612_Regio_Swinger</v>
      </c>
    </row>
    <row r="468" spans="1:17">
      <c r="A468" s="2" t="s">
        <v>494</v>
      </c>
      <c r="B468" s="32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s">
        <v>1466</v>
      </c>
      <c r="G468" t="s">
        <v>2851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s="32" t="str">
        <f>"item_"&amp;CONTROL[[#This Row],[VEHIDCODE]]</f>
        <v>item_dmu_Germany_DB_642_Desiro</v>
      </c>
      <c r="Q468" s="32" t="str">
        <f>"str_"&amp;CONTROL[[#This Row],[VEHIDCODE]]</f>
        <v>str_dmu_Germany_DB_642_Desiro</v>
      </c>
    </row>
    <row r="469" spans="1:17">
      <c r="A469" s="2" t="s">
        <v>495</v>
      </c>
      <c r="B469" s="32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s">
        <v>1467</v>
      </c>
      <c r="G469" t="s">
        <v>2852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s="32" t="str">
        <f>"item_"&amp;CONTROL[[#This Row],[VEHIDCODE]]</f>
        <v>item_dmu_Denmark_Arriva_Lint_41</v>
      </c>
      <c r="Q469" s="32" t="str">
        <f>"str_"&amp;CONTROL[[#This Row],[VEHIDCODE]]</f>
        <v>str_dmu_Denmark_Arriva_Lint_41</v>
      </c>
    </row>
    <row r="470" spans="1:17">
      <c r="A470" s="2" t="s">
        <v>496</v>
      </c>
      <c r="B470" s="32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s">
        <v>1468</v>
      </c>
      <c r="G470" t="s">
        <v>2853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s="32" t="str">
        <f>"item_"&amp;CONTROL[[#This Row],[VEHIDCODE]]</f>
        <v>item_dmu_Norway_NSB_BM_93_Talent</v>
      </c>
      <c r="Q470" s="32" t="str">
        <f>"str_"&amp;CONTROL[[#This Row],[VEHIDCODE]]</f>
        <v>str_dmu_Norway_NSB_BM_93_Talent</v>
      </c>
    </row>
    <row r="471" spans="1:17">
      <c r="A471" s="2" t="s">
        <v>497</v>
      </c>
      <c r="B471" s="32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s">
        <v>1469</v>
      </c>
      <c r="G471" t="s">
        <v>2854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s="32" t="str">
        <f>"item_"&amp;CONTROL[[#This Row],[VEHIDCODE]]</f>
        <v>item_dmu_Australia_Transwa_Prospector</v>
      </c>
      <c r="Q471" s="32" t="str">
        <f>"str_"&amp;CONTROL[[#This Row],[VEHIDCODE]]</f>
        <v>str_dmu_Australia_Transwa_Prospector</v>
      </c>
    </row>
    <row r="472" spans="1:17">
      <c r="A472" s="2" t="s">
        <v>498</v>
      </c>
      <c r="B472" s="3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s">
        <v>1470</v>
      </c>
      <c r="G472" t="s">
        <v>2855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s="32" t="str">
        <f>"item_"&amp;CONTROL[[#This Row],[VEHIDCODE]]</f>
        <v>item_dmu_Australia_CityRail_Hunter_Railcar</v>
      </c>
      <c r="Q472" s="32" t="str">
        <f>"str_"&amp;CONTROL[[#This Row],[VEHIDCODE]]</f>
        <v>str_dmu_Australia_CityRail_Hunter_Railcar</v>
      </c>
    </row>
    <row r="473" spans="1:17">
      <c r="A473" s="2" t="s">
        <v>499</v>
      </c>
      <c r="B473" s="32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s">
        <v>1471</v>
      </c>
      <c r="G473" t="s">
        <v>2856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s="32" t="str">
        <f>"item_"&amp;CONTROL[[#This Row],[VEHIDCODE]]</f>
        <v>item_dmu_Russia_RZD_RA2</v>
      </c>
      <c r="Q473" s="32" t="str">
        <f>"str_"&amp;CONTROL[[#This Row],[VEHIDCODE]]</f>
        <v>str_dmu_Russia_RZD_RA2</v>
      </c>
    </row>
    <row r="474" spans="1:17">
      <c r="A474" s="2" t="s">
        <v>500</v>
      </c>
      <c r="B474" s="32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s">
        <v>1472</v>
      </c>
      <c r="G474" t="s">
        <v>2857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s="32" t="str">
        <f>"item_"&amp;CONTROL[[#This Row],[VEHIDCODE]]</f>
        <v>item_dmu_Denmark_DSB_IC4</v>
      </c>
      <c r="Q474" s="32" t="str">
        <f>"str_"&amp;CONTROL[[#This Row],[VEHIDCODE]]</f>
        <v>str_dmu_Denmark_DSB_IC4</v>
      </c>
    </row>
    <row r="475" spans="1:17">
      <c r="A475" s="2" t="s">
        <v>501</v>
      </c>
      <c r="B475" s="32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s">
        <v>1473</v>
      </c>
      <c r="G475" t="s">
        <v>2858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s="32" t="str">
        <f>"item_"&amp;CONTROL[[#This Row],[VEHIDCODE]]</f>
        <v>item_dmu_Croatia_HZ_7022</v>
      </c>
      <c r="Q475" s="32" t="str">
        <f>"str_"&amp;CONTROL[[#This Row],[VEHIDCODE]]</f>
        <v>str_dmu_Croatia_HZ_7022</v>
      </c>
    </row>
    <row r="476" spans="1:17">
      <c r="A476" s="2" t="s">
        <v>502</v>
      </c>
      <c r="B476" s="32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s">
        <v>2836</v>
      </c>
      <c r="G476" t="s">
        <v>2859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s="32" t="str">
        <f>"item_"&amp;CONTROL[[#This Row],[VEHIDCODE]]</f>
        <v>item_dmu_Turkey_TCDD_MT_5500</v>
      </c>
      <c r="Q476" s="32" t="str">
        <f>"str_"&amp;CONTROL[[#This Row],[VEHIDCODE]]</f>
        <v>str_dmu_Turkey_TCDD_MT_5500</v>
      </c>
    </row>
    <row r="477" spans="1:17">
      <c r="A477" s="2" t="s">
        <v>503</v>
      </c>
      <c r="B477" s="32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s">
        <v>1474</v>
      </c>
      <c r="G477" t="s">
        <v>2860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s="32" t="str">
        <f>"item_"&amp;CONTROL[[#This Row],[VEHIDCODE]]</f>
        <v>item_dmu_Japan_JNR_KiHa_181</v>
      </c>
      <c r="Q477" s="32" t="str">
        <f>"str_"&amp;CONTROL[[#This Row],[VEHIDCODE]]</f>
        <v>str_dmu_Japan_JNR_KiHa_181</v>
      </c>
    </row>
    <row r="478" spans="1:17">
      <c r="A478" s="2" t="s">
        <v>504</v>
      </c>
      <c r="B478" s="32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s">
        <v>2837</v>
      </c>
      <c r="G478" t="s">
        <v>2861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s="32" t="str">
        <f>"item_"&amp;CONTROL[[#This Row],[VEHIDCODE]]</f>
        <v>item_dmu_Czech_Republic_CD_814</v>
      </c>
      <c r="Q478" s="32" t="str">
        <f>"str_"&amp;CONTROL[[#This Row],[VEHIDCODE]]</f>
        <v>str_dmu_Czech_Republic_CD_814</v>
      </c>
    </row>
    <row r="479" spans="1:17">
      <c r="A479" s="2" t="s">
        <v>505</v>
      </c>
      <c r="B479" s="32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s">
        <v>1475</v>
      </c>
      <c r="G479" t="s">
        <v>2862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s="32" t="str">
        <f>"item_"&amp;CONTROL[[#This Row],[VEHIDCODE]]</f>
        <v>item_dmu_UK_BR_150_0_Sprinter</v>
      </c>
      <c r="Q479" s="32" t="str">
        <f>"str_"&amp;CONTROL[[#This Row],[VEHIDCODE]]</f>
        <v>str_dmu_UK_BR_150_0_Sprinter</v>
      </c>
    </row>
    <row r="480" spans="1:17">
      <c r="A480" s="2" t="s">
        <v>506</v>
      </c>
      <c r="B480" s="32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s">
        <v>1476</v>
      </c>
      <c r="G480" t="s">
        <v>2863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s="32" t="str">
        <f>"item_"&amp;CONTROL[[#This Row],[VEHIDCODE]]</f>
        <v>item_dmu_Iran_RAI_141_Pacer</v>
      </c>
      <c r="Q480" s="32" t="str">
        <f>"str_"&amp;CONTROL[[#This Row],[VEHIDCODE]]</f>
        <v>str_dmu_Iran_RAI_141_Pacer</v>
      </c>
    </row>
    <row r="481" spans="1:17">
      <c r="A481" s="2" t="s">
        <v>507</v>
      </c>
      <c r="B481" s="32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s">
        <v>1477</v>
      </c>
      <c r="G481" t="s">
        <v>2864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s="32" t="str">
        <f>"item_"&amp;CONTROL[[#This Row],[VEHIDCODE]]</f>
        <v>item_dmu_Israel_Israel_Railways_IC3</v>
      </c>
      <c r="Q481" s="32" t="str">
        <f>"str_"&amp;CONTROL[[#This Row],[VEHIDCODE]]</f>
        <v>str_dmu_Israel_Israel_Railways_IC3</v>
      </c>
    </row>
    <row r="482" spans="1:17">
      <c r="A482" s="2" t="s">
        <v>508</v>
      </c>
      <c r="B482" s="3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s">
        <v>1478</v>
      </c>
      <c r="G482" t="s">
        <v>2865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s="32" t="str">
        <f>"item_"&amp;CONTROL[[#This Row],[VEHIDCODE]]</f>
        <v>item_dmu_Australia_TransAdelaide_3100</v>
      </c>
      <c r="Q482" s="32" t="str">
        <f>"str_"&amp;CONTROL[[#This Row],[VEHIDCODE]]</f>
        <v>str_dmu_Australia_TransAdelaide_3100</v>
      </c>
    </row>
    <row r="483" spans="1:17">
      <c r="A483" s="2" t="s">
        <v>509</v>
      </c>
      <c r="B483" s="32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s">
        <v>1479</v>
      </c>
      <c r="G483" t="s">
        <v>2866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s="32" t="str">
        <f>"item_"&amp;CONTROL[[#This Row],[VEHIDCODE]]</f>
        <v>item_dmu_Australia_NSWGR_Xplorer</v>
      </c>
      <c r="Q483" s="32" t="str">
        <f>"str_"&amp;CONTROL[[#This Row],[VEHIDCODE]]</f>
        <v>str_dmu_Australia_NSWGR_Xplorer</v>
      </c>
    </row>
    <row r="484" spans="1:17">
      <c r="A484" s="2" t="s">
        <v>510</v>
      </c>
      <c r="B484" s="32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s">
        <v>1480</v>
      </c>
      <c r="G484" t="s">
        <v>2867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s="32" t="str">
        <f>"item_"&amp;CONTROL[[#This Row],[VEHIDCODE]]</f>
        <v>item_dmu_Japan_JR_KiHa_189</v>
      </c>
      <c r="Q484" s="32" t="str">
        <f>"str_"&amp;CONTROL[[#This Row],[VEHIDCODE]]</f>
        <v>str_dmu_Japan_JR_KiHa_189</v>
      </c>
    </row>
    <row r="485" spans="1:17">
      <c r="A485" s="2" t="s">
        <v>511</v>
      </c>
      <c r="B485" s="32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s">
        <v>1481</v>
      </c>
      <c r="G485" t="s">
        <v>2868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s="32" t="str">
        <f>"item_"&amp;CONTROL[[#This Row],[VEHIDCODE]]</f>
        <v>item_dmu_Sri_Lanka_Sri_Lanka_Railways_S11</v>
      </c>
      <c r="Q485" s="32" t="str">
        <f>"str_"&amp;CONTROL[[#This Row],[VEHIDCODE]]</f>
        <v>str_dmu_Sri_Lanka_Sri_Lanka_Railways_S11</v>
      </c>
    </row>
    <row r="486" spans="1:17">
      <c r="A486" s="2" t="s">
        <v>512</v>
      </c>
      <c r="B486" s="32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s">
        <v>1482</v>
      </c>
      <c r="G486" t="s">
        <v>2869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s="32" t="str">
        <f>"item_"&amp;CONTROL[[#This Row],[VEHIDCODE]]</f>
        <v>item_dmu_Slovakia_ZSSK_861</v>
      </c>
      <c r="Q486" s="32" t="str">
        <f>"str_"&amp;CONTROL[[#This Row],[VEHIDCODE]]</f>
        <v>str_dmu_Slovakia_ZSSK_861</v>
      </c>
    </row>
    <row r="487" spans="1:17">
      <c r="A487" s="2" t="s">
        <v>513</v>
      </c>
      <c r="B487" s="32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s">
        <v>1483</v>
      </c>
      <c r="G487" t="s">
        <v>2870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s="32" t="str">
        <f>"item_"&amp;CONTROL[[#This Row],[VEHIDCODE]]</f>
        <v>item_dmu_Chile_EFE_TLD_500</v>
      </c>
      <c r="Q487" s="32" t="str">
        <f>"str_"&amp;CONTROL[[#This Row],[VEHIDCODE]]</f>
        <v>str_dmu_Chile_EFE_TLD_500</v>
      </c>
    </row>
    <row r="488" spans="1:17">
      <c r="A488" s="2" t="s">
        <v>514</v>
      </c>
      <c r="B488" s="32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s">
        <v>1484</v>
      </c>
      <c r="G488" t="s">
        <v>2871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s="32" t="str">
        <f>"item_"&amp;CONTROL[[#This Row],[VEHIDCODE]]</f>
        <v>item_dmu_Cameroon_Camrail_ZE_500</v>
      </c>
      <c r="Q488" s="32" t="str">
        <f>"str_"&amp;CONTROL[[#This Row],[VEHIDCODE]]</f>
        <v>str_dmu_Cameroon_Camrail_ZE_500</v>
      </c>
    </row>
    <row r="489" spans="1:17">
      <c r="A489" s="2" t="s">
        <v>515</v>
      </c>
      <c r="B489" s="32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s">
        <v>1485</v>
      </c>
      <c r="G489" t="s">
        <v>2872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s="32" t="str">
        <f>"item_"&amp;CONTROL[[#This Row],[VEHIDCODE]]</f>
        <v>item_dmu_UK_BR_251_Blue_Pullman</v>
      </c>
      <c r="Q489" s="32" t="str">
        <f>"str_"&amp;CONTROL[[#This Row],[VEHIDCODE]]</f>
        <v>str_dmu_UK_BR_251_Blue_Pullman</v>
      </c>
    </row>
    <row r="490" spans="1:17">
      <c r="A490" s="2" t="s">
        <v>516</v>
      </c>
      <c r="B490" s="32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s">
        <v>2874</v>
      </c>
      <c r="G490" t="s">
        <v>2873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s="32" t="str">
        <f>"item_"&amp;CONTROL[[#This Row],[VEHIDCODE]]</f>
        <v>item_dmu_Australia_WAGR_ADK_ADB</v>
      </c>
      <c r="Q490" s="32" t="str">
        <f>"str_"&amp;CONTROL[[#This Row],[VEHIDCODE]]</f>
        <v>str_dmu_Australia_WAGR_ADK_ADB</v>
      </c>
    </row>
    <row r="491" spans="1:17">
      <c r="A491" s="2" t="s">
        <v>517</v>
      </c>
      <c r="B491" s="32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s">
        <v>1486</v>
      </c>
      <c r="G491" t="s">
        <v>2875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s="32" t="str">
        <f>"item_"&amp;CONTROL[[#This Row],[VEHIDCODE]]</f>
        <v>item_dmu_France_SNCF_X_4630</v>
      </c>
      <c r="Q491" s="32" t="str">
        <f>"str_"&amp;CONTROL[[#This Row],[VEHIDCODE]]</f>
        <v>str_dmu_France_SNCF_X_4630</v>
      </c>
    </row>
    <row r="492" spans="1:17">
      <c r="A492" s="2" t="s">
        <v>518</v>
      </c>
      <c r="B492" s="3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s">
        <v>1487</v>
      </c>
      <c r="G492" t="s">
        <v>2876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s="32" t="str">
        <f>"item_"&amp;CONTROL[[#This Row],[VEHIDCODE]]</f>
        <v>item_dmu_France_SNCF_T_2000</v>
      </c>
      <c r="Q492" s="32" t="str">
        <f>"str_"&amp;CONTROL[[#This Row],[VEHIDCODE]]</f>
        <v>str_dmu_France_SNCF_T_2000</v>
      </c>
    </row>
    <row r="493" spans="1:17">
      <c r="A493" s="2" t="s">
        <v>519</v>
      </c>
      <c r="B493" s="32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s">
        <v>1488</v>
      </c>
      <c r="G493" t="s">
        <v>2877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s="32" t="str">
        <f>"item_"&amp;CONTROL[[#This Row],[VEHIDCODE]]</f>
        <v>item_dmu_Netherlands_NS_DH2</v>
      </c>
      <c r="Q493" s="32" t="str">
        <f>"str_"&amp;CONTROL[[#This Row],[VEHIDCODE]]</f>
        <v>str_dmu_Netherlands_NS_DH2</v>
      </c>
    </row>
    <row r="494" spans="1:17">
      <c r="A494" s="2" t="s">
        <v>520</v>
      </c>
      <c r="B494" s="32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s">
        <v>1489</v>
      </c>
      <c r="G494" t="s">
        <v>2878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s="32" t="str">
        <f>"item_"&amp;CONTROL[[#This Row],[VEHIDCODE]]</f>
        <v>item_dmu_Germany_DB_6282</v>
      </c>
      <c r="Q494" s="32" t="str">
        <f>"str_"&amp;CONTROL[[#This Row],[VEHIDCODE]]</f>
        <v>str_dmu_Germany_DB_6282</v>
      </c>
    </row>
    <row r="495" spans="1:17">
      <c r="A495" s="2" t="s">
        <v>521</v>
      </c>
      <c r="B495" s="32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s">
        <v>1490</v>
      </c>
      <c r="G495" t="s">
        <v>2642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s="32" t="str">
        <f>"item_"&amp;CONTROL[[#This Row],[VEHIDCODE]]</f>
        <v>item_dmu_Algeria_SNTF_ZZ_2200_Autorail</v>
      </c>
      <c r="Q495" s="32" t="str">
        <f>"str_"&amp;CONTROL[[#This Row],[VEHIDCODE]]</f>
        <v>str_dmu_Algeria_SNTF_ZZ_2200_Autorail</v>
      </c>
    </row>
    <row r="496" spans="1:17">
      <c r="A496" s="2" t="s">
        <v>522</v>
      </c>
      <c r="B496" s="32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s">
        <v>1491</v>
      </c>
      <c r="G496" t="s">
        <v>2879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s="32" t="str">
        <f>"item_"&amp;CONTROL[[#This Row],[VEHIDCODE]]</f>
        <v>item_dmu_Tunisia_SNCFT_AMT_800</v>
      </c>
      <c r="Q496" s="32" t="str">
        <f>"str_"&amp;CONTROL[[#This Row],[VEHIDCODE]]</f>
        <v>str_dmu_Tunisia_SNCFT_AMT_800</v>
      </c>
    </row>
    <row r="497" spans="1:17">
      <c r="A497" s="2" t="s">
        <v>523</v>
      </c>
      <c r="B497" s="32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s">
        <v>1492</v>
      </c>
      <c r="G497" t="s">
        <v>2880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s="32" t="str">
        <f>"item_"&amp;CONTROL[[#This Row],[VEHIDCODE]]</f>
        <v>item_dmu_Ghana_Ghana_Railways_DEMU</v>
      </c>
      <c r="Q497" s="32" t="str">
        <f>"str_"&amp;CONTROL[[#This Row],[VEHIDCODE]]</f>
        <v>str_dmu_Ghana_Ghana_Railways_DEMU</v>
      </c>
    </row>
    <row r="498" spans="1:17">
      <c r="A498" s="2" t="s">
        <v>524</v>
      </c>
      <c r="B498" s="32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s">
        <v>1493</v>
      </c>
      <c r="G498" t="s">
        <v>2881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s="32" t="str">
        <f>"item_"&amp;CONTROL[[#This Row],[VEHIDCODE]]</f>
        <v>item_dmu_Australia_Queensland_Rail_Diesel_Tilt_Train</v>
      </c>
      <c r="Q498" s="32" t="str">
        <f>"str_"&amp;CONTROL[[#This Row],[VEHIDCODE]]</f>
        <v>str_dmu_Australia_Queensland_Rail_Diesel_Tilt_Train</v>
      </c>
    </row>
    <row r="499" spans="1:17">
      <c r="A499" s="2" t="s">
        <v>525</v>
      </c>
      <c r="B499" s="32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s">
        <v>1494</v>
      </c>
      <c r="G499" t="s">
        <v>2882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s="32" t="str">
        <f>"item_"&amp;CONTROL[[#This Row],[VEHIDCODE]]</f>
        <v>item_dmu_Canada_UP_Express_Nippon_Sharyo_DMU</v>
      </c>
      <c r="Q499" s="32" t="str">
        <f>"str_"&amp;CONTROL[[#This Row],[VEHIDCODE]]</f>
        <v>str_dmu_Canada_UP_Express_Nippon_Sharyo_DMU</v>
      </c>
    </row>
    <row r="500" spans="1:17">
      <c r="A500" s="2" t="s">
        <v>526</v>
      </c>
      <c r="B500" s="32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s">
        <v>1495</v>
      </c>
      <c r="G500" t="s">
        <v>2883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s="32" t="str">
        <f>"item_"&amp;CONTROL[[#This Row],[VEHIDCODE]]</f>
        <v>item_dmu_Argentina_FCGU_CMM_400_2</v>
      </c>
      <c r="Q500" s="32" t="str">
        <f>"str_"&amp;CONTROL[[#This Row],[VEHIDCODE]]</f>
        <v>str_dmu_Argentina_FCGU_CMM_400_2</v>
      </c>
    </row>
    <row r="501" spans="1:17">
      <c r="A501" s="2" t="s">
        <v>527</v>
      </c>
      <c r="B501" s="32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s">
        <v>1496</v>
      </c>
      <c r="G501" t="s">
        <v>2884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s="32" t="str">
        <f>"item_"&amp;CONTROL[[#This Row],[VEHIDCODE]]</f>
        <v>item_dmu_Italy_FS_ALn_442_448</v>
      </c>
      <c r="Q501" s="32" t="str">
        <f>"str_"&amp;CONTROL[[#This Row],[VEHIDCODE]]</f>
        <v>str_dmu_Italy_FS_ALn_442_448</v>
      </c>
    </row>
    <row r="502" spans="1:17">
      <c r="A502" s="2" t="s">
        <v>528</v>
      </c>
      <c r="B502" s="3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s">
        <v>1497</v>
      </c>
      <c r="G502" t="s">
        <v>2885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s="32" t="str">
        <f>"item_"&amp;CONTROL[[#This Row],[VEHIDCODE]]</f>
        <v>item_dmu_Portugal_CP_0400</v>
      </c>
      <c r="Q502" s="32" t="str">
        <f>"str_"&amp;CONTROL[[#This Row],[VEHIDCODE]]</f>
        <v>str_dmu_Portugal_CP_0400</v>
      </c>
    </row>
    <row r="503" spans="1:17">
      <c r="A503" s="2" t="s">
        <v>529</v>
      </c>
      <c r="B503" s="32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s">
        <v>1498</v>
      </c>
      <c r="G503" t="s">
        <v>2886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s="32" t="str">
        <f>"item_"&amp;CONTROL[[#This Row],[VEHIDCODE]]</f>
        <v>item_dmu_Portugal_CP_0600</v>
      </c>
      <c r="Q503" s="32" t="str">
        <f>"str_"&amp;CONTROL[[#This Row],[VEHIDCODE]]</f>
        <v>str_dmu_Portugal_CP_0600</v>
      </c>
    </row>
    <row r="504" spans="1:17">
      <c r="A504" s="2" t="s">
        <v>530</v>
      </c>
      <c r="B504" s="32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s">
        <v>1499</v>
      </c>
      <c r="G504" t="s">
        <v>2889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s="32" t="str">
        <f>"item_"&amp;CONTROL[[#This Row],[VEHIDCODE]]</f>
        <v>item_dmu_Spain_FEVE_2400_Apollos</v>
      </c>
      <c r="Q504" s="32" t="str">
        <f>"str_"&amp;CONTROL[[#This Row],[VEHIDCODE]]</f>
        <v>str_dmu_Spain_FEVE_2400_Apollos</v>
      </c>
    </row>
    <row r="505" spans="1:17">
      <c r="A505" s="2" t="s">
        <v>531</v>
      </c>
      <c r="B505" s="32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s">
        <v>1500</v>
      </c>
      <c r="G505" t="s">
        <v>2893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s="32" t="str">
        <f>"item_"&amp;CONTROL[[#This Row],[VEHIDCODE]]</f>
        <v>item_cargodmu_Germany_DB_691_CargoSprinter</v>
      </c>
      <c r="Q505" s="32" t="str">
        <f>"str_"&amp;CONTROL[[#This Row],[VEHIDCODE]]</f>
        <v>str_cargodmu_Germany_DB_691_CargoSprinter</v>
      </c>
    </row>
    <row r="506" spans="1:17">
      <c r="A506" s="2" t="s">
        <v>533</v>
      </c>
      <c r="B506" s="32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s">
        <v>1501</v>
      </c>
      <c r="G506" t="s">
        <v>2894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s="32" t="str">
        <f>"item_"&amp;CONTROL[[#This Row],[VEHIDCODE]]</f>
        <v>item_emu_Australia_Sydney_Trains_A_Set_Waratah</v>
      </c>
      <c r="Q506" s="32" t="str">
        <f>"str_"&amp;CONTROL[[#This Row],[VEHIDCODE]]</f>
        <v>str_emu_Australia_Sydney_Trains_A_Set_Waratah</v>
      </c>
    </row>
    <row r="507" spans="1:17">
      <c r="A507" s="2" t="s">
        <v>534</v>
      </c>
      <c r="B507" s="32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s">
        <v>1502</v>
      </c>
      <c r="G507" t="s">
        <v>2895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s="32" t="str">
        <f>"item_"&amp;CONTROL[[#This Row],[VEHIDCODE]]</f>
        <v>item_emu_Denmark_DSB_S_Tog_II</v>
      </c>
      <c r="Q507" s="32" t="str">
        <f>"str_"&amp;CONTROL[[#This Row],[VEHIDCODE]]</f>
        <v>str_emu_Denmark_DSB_S_Tog_II</v>
      </c>
    </row>
    <row r="508" spans="1:17">
      <c r="A508" s="2" t="s">
        <v>535</v>
      </c>
      <c r="B508" s="32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s">
        <v>1503</v>
      </c>
      <c r="G508" t="s">
        <v>2896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s="32" t="str">
        <f>"item_"&amp;CONTROL[[#This Row],[VEHIDCODE]]</f>
        <v>item_emu_Denmark_DSB_S_Tog_IV</v>
      </c>
      <c r="Q508" s="32" t="str">
        <f>"str_"&amp;CONTROL[[#This Row],[VEHIDCODE]]</f>
        <v>str_emu_Denmark_DSB_S_Tog_IV</v>
      </c>
    </row>
    <row r="509" spans="1:17">
      <c r="A509" s="2" t="s">
        <v>536</v>
      </c>
      <c r="B509" s="32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s">
        <v>2897</v>
      </c>
      <c r="G509" t="s">
        <v>2898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s="32" t="str">
        <f>"item_"&amp;CONTROL[[#This Row],[VEHIDCODE]]</f>
        <v>item_emu_Italy_ATAC_ECD_21_30</v>
      </c>
      <c r="Q509" s="32" t="str">
        <f>"str_"&amp;CONTROL[[#This Row],[VEHIDCODE]]</f>
        <v>str_emu_Italy_ATAC_ECD_21_30</v>
      </c>
    </row>
    <row r="510" spans="1:17">
      <c r="A510" s="2" t="s">
        <v>537</v>
      </c>
      <c r="B510" s="32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s">
        <v>1504</v>
      </c>
      <c r="G510" t="s">
        <v>2899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s="32" t="str">
        <f>"item_"&amp;CONTROL[[#This Row],[VEHIDCODE]]</f>
        <v>item_emu_Netherlands_NS_Mat24</v>
      </c>
      <c r="Q510" s="32" t="str">
        <f>"str_"&amp;CONTROL[[#This Row],[VEHIDCODE]]</f>
        <v>str_emu_Netherlands_NS_Mat24</v>
      </c>
    </row>
    <row r="511" spans="1:17">
      <c r="A511" s="2" t="s">
        <v>538</v>
      </c>
      <c r="B511" s="32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s">
        <v>1505</v>
      </c>
      <c r="G511" t="s">
        <v>2900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s="32" t="str">
        <f>"item_"&amp;CONTROL[[#This Row],[VEHIDCODE]]</f>
        <v>item_emu_Netherlands_NS_Mat36</v>
      </c>
      <c r="Q511" s="32" t="str">
        <f>"str_"&amp;CONTROL[[#This Row],[VEHIDCODE]]</f>
        <v>str_emu_Netherlands_NS_Mat36</v>
      </c>
    </row>
    <row r="512" spans="1:17">
      <c r="A512" s="2" t="s">
        <v>539</v>
      </c>
      <c r="B512" s="3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s">
        <v>1506</v>
      </c>
      <c r="G512" t="s">
        <v>2901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s="32" t="str">
        <f>"item_"&amp;CONTROL[[#This Row],[VEHIDCODE]]</f>
        <v>item_emu_Netherlands_NS_Mat54</v>
      </c>
      <c r="Q512" s="32" t="str">
        <f>"str_"&amp;CONTROL[[#This Row],[VEHIDCODE]]</f>
        <v>str_emu_Netherlands_NS_Mat54</v>
      </c>
    </row>
    <row r="513" spans="1:17">
      <c r="A513" s="2" t="s">
        <v>540</v>
      </c>
      <c r="B513" s="32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s">
        <v>1507</v>
      </c>
      <c r="G513" t="s">
        <v>2902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s="32" t="str">
        <f>"item_"&amp;CONTROL[[#This Row],[VEHIDCODE]]</f>
        <v>item_emu_Netherlands_NS_Plan_Y</v>
      </c>
      <c r="Q513" s="32" t="str">
        <f>"str_"&amp;CONTROL[[#This Row],[VEHIDCODE]]</f>
        <v>str_emu_Netherlands_NS_Plan_Y</v>
      </c>
    </row>
    <row r="514" spans="1:17">
      <c r="A514" s="2" t="s">
        <v>541</v>
      </c>
      <c r="B514" s="32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s">
        <v>1508</v>
      </c>
      <c r="G514" t="s">
        <v>2903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s="32" t="str">
        <f>"item_"&amp;CONTROL[[#This Row],[VEHIDCODE]]</f>
        <v>item_emu_Netherlands_NS_ICM_4000</v>
      </c>
      <c r="Q514" s="32" t="str">
        <f>"str_"&amp;CONTROL[[#This Row],[VEHIDCODE]]</f>
        <v>str_emu_Netherlands_NS_ICM_4000</v>
      </c>
    </row>
    <row r="515" spans="1:17">
      <c r="A515" s="2" t="s">
        <v>542</v>
      </c>
      <c r="B515" s="32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s">
        <v>2905</v>
      </c>
      <c r="G515" t="s">
        <v>2904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s="32" t="str">
        <f>"item_"&amp;CONTROL[[#This Row],[VEHIDCODE]]</f>
        <v>item_emu_Netherlands_NS_DD_IRM_VIRM</v>
      </c>
      <c r="Q515" s="32" t="str">
        <f>"str_"&amp;CONTROL[[#This Row],[VEHIDCODE]]</f>
        <v>str_emu_Netherlands_NS_DD_IRM_VIRM</v>
      </c>
    </row>
    <row r="516" spans="1:17">
      <c r="A516" s="2" t="s">
        <v>543</v>
      </c>
      <c r="B516" s="32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s">
        <v>1509</v>
      </c>
      <c r="G516" t="s">
        <v>2908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s="32" t="str">
        <f>"item_"&amp;CONTROL[[#This Row],[VEHIDCODE]]</f>
        <v>item_emu_Netherlands_NS_mDDm_390</v>
      </c>
      <c r="Q516" s="32" t="str">
        <f>"str_"&amp;CONTROL[[#This Row],[VEHIDCODE]]</f>
        <v>str_emu_Netherlands_NS_mDDm_390</v>
      </c>
    </row>
    <row r="517" spans="1:17">
      <c r="A517" s="2" t="s">
        <v>544</v>
      </c>
      <c r="B517" s="32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s">
        <v>1510</v>
      </c>
      <c r="G517" t="s">
        <v>2906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s="32" t="str">
        <f>"item_"&amp;CONTROL[[#This Row],[VEHIDCODE]]</f>
        <v>item_emu_Poland_PKP_EW90</v>
      </c>
      <c r="Q517" s="32" t="str">
        <f>"str_"&amp;CONTROL[[#This Row],[VEHIDCODE]]</f>
        <v>str_emu_Poland_PKP_EW90</v>
      </c>
    </row>
    <row r="518" spans="1:17">
      <c r="A518" s="2" t="s">
        <v>545</v>
      </c>
      <c r="B518" s="32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s">
        <v>1511</v>
      </c>
      <c r="G518" t="s">
        <v>2907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s="32" t="str">
        <f>"item_"&amp;CONTROL[[#This Row],[VEHIDCODE]]</f>
        <v>item_emu_Italy_FS_ETR200</v>
      </c>
      <c r="Q518" s="32" t="str">
        <f>"str_"&amp;CONTROL[[#This Row],[VEHIDCODE]]</f>
        <v>str_emu_Italy_FS_ETR200</v>
      </c>
    </row>
    <row r="519" spans="1:17">
      <c r="A519" s="2" t="s">
        <v>546</v>
      </c>
      <c r="B519" s="32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s">
        <v>1512</v>
      </c>
      <c r="G519" t="s">
        <v>2909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s="32" t="str">
        <f>"item_"&amp;CONTROL[[#This Row],[VEHIDCODE]]</f>
        <v>item_emu_Italy_FS_ETR300_Settebello</v>
      </c>
      <c r="Q519" s="32" t="str">
        <f>"str_"&amp;CONTROL[[#This Row],[VEHIDCODE]]</f>
        <v>str_emu_Italy_FS_ETR300_Settebello</v>
      </c>
    </row>
    <row r="520" spans="1:17">
      <c r="A520" s="2" t="s">
        <v>547</v>
      </c>
      <c r="B520" s="32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s">
        <v>1513</v>
      </c>
      <c r="G520" t="s">
        <v>2910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s="32" t="str">
        <f>"item_"&amp;CONTROL[[#This Row],[VEHIDCODE]]</f>
        <v>item_emu_Italy_FS_ETR500</v>
      </c>
      <c r="Q520" s="32" t="str">
        <f>"str_"&amp;CONTROL[[#This Row],[VEHIDCODE]]</f>
        <v>str_emu_Italy_FS_ETR500</v>
      </c>
    </row>
    <row r="521" spans="1:17">
      <c r="A521" s="2" t="s">
        <v>548</v>
      </c>
      <c r="B521" s="32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s">
        <v>1514</v>
      </c>
      <c r="G521" t="s">
        <v>2911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s="32" t="str">
        <f>"item_"&amp;CONTROL[[#This Row],[VEHIDCODE]]</f>
        <v>item_emu_Italy_FS_ALe426</v>
      </c>
      <c r="Q521" s="32" t="str">
        <f>"str_"&amp;CONTROL[[#This Row],[VEHIDCODE]]</f>
        <v>str_emu_Italy_FS_ALe426</v>
      </c>
    </row>
    <row r="522" spans="1:17">
      <c r="A522" s="2" t="s">
        <v>549</v>
      </c>
      <c r="B522" s="3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s">
        <v>1515</v>
      </c>
      <c r="G522" t="s">
        <v>2912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s="32" t="str">
        <f>"item_"&amp;CONTROL[[#This Row],[VEHIDCODE]]</f>
        <v>item_emu_Morocco_ONCF_ZMC</v>
      </c>
      <c r="Q522" s="32" t="str">
        <f>"str_"&amp;CONTROL[[#This Row],[VEHIDCODE]]</f>
        <v>str_emu_Morocco_ONCF_ZMC</v>
      </c>
    </row>
    <row r="523" spans="1:17">
      <c r="A523" s="2" t="s">
        <v>550</v>
      </c>
      <c r="B523" s="32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s">
        <v>1516</v>
      </c>
      <c r="G523" t="s">
        <v>2913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s="32" t="str">
        <f>"item_"&amp;CONTROL[[#This Row],[VEHIDCODE]]</f>
        <v>item_emu_Poland_PKP_EW54</v>
      </c>
      <c r="Q523" s="32" t="str">
        <f>"str_"&amp;CONTROL[[#This Row],[VEHIDCODE]]</f>
        <v>str_emu_Poland_PKP_EW54</v>
      </c>
    </row>
    <row r="524" spans="1:17">
      <c r="A524" s="2" t="s">
        <v>551</v>
      </c>
      <c r="B524" s="32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s">
        <v>1517</v>
      </c>
      <c r="G524" t="s">
        <v>2914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s="32" t="str">
        <f>"item_"&amp;CONTROL[[#This Row],[VEHIDCODE]]</f>
        <v>item_emu_Italy_FS_ALe_801</v>
      </c>
      <c r="Q524" s="32" t="str">
        <f>"str_"&amp;CONTROL[[#This Row],[VEHIDCODE]]</f>
        <v>str_emu_Italy_FS_ALe_801</v>
      </c>
    </row>
    <row r="525" spans="1:17">
      <c r="A525" s="2" t="s">
        <v>552</v>
      </c>
      <c r="B525" s="32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s">
        <v>2540</v>
      </c>
      <c r="G525" t="s">
        <v>2915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s="32" t="str">
        <f>"item_"&amp;CONTROL[[#This Row],[VEHIDCODE]]</f>
        <v>item_emu_Austria_OBB_4030</v>
      </c>
      <c r="Q525" s="32" t="str">
        <f>"str_"&amp;CONTROL[[#This Row],[VEHIDCODE]]</f>
        <v>str_emu_Austria_OBB_4030</v>
      </c>
    </row>
    <row r="526" spans="1:17">
      <c r="A526" s="2" t="s">
        <v>553</v>
      </c>
      <c r="B526" s="32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s">
        <v>2541</v>
      </c>
      <c r="G526" t="s">
        <v>2916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s="32" t="str">
        <f>"item_"&amp;CONTROL[[#This Row],[VEHIDCODE]]</f>
        <v>item_emu_Austria_OBB_4041</v>
      </c>
      <c r="Q526" s="32" t="str">
        <f>"str_"&amp;CONTROL[[#This Row],[VEHIDCODE]]</f>
        <v>str_emu_Austria_OBB_4041</v>
      </c>
    </row>
    <row r="527" spans="1:17">
      <c r="A527" s="2" t="s">
        <v>554</v>
      </c>
      <c r="B527" s="32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s">
        <v>1518</v>
      </c>
      <c r="G527" t="s">
        <v>2917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s="32" t="str">
        <f>"item_"&amp;CONTROL[[#This Row],[VEHIDCODE]]</f>
        <v>item_emu_Austria_WESTbahn_4010_KISS</v>
      </c>
      <c r="Q527" s="32" t="str">
        <f>"str_"&amp;CONTROL[[#This Row],[VEHIDCODE]]</f>
        <v>str_emu_Austria_WESTbahn_4010_KISS</v>
      </c>
    </row>
    <row r="528" spans="1:17">
      <c r="A528" s="2" t="s">
        <v>555</v>
      </c>
      <c r="B528" s="32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s">
        <v>1519</v>
      </c>
      <c r="G528" t="s">
        <v>2918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s="32" t="str">
        <f>"item_"&amp;CONTROL[[#This Row],[VEHIDCODE]]</f>
        <v>item_emu_Germany_DB_ET420</v>
      </c>
      <c r="Q528" s="32" t="str">
        <f>"str_"&amp;CONTROL[[#This Row],[VEHIDCODE]]</f>
        <v>str_emu_Germany_DB_ET420</v>
      </c>
    </row>
    <row r="529" spans="1:17">
      <c r="A529" s="2" t="s">
        <v>556</v>
      </c>
      <c r="B529" s="32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s">
        <v>1520</v>
      </c>
      <c r="G529" t="s">
        <v>2919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s="32" t="str">
        <f>"item_"&amp;CONTROL[[#This Row],[VEHIDCODE]]</f>
        <v>item_emu_Norway_NSB_BM73</v>
      </c>
      <c r="Q529" s="32" t="str">
        <f>"str_"&amp;CONTROL[[#This Row],[VEHIDCODE]]</f>
        <v>str_emu_Norway_NSB_BM73</v>
      </c>
    </row>
    <row r="530" spans="1:17">
      <c r="A530" s="2" t="s">
        <v>557</v>
      </c>
      <c r="B530" s="32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s">
        <v>1521</v>
      </c>
      <c r="G530" t="s">
        <v>2920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s="32" t="str">
        <f>"item_"&amp;CONTROL[[#This Row],[VEHIDCODE]]</f>
        <v>item_emu_Norway_NSB_BM65</v>
      </c>
      <c r="Q530" s="32" t="str">
        <f>"str_"&amp;CONTROL[[#This Row],[VEHIDCODE]]</f>
        <v>str_emu_Norway_NSB_BM65</v>
      </c>
    </row>
    <row r="531" spans="1:17">
      <c r="A531" s="2" t="s">
        <v>558</v>
      </c>
      <c r="B531" s="32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s">
        <v>1522</v>
      </c>
      <c r="G531" t="s">
        <v>2921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s="32" t="str">
        <f>"item_"&amp;CONTROL[[#This Row],[VEHIDCODE]]</f>
        <v>item_emu_Sweden_SJ_X2000</v>
      </c>
      <c r="Q531" s="32" t="str">
        <f>"str_"&amp;CONTROL[[#This Row],[VEHIDCODE]]</f>
        <v>str_emu_Sweden_SJ_X2000</v>
      </c>
    </row>
    <row r="532" spans="1:17">
      <c r="A532" s="2" t="s">
        <v>559</v>
      </c>
      <c r="B532" s="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s">
        <v>1523</v>
      </c>
      <c r="G532" t="s">
        <v>2922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s="32" t="str">
        <f>"item_"&amp;CONTROL[[#This Row],[VEHIDCODE]]</f>
        <v>item_emu_Switzerland_SBB_RABDe_510</v>
      </c>
      <c r="Q532" s="32" t="str">
        <f>"str_"&amp;CONTROL[[#This Row],[VEHIDCODE]]</f>
        <v>str_emu_Switzerland_SBB_RABDe_510</v>
      </c>
    </row>
    <row r="533" spans="1:17">
      <c r="A533" s="2" t="s">
        <v>560</v>
      </c>
      <c r="B533" s="32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s">
        <v>1524</v>
      </c>
      <c r="G533" t="s">
        <v>2923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s="32" t="str">
        <f>"item_"&amp;CONTROL[[#This Row],[VEHIDCODE]]</f>
        <v>item_emu_Switzerland_SBB_RBDe_560</v>
      </c>
      <c r="Q533" s="32" t="str">
        <f>"str_"&amp;CONTROL[[#This Row],[VEHIDCODE]]</f>
        <v>str_emu_Switzerland_SBB_RBDe_560</v>
      </c>
    </row>
    <row r="534" spans="1:17">
      <c r="A534" s="2" t="s">
        <v>561</v>
      </c>
      <c r="B534" s="32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s">
        <v>1525</v>
      </c>
      <c r="G534" t="s">
        <v>2924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s="32" t="str">
        <f>"item_"&amp;CONTROL[[#This Row],[VEHIDCODE]]</f>
        <v>item_emu_Switzerland_SBB_RABe_523_Flirt</v>
      </c>
      <c r="Q534" s="32" t="str">
        <f>"str_"&amp;CONTROL[[#This Row],[VEHIDCODE]]</f>
        <v>str_emu_Switzerland_SBB_RABe_523_Flirt</v>
      </c>
    </row>
    <row r="535" spans="1:17">
      <c r="A535" s="2" t="s">
        <v>562</v>
      </c>
      <c r="B535" s="32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s">
        <v>1526</v>
      </c>
      <c r="G535" t="s">
        <v>2925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s="32" t="str">
        <f>"item_"&amp;CONTROL[[#This Row],[VEHIDCODE]]</f>
        <v>item_emu_USA_Amtrak_Budd_Metroliner</v>
      </c>
      <c r="Q535" s="32" t="str">
        <f>"str_"&amp;CONTROL[[#This Row],[VEHIDCODE]]</f>
        <v>str_emu_USA_Amtrak_Budd_Metroliner</v>
      </c>
    </row>
    <row r="536" spans="1:17">
      <c r="A536" s="2" t="s">
        <v>563</v>
      </c>
      <c r="B536" s="32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s">
        <v>1527</v>
      </c>
      <c r="G536" t="s">
        <v>2926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s="32" t="str">
        <f>"item_"&amp;CONTROL[[#This Row],[VEHIDCODE]]</f>
        <v>item_emu_Germany_DB_403_ICE_3</v>
      </c>
      <c r="Q536" s="32" t="str">
        <f>"str_"&amp;CONTROL[[#This Row],[VEHIDCODE]]</f>
        <v>str_emu_Germany_DB_403_ICE_3</v>
      </c>
    </row>
    <row r="537" spans="1:17">
      <c r="A537" s="2" t="s">
        <v>564</v>
      </c>
      <c r="B537" s="32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s">
        <v>1528</v>
      </c>
      <c r="G537" t="s">
        <v>2927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s="32" t="str">
        <f>"item_"&amp;CONTROL[[#This Row],[VEHIDCODE]]</f>
        <v>item_emu_Bulgaria_BDZ_10_Desiro</v>
      </c>
      <c r="Q537" s="32" t="str">
        <f>"str_"&amp;CONTROL[[#This Row],[VEHIDCODE]]</f>
        <v>str_emu_Bulgaria_BDZ_10_Desiro</v>
      </c>
    </row>
    <row r="538" spans="1:17">
      <c r="A538" s="2" t="s">
        <v>565</v>
      </c>
      <c r="B538" s="32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s">
        <v>1529</v>
      </c>
      <c r="G538" t="s">
        <v>2928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s="32" t="str">
        <f>"item_"&amp;CONTROL[[#This Row],[VEHIDCODE]]</f>
        <v>item_emu_Finland_VR_Sm2</v>
      </c>
      <c r="Q538" s="32" t="str">
        <f>"str_"&amp;CONTROL[[#This Row],[VEHIDCODE]]</f>
        <v>str_emu_Finland_VR_Sm2</v>
      </c>
    </row>
    <row r="539" spans="1:17">
      <c r="A539" s="2" t="s">
        <v>566</v>
      </c>
      <c r="B539" s="32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s">
        <v>1530</v>
      </c>
      <c r="G539" t="s">
        <v>2929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s="32" t="str">
        <f>"item_"&amp;CONTROL[[#This Row],[VEHIDCODE]]</f>
        <v>item_emu_Finland_VR_Sm4</v>
      </c>
      <c r="Q539" s="32" t="str">
        <f>"str_"&amp;CONTROL[[#This Row],[VEHIDCODE]]</f>
        <v>str_emu_Finland_VR_Sm4</v>
      </c>
    </row>
    <row r="540" spans="1:17">
      <c r="A540" s="2" t="s">
        <v>567</v>
      </c>
      <c r="B540" s="32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s">
        <v>2548</v>
      </c>
      <c r="G540" t="s">
        <v>2930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s="32" t="str">
        <f>"item_"&amp;CONTROL[[#This Row],[VEHIDCODE]]</f>
        <v>item_emu_Hungary_MAV_BDVmot</v>
      </c>
      <c r="Q540" s="32" t="str">
        <f>"str_"&amp;CONTROL[[#This Row],[VEHIDCODE]]</f>
        <v>str_emu_Hungary_MAV_BDVmot</v>
      </c>
    </row>
    <row r="541" spans="1:17">
      <c r="A541" s="2" t="s">
        <v>568</v>
      </c>
      <c r="B541" s="32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s">
        <v>1531</v>
      </c>
      <c r="G541" t="s">
        <v>1786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s="32" t="str">
        <f>"item_"&amp;CONTROL[[#This Row],[VEHIDCODE]]</f>
        <v>item_emu_Europe_Sureot</v>
      </c>
      <c r="Q541" s="32" t="str">
        <f>"str_"&amp;CONTROL[[#This Row],[VEHIDCODE]]</f>
        <v>str_emu_Europe_Sureot</v>
      </c>
    </row>
    <row r="542" spans="1:17">
      <c r="A542" s="2" t="s">
        <v>569</v>
      </c>
      <c r="B542" s="3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s">
        <v>1532</v>
      </c>
      <c r="G542" t="s">
        <v>2931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s="32" t="str">
        <f>"item_"&amp;CONTROL[[#This Row],[VEHIDCODE]]</f>
        <v>item_emu_Japan_JNR_Shinkansen_Series_0</v>
      </c>
      <c r="Q542" s="32" t="str">
        <f>"str_"&amp;CONTROL[[#This Row],[VEHIDCODE]]</f>
        <v>str_emu_Japan_JNR_Shinkansen_Series_0</v>
      </c>
    </row>
    <row r="543" spans="1:17">
      <c r="A543" s="2" t="s">
        <v>570</v>
      </c>
      <c r="B543" s="32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s">
        <v>1533</v>
      </c>
      <c r="G543" t="s">
        <v>2932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s="32" t="str">
        <f>"item_"&amp;CONTROL[[#This Row],[VEHIDCODE]]</f>
        <v>item_emu_Japan_JR_Shinkansen_Series_700</v>
      </c>
      <c r="Q543" s="32" t="str">
        <f>"str_"&amp;CONTROL[[#This Row],[VEHIDCODE]]</f>
        <v>str_emu_Japan_JR_Shinkansen_Series_700</v>
      </c>
    </row>
    <row r="544" spans="1:17">
      <c r="A544" s="2" t="s">
        <v>571</v>
      </c>
      <c r="B544" s="32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s">
        <v>1534</v>
      </c>
      <c r="G544" t="s">
        <v>2933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s="32" t="str">
        <f>"item_"&amp;CONTROL[[#This Row],[VEHIDCODE]]</f>
        <v>item_emu_Japan_JR_Shinkansen_Series_E1_Max</v>
      </c>
      <c r="Q544" s="32" t="str">
        <f>"str_"&amp;CONTROL[[#This Row],[VEHIDCODE]]</f>
        <v>str_emu_Japan_JR_Shinkansen_Series_E1_Max</v>
      </c>
    </row>
    <row r="545" spans="1:17">
      <c r="A545" s="2" t="s">
        <v>572</v>
      </c>
      <c r="B545" s="32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s">
        <v>1535</v>
      </c>
      <c r="G545" t="s">
        <v>2934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s="32" t="str">
        <f>"item_"&amp;CONTROL[[#This Row],[VEHIDCODE]]</f>
        <v>item_emu_Luxembourg_CFL_2200_Coradia_Duplex</v>
      </c>
      <c r="Q545" s="32" t="str">
        <f>"str_"&amp;CONTROL[[#This Row],[VEHIDCODE]]</f>
        <v>str_emu_Luxembourg_CFL_2200_Coradia_Duplex</v>
      </c>
    </row>
    <row r="546" spans="1:17">
      <c r="A546" s="2" t="s">
        <v>573</v>
      </c>
      <c r="B546" s="32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s">
        <v>1536</v>
      </c>
      <c r="G546" t="s">
        <v>2935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s="32" t="str">
        <f>"item_"&amp;CONTROL[[#This Row],[VEHIDCODE]]</f>
        <v>item_emu_Macedonia_Macedonian_Railways_412</v>
      </c>
      <c r="Q546" s="32" t="str">
        <f>"str_"&amp;CONTROL[[#This Row],[VEHIDCODE]]</f>
        <v>str_emu_Macedonia_Macedonian_Railways_412</v>
      </c>
    </row>
    <row r="547" spans="1:17">
      <c r="A547" s="2" t="s">
        <v>574</v>
      </c>
      <c r="B547" s="32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s">
        <v>1537</v>
      </c>
      <c r="G547" t="s">
        <v>2936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s="32" t="str">
        <f>"item_"&amp;CONTROL[[#This Row],[VEHIDCODE]]</f>
        <v>item_emu_Romania_CFR_58</v>
      </c>
      <c r="Q547" s="32" t="str">
        <f>"str_"&amp;CONTROL[[#This Row],[VEHIDCODE]]</f>
        <v>str_emu_Romania_CFR_58</v>
      </c>
    </row>
    <row r="548" spans="1:17">
      <c r="A548" s="2" t="s">
        <v>575</v>
      </c>
      <c r="B548" s="32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s">
        <v>1538</v>
      </c>
      <c r="G548" t="s">
        <v>2937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s="32" t="str">
        <f>"item_"&amp;CONTROL[[#This Row],[VEHIDCODE]]</f>
        <v>item_emu_South_Africa_Gautrain_Electrostar</v>
      </c>
      <c r="Q548" s="32" t="str">
        <f>"str_"&amp;CONTROL[[#This Row],[VEHIDCODE]]</f>
        <v>str_emu_South_Africa_Gautrain_Electrostar</v>
      </c>
    </row>
    <row r="549" spans="1:17">
      <c r="A549" s="2" t="s">
        <v>576</v>
      </c>
      <c r="B549" s="32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s">
        <v>2938</v>
      </c>
      <c r="G549" t="s">
        <v>2939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s="32" t="str">
        <f>"item_"&amp;CONTROL[[#This Row],[VEHIDCODE]]</f>
        <v>item_emu_Turkey_TCDD_E8000</v>
      </c>
      <c r="Q549" s="32" t="str">
        <f>"str_"&amp;CONTROL[[#This Row],[VEHIDCODE]]</f>
        <v>str_emu_Turkey_TCDD_E8000</v>
      </c>
    </row>
    <row r="550" spans="1:17">
      <c r="A550" s="2" t="s">
        <v>577</v>
      </c>
      <c r="B550" s="32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s">
        <v>1756</v>
      </c>
      <c r="G550" t="s">
        <v>2940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s="32" t="str">
        <f>"item_"&amp;CONTROL[[#This Row],[VEHIDCODE]]</f>
        <v>item_emu_China_Railways_CHR380A</v>
      </c>
      <c r="Q550" s="32" t="str">
        <f>"str_"&amp;CONTROL[[#This Row],[VEHIDCODE]]</f>
        <v>str_emu_China_Railways_CHR380A</v>
      </c>
    </row>
    <row r="551" spans="1:17">
      <c r="A551" s="2" t="s">
        <v>578</v>
      </c>
      <c r="B551" s="32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s">
        <v>1539</v>
      </c>
      <c r="G551" t="s">
        <v>2941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s="32" t="str">
        <f>"item_"&amp;CONTROL[[#This Row],[VEHIDCODE]]</f>
        <v>item_emu_USA_PRR_MP54</v>
      </c>
      <c r="Q551" s="32" t="str">
        <f>"str_"&amp;CONTROL[[#This Row],[VEHIDCODE]]</f>
        <v>str_emu_USA_PRR_MP54</v>
      </c>
    </row>
    <row r="552" spans="1:17">
      <c r="A552" s="2" t="s">
        <v>579</v>
      </c>
      <c r="B552" s="3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s">
        <v>1540</v>
      </c>
      <c r="G552" t="s">
        <v>2942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s="32" t="str">
        <f>"item_"&amp;CONTROL[[#This Row],[VEHIDCODE]]</f>
        <v>item_emu_Italy_NTV_AGV</v>
      </c>
      <c r="Q552" s="32" t="str">
        <f>"str_"&amp;CONTROL[[#This Row],[VEHIDCODE]]</f>
        <v>str_emu_Italy_NTV_AGV</v>
      </c>
    </row>
    <row r="553" spans="1:17">
      <c r="A553" s="2" t="s">
        <v>580</v>
      </c>
      <c r="B553" s="32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s">
        <v>1541</v>
      </c>
      <c r="G553" t="s">
        <v>2943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s="32" t="str">
        <f>"item_"&amp;CONTROL[[#This Row],[VEHIDCODE]]</f>
        <v>item_emu_Italy_NTV_AGV_Duplex</v>
      </c>
      <c r="Q553" s="32" t="str">
        <f>"str_"&amp;CONTROL[[#This Row],[VEHIDCODE]]</f>
        <v>str_emu_Italy_NTV_AGV_Duplex</v>
      </c>
    </row>
    <row r="554" spans="1:17">
      <c r="A554" s="2" t="s">
        <v>581</v>
      </c>
      <c r="B554" s="32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s">
        <v>1542</v>
      </c>
      <c r="G554" t="s">
        <v>2944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s="32" t="str">
        <f>"item_"&amp;CONTROL[[#This Row],[VEHIDCODE]]</f>
        <v>item_emu_Netherlands_NS_Hispeed_V250_Albatros</v>
      </c>
      <c r="Q554" s="32" t="str">
        <f>"str_"&amp;CONTROL[[#This Row],[VEHIDCODE]]</f>
        <v>str_emu_Netherlands_NS_Hispeed_V250_Albatros</v>
      </c>
    </row>
    <row r="555" spans="1:17">
      <c r="A555" s="2" t="s">
        <v>582</v>
      </c>
      <c r="B555" s="32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s">
        <v>2947</v>
      </c>
      <c r="G555" t="s">
        <v>1786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s="32" t="str">
        <f>"item_"&amp;CONTROL[[#This Row],[VEHIDCODE]]</f>
        <v>item_emu_Netherlands_NS_4800_HSA</v>
      </c>
      <c r="Q555" s="32" t="str">
        <f>"str_"&amp;CONTROL[[#This Row],[VEHIDCODE]]</f>
        <v>str_emu_Netherlands_NS_4800_HSA</v>
      </c>
    </row>
    <row r="556" spans="1:17">
      <c r="A556" s="2" t="s">
        <v>583</v>
      </c>
      <c r="B556" s="32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s">
        <v>1543</v>
      </c>
      <c r="G556" t="s">
        <v>2945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s="32" t="str">
        <f>"item_"&amp;CONTROL[[#This Row],[VEHIDCODE]]</f>
        <v>item_emu_Switzerland_SBB_Rae_TEE_II</v>
      </c>
      <c r="Q556" s="32" t="str">
        <f>"str_"&amp;CONTROL[[#This Row],[VEHIDCODE]]</f>
        <v>str_emu_Switzerland_SBB_Rae_TEE_II</v>
      </c>
    </row>
    <row r="557" spans="1:17">
      <c r="A557" s="2" t="s">
        <v>584</v>
      </c>
      <c r="B557" s="32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s">
        <v>1544</v>
      </c>
      <c r="G557" t="s">
        <v>2946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s="32" t="str">
        <f>"item_"&amp;CONTROL[[#This Row],[VEHIDCODE]]</f>
        <v>item_emu_USA_Erie_Lackawanna_MU_Cars</v>
      </c>
      <c r="Q557" s="32" t="str">
        <f>"str_"&amp;CONTROL[[#This Row],[VEHIDCODE]]</f>
        <v>str_emu_USA_Erie_Lackawanna_MU_Cars</v>
      </c>
    </row>
    <row r="558" spans="1:17">
      <c r="A558" s="2" t="s">
        <v>585</v>
      </c>
      <c r="B558" s="32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s">
        <v>1545</v>
      </c>
      <c r="G558" t="s">
        <v>2948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s="32" t="str">
        <f>"item_"&amp;CONTROL[[#This Row],[VEHIDCODE]]</f>
        <v>item_emu_France_SNCF_TGV_Sud_Est</v>
      </c>
      <c r="Q558" s="32" t="str">
        <f>"str_"&amp;CONTROL[[#This Row],[VEHIDCODE]]</f>
        <v>str_emu_France_SNCF_TGV_Sud_Est</v>
      </c>
    </row>
    <row r="559" spans="1:17">
      <c r="A559" s="2" t="s">
        <v>586</v>
      </c>
      <c r="B559" s="32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s">
        <v>1546</v>
      </c>
      <c r="G559" t="s">
        <v>2949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s="32" t="str">
        <f>"item_"&amp;CONTROL[[#This Row],[VEHIDCODE]]</f>
        <v>item_emu_France_SNCF_TGV_Duplex</v>
      </c>
      <c r="Q559" s="32" t="str">
        <f>"str_"&amp;CONTROL[[#This Row],[VEHIDCODE]]</f>
        <v>str_emu_France_SNCF_TGV_Duplex</v>
      </c>
    </row>
    <row r="560" spans="1:17">
      <c r="A560" s="2" t="s">
        <v>587</v>
      </c>
      <c r="B560" s="32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s">
        <v>1547</v>
      </c>
      <c r="G560" t="s">
        <v>2950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s="32" t="str">
        <f>"item_"&amp;CONTROL[[#This Row],[VEHIDCODE]]</f>
        <v>item_emu_France_Thalys_PBKA</v>
      </c>
      <c r="Q560" s="32" t="str">
        <f>"str_"&amp;CONTROL[[#This Row],[VEHIDCODE]]</f>
        <v>str_emu_France_Thalys_PBKA</v>
      </c>
    </row>
    <row r="561" spans="1:17">
      <c r="A561" s="2" t="s">
        <v>588</v>
      </c>
      <c r="B561" s="32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s">
        <v>2838</v>
      </c>
      <c r="G561" t="s">
        <v>2951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s="32" t="str">
        <f>"item_"&amp;CONTROL[[#This Row],[VEHIDCODE]]</f>
        <v>item_emu_Czech_Republic_CD_680_Pendolino</v>
      </c>
      <c r="Q561" s="32" t="str">
        <f>"str_"&amp;CONTROL[[#This Row],[VEHIDCODE]]</f>
        <v>str_emu_Czech_Republic_CD_680_Pendolino</v>
      </c>
    </row>
    <row r="562" spans="1:17">
      <c r="A562" s="2" t="s">
        <v>589</v>
      </c>
      <c r="B562" s="3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s">
        <v>1548</v>
      </c>
      <c r="G562" t="s">
        <v>2952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s="32" t="str">
        <f>"item_"&amp;CONTROL[[#This Row],[VEHIDCODE]]</f>
        <v>item_emu_Spain_RENFE_120</v>
      </c>
      <c r="Q562" s="32" t="str">
        <f>"str_"&amp;CONTROL[[#This Row],[VEHIDCODE]]</f>
        <v>str_emu_Spain_RENFE_120</v>
      </c>
    </row>
    <row r="563" spans="1:17">
      <c r="A563" s="2" t="s">
        <v>590</v>
      </c>
      <c r="B563" s="32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s">
        <v>1549</v>
      </c>
      <c r="G563" t="s">
        <v>2953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s="32" t="str">
        <f>"item_"&amp;CONTROL[[#This Row],[VEHIDCODE]]</f>
        <v>item_emu_USA_Amtrak_Acela_Express</v>
      </c>
      <c r="Q563" s="32" t="str">
        <f>"str_"&amp;CONTROL[[#This Row],[VEHIDCODE]]</f>
        <v>str_emu_USA_Amtrak_Acela_Express</v>
      </c>
    </row>
    <row r="564" spans="1:17">
      <c r="A564" s="2" t="s">
        <v>591</v>
      </c>
      <c r="B564" s="32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s">
        <v>1550</v>
      </c>
      <c r="G564" t="s">
        <v>3016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s="32" t="str">
        <f>"item_"&amp;CONTROL[[#This Row],[VEHIDCODE]]</f>
        <v>item_singlemtro_USA_Brooklyn_Union_Gate_Car</v>
      </c>
      <c r="Q564" s="32" t="str">
        <f>"str_"&amp;CONTROL[[#This Row],[VEHIDCODE]]</f>
        <v>str_singlemtro_USA_Brooklyn_Union_Gate_Car</v>
      </c>
    </row>
    <row r="565" spans="1:17">
      <c r="A565" s="2" t="s">
        <v>592</v>
      </c>
      <c r="B565" s="32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s">
        <v>1551</v>
      </c>
      <c r="G565" t="s">
        <v>3017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s="32" t="str">
        <f>"item_"&amp;CONTROL[[#This Row],[VEHIDCODE]]</f>
        <v>item_singlemtro_Hungary_Budapest_1894_Stock</v>
      </c>
      <c r="Q565" s="32" t="str">
        <f>"str_"&amp;CONTROL[[#This Row],[VEHIDCODE]]</f>
        <v>str_singlemtro_Hungary_Budapest_1894_Stock</v>
      </c>
    </row>
    <row r="566" spans="1:17">
      <c r="A566" s="2" t="s">
        <v>593</v>
      </c>
      <c r="B566" s="32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s">
        <v>1552</v>
      </c>
      <c r="G566" t="s">
        <v>3018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s="32" t="str">
        <f>"item_"&amp;CONTROL[[#This Row],[VEHIDCODE]]</f>
        <v>item_singlemtro_USA_Chicago_L_Northwest_Elevated_1907_Stock</v>
      </c>
      <c r="Q566" s="32" t="str">
        <f>"str_"&amp;CONTROL[[#This Row],[VEHIDCODE]]</f>
        <v>str_singlemtro_USA_Chicago_L_Northwest_Elevated_1907_Stock</v>
      </c>
    </row>
    <row r="567" spans="1:17">
      <c r="A567" s="2" t="s">
        <v>594</v>
      </c>
      <c r="B567" s="32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s">
        <v>1553</v>
      </c>
      <c r="G567" t="s">
        <v>3019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s="32" t="str">
        <f>"item_"&amp;CONTROL[[#This Row],[VEHIDCODE]]</f>
        <v>item_singlemtro_Germany_Berlin_U_Bahn_C_II</v>
      </c>
      <c r="Q567" s="32" t="str">
        <f>"str_"&amp;CONTROL[[#This Row],[VEHIDCODE]]</f>
        <v>str_singlemtro_Germany_Berlin_U_Bahn_C_II</v>
      </c>
    </row>
    <row r="568" spans="1:17">
      <c r="A568" s="2" t="s">
        <v>595</v>
      </c>
      <c r="B568" s="32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s">
        <v>1554</v>
      </c>
      <c r="G568" t="s">
        <v>1786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s="32" t="str">
        <f>"item_"&amp;CONTROL[[#This Row],[VEHIDCODE]]</f>
        <v>item_rbm_World_Turbobus</v>
      </c>
      <c r="Q568" s="32" t="str">
        <f>"str_"&amp;CONTROL[[#This Row],[VEHIDCODE]]</f>
        <v>str_rbm_World_Turbobus</v>
      </c>
    </row>
    <row r="569" spans="1:17">
      <c r="A569" s="2" t="s">
        <v>596</v>
      </c>
      <c r="B569" s="32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s">
        <v>1555</v>
      </c>
      <c r="G569" t="s">
        <v>1786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s="32" t="str">
        <f>"item_"&amp;CONTROL[[#This Row],[VEHIDCODE]]</f>
        <v>item_mglv_Germany_DB_182_ES64UM_Mutus</v>
      </c>
      <c r="Q569" s="32" t="str">
        <f>"str_"&amp;CONTROL[[#This Row],[VEHIDCODE]]</f>
        <v>str_mglv_Germany_DB_182_ES64UM_Mutus</v>
      </c>
    </row>
    <row r="570" spans="1:17">
      <c r="A570" s="2" t="s">
        <v>597</v>
      </c>
      <c r="B570" s="32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s">
        <v>1556</v>
      </c>
      <c r="G570" t="s">
        <v>2954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s="32" t="str">
        <f>"item_"&amp;CONTROL[[#This Row],[VEHIDCODE]]</f>
        <v>item_mglv_China_Transrapid</v>
      </c>
      <c r="Q570" s="32" t="str">
        <f>"str_"&amp;CONTROL[[#This Row],[VEHIDCODE]]</f>
        <v>str_mglv_China_Transrapid</v>
      </c>
    </row>
    <row r="571" spans="1:17">
      <c r="A571" s="2" t="s">
        <v>598</v>
      </c>
      <c r="B571" s="32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s">
        <v>1557</v>
      </c>
      <c r="G571" t="s">
        <v>2955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s="32" t="str">
        <f>"item_"&amp;CONTROL[[#This Row],[VEHIDCODE]]</f>
        <v>item_mglv_Japan_MLX01_901</v>
      </c>
      <c r="Q571" s="32" t="str">
        <f>"str_"&amp;CONTROL[[#This Row],[VEHIDCODE]]</f>
        <v>str_mglv_Japan_MLX01_901</v>
      </c>
    </row>
    <row r="572" spans="1:17">
      <c r="A572" s="2" t="s">
        <v>910</v>
      </c>
      <c r="B572" s="3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s">
        <v>1558</v>
      </c>
      <c r="G572" t="s">
        <v>1786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s="32" t="str">
        <f>"item_"&amp;CONTROL[[#This Row],[VEHIDCODE]]</f>
        <v>item_mglv_Wagon_Gen7M_Boxcar_Type1</v>
      </c>
      <c r="Q572" s="32" t="str">
        <f>"str_"&amp;CONTROL[[#This Row],[VEHIDCODE]]</f>
        <v>str_mglv_Wagon_Gen7M_Boxcar_Type1</v>
      </c>
    </row>
    <row r="573" spans="1:17">
      <c r="A573" s="2" t="s">
        <v>893</v>
      </c>
      <c r="B573" s="32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s">
        <v>1558</v>
      </c>
      <c r="G573" t="s">
        <v>1786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s="32" t="str">
        <f>"item_"&amp;CONTROL[[#This Row],[VEHIDCODE]]</f>
        <v>item_mglv_Wagon_Gen7M_Boxcar_Type2</v>
      </c>
      <c r="Q573" s="32" t="str">
        <f>"str_"&amp;CONTROL[[#This Row],[VEHIDCODE]]</f>
        <v>str_mglv_Wagon_Gen7M_Boxcar_Type2</v>
      </c>
    </row>
    <row r="574" spans="1:17">
      <c r="A574" s="2" t="s">
        <v>894</v>
      </c>
      <c r="B574" s="32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s">
        <v>1559</v>
      </c>
      <c r="G574" t="s">
        <v>1786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s="32" t="str">
        <f>"item_"&amp;CONTROL[[#This Row],[VEHIDCODE]]</f>
        <v>item_mglv_Wagon_Gen7M_Car_Transporter</v>
      </c>
      <c r="Q574" s="32" t="str">
        <f>"str_"&amp;CONTROL[[#This Row],[VEHIDCODE]]</f>
        <v>str_mglv_Wagon_Gen7M_Car_Transporter</v>
      </c>
    </row>
    <row r="575" spans="1:17">
      <c r="A575" s="2" t="s">
        <v>895</v>
      </c>
      <c r="B575" s="32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s">
        <v>1560</v>
      </c>
      <c r="G575" t="s">
        <v>1786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s="32" t="str">
        <f>"item_"&amp;CONTROL[[#This Row],[VEHIDCODE]]</f>
        <v>item_mglv_Wagon_Gen7M_Centerbeam</v>
      </c>
      <c r="Q575" s="32" t="str">
        <f>"str_"&amp;CONTROL[[#This Row],[VEHIDCODE]]</f>
        <v>str_mglv_Wagon_Gen7M_Centerbeam</v>
      </c>
    </row>
    <row r="576" spans="1:17">
      <c r="A576" s="2" t="s">
        <v>896</v>
      </c>
      <c r="B576" s="32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s">
        <v>1561</v>
      </c>
      <c r="G576" t="s">
        <v>1786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s="32" t="str">
        <f>"item_"&amp;CONTROL[[#This Row],[VEHIDCODE]]</f>
        <v>item_mglv_Wagon_Gen7M_Container_Carrier</v>
      </c>
      <c r="Q576" s="32" t="str">
        <f>"str_"&amp;CONTROL[[#This Row],[VEHIDCODE]]</f>
        <v>str_mglv_Wagon_Gen7M_Container_Carrier</v>
      </c>
    </row>
    <row r="577" spans="1:17">
      <c r="A577" s="2" t="s">
        <v>897</v>
      </c>
      <c r="B577" s="32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s">
        <v>1562</v>
      </c>
      <c r="G577" t="s">
        <v>1786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s="32" t="str">
        <f>"item_"&amp;CONTROL[[#This Row],[VEHIDCODE]]</f>
        <v>item_mglv_Wagon_Gen7M_Container_Doublestack</v>
      </c>
      <c r="Q577" s="32" t="str">
        <f>"str_"&amp;CONTROL[[#This Row],[VEHIDCODE]]</f>
        <v>str_mglv_Wagon_Gen7M_Container_Doublestack</v>
      </c>
    </row>
    <row r="578" spans="1:17">
      <c r="A578" s="2" t="s">
        <v>898</v>
      </c>
      <c r="B578" s="32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s">
        <v>1563</v>
      </c>
      <c r="G578" t="s">
        <v>1786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s="32" t="str">
        <f>"item_"&amp;CONTROL[[#This Row],[VEHIDCODE]]</f>
        <v>item_mglv_Wagon_Gen7M_Flatcar</v>
      </c>
      <c r="Q578" s="32" t="str">
        <f>"str_"&amp;CONTROL[[#This Row],[VEHIDCODE]]</f>
        <v>str_mglv_Wagon_Gen7M_Flatcar</v>
      </c>
    </row>
    <row r="579" spans="1:17">
      <c r="A579" s="2" t="s">
        <v>899</v>
      </c>
      <c r="B579" s="32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s">
        <v>1564</v>
      </c>
      <c r="G579" t="s">
        <v>1786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s="32" t="str">
        <f>"item_"&amp;CONTROL[[#This Row],[VEHIDCODE]]</f>
        <v>item_mglv_Wagon_Gen7M_Gondola</v>
      </c>
      <c r="Q579" s="32" t="str">
        <f>"str_"&amp;CONTROL[[#This Row],[VEHIDCODE]]</f>
        <v>str_mglv_Wagon_Gen7M_Gondola</v>
      </c>
    </row>
    <row r="580" spans="1:17">
      <c r="A580" s="2" t="s">
        <v>900</v>
      </c>
      <c r="B580" s="32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s">
        <v>1565</v>
      </c>
      <c r="G580" t="s">
        <v>1786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s="32" t="str">
        <f>"item_"&amp;CONTROL[[#This Row],[VEHIDCODE]]</f>
        <v>item_mglv_Wagon_Gen7M_Heavy_Flatcar</v>
      </c>
      <c r="Q580" s="32" t="str">
        <f>"str_"&amp;CONTROL[[#This Row],[VEHIDCODE]]</f>
        <v>str_mglv_Wagon_Gen7M_Heavy_Flatcar</v>
      </c>
    </row>
    <row r="581" spans="1:17">
      <c r="A581" s="2" t="s">
        <v>901</v>
      </c>
      <c r="B581" s="32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s">
        <v>1566</v>
      </c>
      <c r="G581" t="s">
        <v>1786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s="32" t="str">
        <f>"item_"&amp;CONTROL[[#This Row],[VEHIDCODE]]</f>
        <v>item_mglv_Wagon_Gen7M_Hopper_Type1</v>
      </c>
      <c r="Q581" s="32" t="str">
        <f>"str_"&amp;CONTROL[[#This Row],[VEHIDCODE]]</f>
        <v>str_mglv_Wagon_Gen7M_Hopper_Type1</v>
      </c>
    </row>
    <row r="582" spans="1:17">
      <c r="A582" s="2" t="s">
        <v>902</v>
      </c>
      <c r="B582" s="3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s">
        <v>1566</v>
      </c>
      <c r="G582" t="s">
        <v>1786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s="32" t="str">
        <f>"item_"&amp;CONTROL[[#This Row],[VEHIDCODE]]</f>
        <v>item_mglv_Wagon_Gen7M_Hopper_Type2</v>
      </c>
      <c r="Q582" s="32" t="str">
        <f>"str_"&amp;CONTROL[[#This Row],[VEHIDCODE]]</f>
        <v>str_mglv_Wagon_Gen7M_Hopper_Type2</v>
      </c>
    </row>
    <row r="583" spans="1:17">
      <c r="A583" s="2" t="s">
        <v>903</v>
      </c>
      <c r="B583" s="32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s">
        <v>1567</v>
      </c>
      <c r="G583" t="s">
        <v>1786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s="32" t="str">
        <f>"item_"&amp;CONTROL[[#This Row],[VEHIDCODE]]</f>
        <v>item_mglv_Wagon_Gen7M_Silo_Type1</v>
      </c>
      <c r="Q583" s="32" t="str">
        <f>"str_"&amp;CONTROL[[#This Row],[VEHIDCODE]]</f>
        <v>str_mglv_Wagon_Gen7M_Silo_Type1</v>
      </c>
    </row>
    <row r="584" spans="1:17">
      <c r="A584" s="2" t="s">
        <v>904</v>
      </c>
      <c r="B584" s="32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s">
        <v>1567</v>
      </c>
      <c r="G584" t="s">
        <v>1786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s="32" t="str">
        <f>"item_"&amp;CONTROL[[#This Row],[VEHIDCODE]]</f>
        <v>item_mglv_Wagon_Gen7M_Silo_Type2</v>
      </c>
      <c r="Q584" s="32" t="str">
        <f>"str_"&amp;CONTROL[[#This Row],[VEHIDCODE]]</f>
        <v>str_mglv_Wagon_Gen7M_Silo_Type2</v>
      </c>
    </row>
    <row r="585" spans="1:17">
      <c r="A585" s="2" t="s">
        <v>905</v>
      </c>
      <c r="B585" s="32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s">
        <v>1568</v>
      </c>
      <c r="G585" t="s">
        <v>1786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s="32" t="str">
        <f>"item_"&amp;CONTROL[[#This Row],[VEHIDCODE]]</f>
        <v>item_mglv_Wagon_Gen7M_Superheavy_Flatcar</v>
      </c>
      <c r="Q585" s="32" t="str">
        <f>"str_"&amp;CONTROL[[#This Row],[VEHIDCODE]]</f>
        <v>str_mglv_Wagon_Gen7M_Superheavy_Flatcar</v>
      </c>
    </row>
    <row r="586" spans="1:17">
      <c r="A586" s="2" t="s">
        <v>906</v>
      </c>
      <c r="B586" s="32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s">
        <v>1569</v>
      </c>
      <c r="G586" t="s">
        <v>1786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s="32" t="str">
        <f>"item_"&amp;CONTROL[[#This Row],[VEHIDCODE]]</f>
        <v>item_mglv_Wagon_Gen7M_Tanker</v>
      </c>
      <c r="Q586" s="32" t="str">
        <f>"str_"&amp;CONTROL[[#This Row],[VEHIDCODE]]</f>
        <v>str_mglv_Wagon_Gen7M_Tanker</v>
      </c>
    </row>
    <row r="587" spans="1:17">
      <c r="A587" s="2" t="s">
        <v>610</v>
      </c>
      <c r="B587" s="32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s">
        <v>1570</v>
      </c>
      <c r="G587" t="s">
        <v>2987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s="32" t="str">
        <f>"item_"&amp;CONTROL[[#This Row],[VEHIDCODE]]</f>
        <v>item_rbd_Japan_JR_Shikoku_1000</v>
      </c>
      <c r="Q587" s="32" t="str">
        <f>"str_"&amp;CONTROL[[#This Row],[VEHIDCODE]]</f>
        <v>str_rbd_Japan_JR_Shikoku_1000</v>
      </c>
    </row>
    <row r="588" spans="1:17">
      <c r="A588" s="2" t="s">
        <v>611</v>
      </c>
      <c r="B588" s="32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s">
        <v>1571</v>
      </c>
      <c r="G588" t="s">
        <v>2988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s="32" t="str">
        <f>"item_"&amp;CONTROL[[#This Row],[VEHIDCODE]]</f>
        <v>item_rbd_Japan_JR_KiHa_E120</v>
      </c>
      <c r="Q588" s="32" t="str">
        <f>"str_"&amp;CONTROL[[#This Row],[VEHIDCODE]]</f>
        <v>str_rbd_Japan_JR_KiHa_E120</v>
      </c>
    </row>
    <row r="589" spans="1:17">
      <c r="A589" s="2" t="s">
        <v>612</v>
      </c>
      <c r="B589" s="32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s">
        <v>2309</v>
      </c>
      <c r="G589" t="s">
        <v>1786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s="32" t="str">
        <f>"item_"&amp;CONTROL[[#This Row],[VEHIDCODE]]</f>
        <v>item_rbd_Chile_EFE_Buscarril</v>
      </c>
      <c r="Q589" s="32" t="str">
        <f>"str_"&amp;CONTROL[[#This Row],[VEHIDCODE]]</f>
        <v>str_rbd_Chile_EFE_Buscarril</v>
      </c>
    </row>
    <row r="590" spans="1:17">
      <c r="A590" s="2" t="s">
        <v>613</v>
      </c>
      <c r="B590" s="32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s">
        <v>1572</v>
      </c>
      <c r="G590" t="s">
        <v>2990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s="32" t="str">
        <f>"item_"&amp;CONTROL[[#This Row],[VEHIDCODE]]</f>
        <v>item_rbd_Argentina_FCPBA_M_Railcar</v>
      </c>
      <c r="Q590" s="32" t="str">
        <f>"str_"&amp;CONTROL[[#This Row],[VEHIDCODE]]</f>
        <v>str_rbd_Argentina_FCPBA_M_Railcar</v>
      </c>
    </row>
    <row r="591" spans="1:17">
      <c r="A591" s="2" t="s">
        <v>614</v>
      </c>
      <c r="B591" s="32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s">
        <v>1573</v>
      </c>
      <c r="G591" t="s">
        <v>2989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s="32" t="str">
        <f>"item_"&amp;CONTROL[[#This Row],[VEHIDCODE]]</f>
        <v>item_rbd_Eritrea_Eritrean_Railway_A62_70_Littorina</v>
      </c>
      <c r="Q591" s="32" t="str">
        <f>"str_"&amp;CONTROL[[#This Row],[VEHIDCODE]]</f>
        <v>str_rbd_Eritrea_Eritrean_Railway_A62_70_Littorina</v>
      </c>
    </row>
    <row r="592" spans="1:17">
      <c r="A592" s="2" t="s">
        <v>615</v>
      </c>
      <c r="B592" s="3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s">
        <v>1574</v>
      </c>
      <c r="G592" t="s">
        <v>2991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s="32" t="str">
        <f>"item_"&amp;CONTROL[[#This Row],[VEHIDCODE]]</f>
        <v>item_rbe_Switzerland_AB_CFe_3_3</v>
      </c>
      <c r="Q592" s="32" t="str">
        <f>"str_"&amp;CONTROL[[#This Row],[VEHIDCODE]]</f>
        <v>str_rbe_Switzerland_AB_CFe_3_3</v>
      </c>
    </row>
    <row r="593" spans="1:17">
      <c r="A593" s="2" t="s">
        <v>616</v>
      </c>
      <c r="B593" s="32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s">
        <v>1575</v>
      </c>
      <c r="G593" t="s">
        <v>1786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s="32" t="str">
        <f>"item_"&amp;CONTROL[[#This Row],[VEHIDCODE]]</f>
        <v>item_rbe_Switzerland_TPC_BVB_Be_2_2</v>
      </c>
      <c r="Q593" s="32" t="str">
        <f>"str_"&amp;CONTROL[[#This Row],[VEHIDCODE]]</f>
        <v>str_rbe_Switzerland_TPC_BVB_Be_2_2</v>
      </c>
    </row>
    <row r="594" spans="1:17">
      <c r="A594" s="2" t="s">
        <v>617</v>
      </c>
      <c r="B594" s="32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s">
        <v>1576</v>
      </c>
      <c r="G594" t="s">
        <v>2992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s="32" t="str">
        <f>"item_"&amp;CONTROL[[#This Row],[VEHIDCODE]]</f>
        <v>item_rbe_Switzerland_MVR_Beh_2_4</v>
      </c>
      <c r="Q594" s="32" t="str">
        <f>"str_"&amp;CONTROL[[#This Row],[VEHIDCODE]]</f>
        <v>str_rbe_Switzerland_MVR_Beh_2_4</v>
      </c>
    </row>
    <row r="595" spans="1:17">
      <c r="A595" s="2" t="s">
        <v>618</v>
      </c>
      <c r="B595" s="32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s">
        <v>1577</v>
      </c>
      <c r="G595" t="s">
        <v>2993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s="32" t="str">
        <f>"item_"&amp;CONTROL[[#This Row],[VEHIDCODE]]</f>
        <v>item_rbe_Spain_Ferrocarril_de_Soller_1_3</v>
      </c>
      <c r="Q595" s="32" t="str">
        <f>"str_"&amp;CONTROL[[#This Row],[VEHIDCODE]]</f>
        <v>str_rbe_Spain_Ferrocarril_de_Soller_1_3</v>
      </c>
    </row>
    <row r="596" spans="1:17">
      <c r="A596" s="2" t="s">
        <v>619</v>
      </c>
      <c r="B596" s="32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s">
        <v>1578</v>
      </c>
      <c r="G596" t="s">
        <v>2994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s="32" t="str">
        <f>"item_"&amp;CONTROL[[#This Row],[VEHIDCODE]]</f>
        <v>item_rbe_Japan_Choshi_DeHa_1000</v>
      </c>
      <c r="Q596" s="32" t="str">
        <f>"str_"&amp;CONTROL[[#This Row],[VEHIDCODE]]</f>
        <v>str_rbe_Japan_Choshi_DeHa_1000</v>
      </c>
    </row>
    <row r="597" spans="1:17">
      <c r="A597" s="2" t="s">
        <v>620</v>
      </c>
      <c r="B597" s="32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s">
        <v>1579</v>
      </c>
      <c r="G597" t="s">
        <v>2995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s="32" t="str">
        <f>"item_"&amp;CONTROL[[#This Row],[VEHIDCODE]]</f>
        <v>item_steam_Switzerland_RhB_G_3_4</v>
      </c>
      <c r="Q597" s="32" t="str">
        <f>"str_"&amp;CONTROL[[#This Row],[VEHIDCODE]]</f>
        <v>str_steam_Switzerland_RhB_G_3_4</v>
      </c>
    </row>
    <row r="598" spans="1:17">
      <c r="A598" s="2" t="s">
        <v>621</v>
      </c>
      <c r="B598" s="32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s">
        <v>1580</v>
      </c>
      <c r="G598" t="s">
        <v>2996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s="32" t="str">
        <f>"item_"&amp;CONTROL[[#This Row],[VEHIDCODE]]</f>
        <v>item_steam_Japan_JNR_Class_E10</v>
      </c>
      <c r="Q598" s="32" t="str">
        <f>"str_"&amp;CONTROL[[#This Row],[VEHIDCODE]]</f>
        <v>str_steam_Japan_JNR_Class_E10</v>
      </c>
    </row>
    <row r="599" spans="1:17">
      <c r="A599" s="2" t="s">
        <v>622</v>
      </c>
      <c r="B599" s="32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s">
        <v>1581</v>
      </c>
      <c r="G599" t="s">
        <v>2997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s="32" t="str">
        <f>"item_"&amp;CONTROL[[#This Row],[VEHIDCODE]]</f>
        <v>item_steam_Japan_JNR_7100</v>
      </c>
      <c r="Q599" s="32" t="str">
        <f>"str_"&amp;CONTROL[[#This Row],[VEHIDCODE]]</f>
        <v>str_steam_Japan_JNR_7100</v>
      </c>
    </row>
    <row r="600" spans="1:17">
      <c r="A600" s="2" t="s">
        <v>623</v>
      </c>
      <c r="B600" s="32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s">
        <v>1582</v>
      </c>
      <c r="G600" t="s">
        <v>2998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s="32" t="str">
        <f>"item_"&amp;CONTROL[[#This Row],[VEHIDCODE]]</f>
        <v>item_steam_Japan_JNR_860</v>
      </c>
      <c r="Q600" s="32" t="str">
        <f>"str_"&amp;CONTROL[[#This Row],[VEHIDCODE]]</f>
        <v>str_steam_Japan_JNR_860</v>
      </c>
    </row>
    <row r="601" spans="1:17">
      <c r="A601" s="2" t="s">
        <v>624</v>
      </c>
      <c r="B601" s="32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s">
        <v>1583</v>
      </c>
      <c r="G601" t="s">
        <v>2999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s="32" t="str">
        <f>"item_"&amp;CONTROL[[#This Row],[VEHIDCODE]]</f>
        <v>item_steam_Japan_JNR_9600</v>
      </c>
      <c r="Q601" s="32" t="str">
        <f>"str_"&amp;CONTROL[[#This Row],[VEHIDCODE]]</f>
        <v>str_steam_Japan_JNR_9600</v>
      </c>
    </row>
    <row r="602" spans="1:17">
      <c r="A602" s="2" t="s">
        <v>625</v>
      </c>
      <c r="B602" s="3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s">
        <v>1584</v>
      </c>
      <c r="G602" t="s">
        <v>3000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s="32" t="str">
        <f>"item_"&amp;CONTROL[[#This Row],[VEHIDCODE]]</f>
        <v>item_steam_Japan_JNR_D50</v>
      </c>
      <c r="Q602" s="32" t="str">
        <f>"str_"&amp;CONTROL[[#This Row],[VEHIDCODE]]</f>
        <v>str_steam_Japan_JNR_D50</v>
      </c>
    </row>
    <row r="603" spans="1:17">
      <c r="A603" s="2" t="s">
        <v>626</v>
      </c>
      <c r="B603" s="32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s">
        <v>1585</v>
      </c>
      <c r="G603" t="s">
        <v>3001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s="32" t="str">
        <f>"item_"&amp;CONTROL[[#This Row],[VEHIDCODE]]</f>
        <v>item_diesel_Japan_JNR_DF50</v>
      </c>
      <c r="Q603" s="32" t="str">
        <f>"str_"&amp;CONTROL[[#This Row],[VEHIDCODE]]</f>
        <v>str_diesel_Japan_JNR_DF50</v>
      </c>
    </row>
    <row r="604" spans="1:17">
      <c r="A604" s="2" t="s">
        <v>627</v>
      </c>
      <c r="B604" s="32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s">
        <v>1586</v>
      </c>
      <c r="G604" t="s">
        <v>3002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s="32" t="str">
        <f>"item_"&amp;CONTROL[[#This Row],[VEHIDCODE]]</f>
        <v>item_electric_Switzerland_RhB_DE_2_2</v>
      </c>
      <c r="Q604" s="32" t="str">
        <f>"str_"&amp;CONTROL[[#This Row],[VEHIDCODE]]</f>
        <v>str_electric_Switzerland_RhB_DE_2_2</v>
      </c>
    </row>
    <row r="605" spans="1:17">
      <c r="A605" s="2" t="s">
        <v>628</v>
      </c>
      <c r="B605" s="32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s">
        <v>1587</v>
      </c>
      <c r="G605" t="s">
        <v>3003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s="32" t="str">
        <f>"item_"&amp;CONTROL[[#This Row],[VEHIDCODE]]</f>
        <v>item_electric_Japan_JNR_EH10</v>
      </c>
      <c r="Q605" s="32" t="str">
        <f>"str_"&amp;CONTROL[[#This Row],[VEHIDCODE]]</f>
        <v>str_electric_Japan_JNR_EH10</v>
      </c>
    </row>
    <row r="606" spans="1:17">
      <c r="A606" s="2" t="s">
        <v>629</v>
      </c>
      <c r="B606" s="32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s">
        <v>1588</v>
      </c>
      <c r="G606" t="s">
        <v>3004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s="32" t="str">
        <f>"item_"&amp;CONTROL[[#This Row],[VEHIDCODE]]</f>
        <v>item_electric_Japan_JNR_EF64</v>
      </c>
      <c r="Q606" s="32" t="str">
        <f>"str_"&amp;CONTROL[[#This Row],[VEHIDCODE]]</f>
        <v>str_electric_Japan_JNR_EF64</v>
      </c>
    </row>
    <row r="607" spans="1:17">
      <c r="A607" s="2" t="s">
        <v>630</v>
      </c>
      <c r="B607" s="32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s">
        <v>1589</v>
      </c>
      <c r="G607" t="s">
        <v>3005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s="32" t="str">
        <f>"item_"&amp;CONTROL[[#This Row],[VEHIDCODE]]</f>
        <v>item_electric_New_Zealand_NZR_EO_Class</v>
      </c>
      <c r="Q607" s="32" t="str">
        <f>"str_"&amp;CONTROL[[#This Row],[VEHIDCODE]]</f>
        <v>str_electric_New_Zealand_NZR_EO_Class</v>
      </c>
    </row>
    <row r="608" spans="1:17">
      <c r="A608" s="2" t="s">
        <v>631</v>
      </c>
      <c r="B608" s="32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s">
        <v>1590</v>
      </c>
      <c r="G608" t="s">
        <v>3006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s="32" t="str">
        <f>"item_"&amp;CONTROL[[#This Row],[VEHIDCODE]]</f>
        <v>item_electric_Australia_NSWGR_71</v>
      </c>
      <c r="Q608" s="32" t="str">
        <f>"str_"&amp;CONTROL[[#This Row],[VEHIDCODE]]</f>
        <v>str_electric_Australia_NSWGR_71</v>
      </c>
    </row>
    <row r="609" spans="1:17">
      <c r="A609" s="2" t="s">
        <v>632</v>
      </c>
      <c r="B609" s="32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s">
        <v>1591</v>
      </c>
      <c r="G609" t="s">
        <v>3007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s="32" t="str">
        <f>"item_"&amp;CONTROL[[#This Row],[VEHIDCODE]]</f>
        <v>item_electric_South_Africa_SAR_4E</v>
      </c>
      <c r="Q609" s="32" t="str">
        <f>"str_"&amp;CONTROL[[#This Row],[VEHIDCODE]]</f>
        <v>str_electric_South_Africa_SAR_4E</v>
      </c>
    </row>
    <row r="610" spans="1:17">
      <c r="A610" s="2" t="s">
        <v>633</v>
      </c>
      <c r="B610" s="32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s">
        <v>1592</v>
      </c>
      <c r="G610" t="s">
        <v>3008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s="32" t="str">
        <f>"item_"&amp;CONTROL[[#This Row],[VEHIDCODE]]</f>
        <v>item_electric_South_Africa_SAR_5E1</v>
      </c>
      <c r="Q610" s="32" t="str">
        <f>"str_"&amp;CONTROL[[#This Row],[VEHIDCODE]]</f>
        <v>str_electric_South_Africa_SAR_5E1</v>
      </c>
    </row>
    <row r="611" spans="1:17">
      <c r="A611" s="2" t="s">
        <v>634</v>
      </c>
      <c r="B611" s="32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s">
        <v>1593</v>
      </c>
      <c r="G611" t="s">
        <v>3009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s="32" t="str">
        <f>"item_"&amp;CONTROL[[#This Row],[VEHIDCODE]]</f>
        <v>item_electric_South_Africa_SAR_6E</v>
      </c>
      <c r="Q611" s="32" t="str">
        <f>"str_"&amp;CONTROL[[#This Row],[VEHIDCODE]]</f>
        <v>str_electric_South_Africa_SAR_6E</v>
      </c>
    </row>
    <row r="612" spans="1:17">
      <c r="A612" s="2" t="s">
        <v>635</v>
      </c>
      <c r="B612" s="3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s">
        <v>1594</v>
      </c>
      <c r="G612" t="s">
        <v>3012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s="32" t="str">
        <f>"item_"&amp;CONTROL[[#This Row],[VEHIDCODE]]</f>
        <v>item_electric_Switzerland_RhB_Ge_4_4_I</v>
      </c>
      <c r="Q612" s="32" t="str">
        <f>"str_"&amp;CONTROL[[#This Row],[VEHIDCODE]]</f>
        <v>str_electric_Switzerland_RhB_Ge_4_4_I</v>
      </c>
    </row>
    <row r="613" spans="1:17">
      <c r="A613" s="2" t="s">
        <v>636</v>
      </c>
      <c r="B613" s="32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s">
        <v>1595</v>
      </c>
      <c r="G613" t="s">
        <v>3013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s="32" t="str">
        <f>"item_"&amp;CONTROL[[#This Row],[VEHIDCODE]]</f>
        <v>item_electric_Switzerland_RhB_Ge_6_6_Krokodil</v>
      </c>
      <c r="Q613" s="32" t="str">
        <f>"str_"&amp;CONTROL[[#This Row],[VEHIDCODE]]</f>
        <v>str_electric_Switzerland_RhB_Ge_6_6_Krokodil</v>
      </c>
    </row>
    <row r="614" spans="1:17">
      <c r="A614" s="2" t="s">
        <v>637</v>
      </c>
      <c r="B614" s="32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s">
        <v>3014</v>
      </c>
      <c r="G614" t="s">
        <v>1786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s="32" t="str">
        <f>"item_"&amp;CONTROL[[#This Row],[VEHIDCODE]]</f>
        <v>item_electric_Brasil_MRS_He_4_4</v>
      </c>
      <c r="Q614" s="32" t="str">
        <f>"str_"&amp;CONTROL[[#This Row],[VEHIDCODE]]</f>
        <v>str_electric_Brasil_MRS_He_4_4</v>
      </c>
    </row>
    <row r="615" spans="1:17">
      <c r="A615" s="2" t="s">
        <v>638</v>
      </c>
      <c r="B615" s="32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s">
        <v>1596</v>
      </c>
      <c r="G615" t="s">
        <v>3010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s="32" t="str">
        <f>"item_"&amp;CONTROL[[#This Row],[VEHIDCODE]]</f>
        <v>item_electric_South_Africa_SAR_7E</v>
      </c>
      <c r="Q615" s="32" t="str">
        <f>"str_"&amp;CONTROL[[#This Row],[VEHIDCODE]]</f>
        <v>str_electric_South_Africa_SAR_7E</v>
      </c>
    </row>
    <row r="616" spans="1:17">
      <c r="A616" s="2" t="s">
        <v>639</v>
      </c>
      <c r="B616" s="32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s">
        <v>1597</v>
      </c>
      <c r="G616" t="s">
        <v>3011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s="32" t="str">
        <f>"item_"&amp;CONTROL[[#This Row],[VEHIDCODE]]</f>
        <v>item_electric_South_Africa_SAR_11E</v>
      </c>
      <c r="Q616" s="32" t="str">
        <f>"str_"&amp;CONTROL[[#This Row],[VEHIDCODE]]</f>
        <v>str_electric_South_Africa_SAR_11E</v>
      </c>
    </row>
    <row r="617" spans="1:17">
      <c r="A617" s="2" t="s">
        <v>640</v>
      </c>
      <c r="B617" s="32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s">
        <v>1598</v>
      </c>
      <c r="G617" t="s">
        <v>3015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s="32" t="str">
        <f>"item_"&amp;CONTROL[[#This Row],[VEHIDCODE]]</f>
        <v>item_electric_New_Zealand_TranzRail_EF</v>
      </c>
      <c r="Q617" s="32" t="str">
        <f>"str_"&amp;CONTROL[[#This Row],[VEHIDCODE]]</f>
        <v>str_electric_New_Zealand_TranzRail_EF</v>
      </c>
    </row>
    <row r="618" spans="1:17">
      <c r="A618" s="2" t="s">
        <v>641</v>
      </c>
      <c r="B618" s="32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s">
        <v>1599</v>
      </c>
      <c r="G618" t="s">
        <v>2956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s="32" t="str">
        <f>"item_"&amp;CONTROL[[#This Row],[VEHIDCODE]]</f>
        <v>item_emu_Japan_Odakyu_3100_Series_Romance</v>
      </c>
      <c r="Q618" s="32" t="str">
        <f>"str_"&amp;CONTROL[[#This Row],[VEHIDCODE]]</f>
        <v>str_emu_Japan_Odakyu_3100_Series_Romance</v>
      </c>
    </row>
    <row r="619" spans="1:17">
      <c r="A619" s="2" t="s">
        <v>642</v>
      </c>
      <c r="B619" s="32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s">
        <v>1600</v>
      </c>
      <c r="G619" t="s">
        <v>2957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s="32" t="str">
        <f>"item_"&amp;CONTROL[[#This Row],[VEHIDCODE]]</f>
        <v>item_emu_Japan_Odakyu_10000_Series_Romance</v>
      </c>
      <c r="Q619" s="32" t="str">
        <f>"str_"&amp;CONTROL[[#This Row],[VEHIDCODE]]</f>
        <v>str_emu_Japan_Odakyu_10000_Series_Romance</v>
      </c>
    </row>
    <row r="620" spans="1:17">
      <c r="A620" s="2" t="s">
        <v>643</v>
      </c>
      <c r="B620" s="32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s">
        <v>1601</v>
      </c>
      <c r="G620" t="s">
        <v>2958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s="32" t="str">
        <f>"item_"&amp;CONTROL[[#This Row],[VEHIDCODE]]</f>
        <v>item_emu_Australia_Sydney_Trains_S_Set</v>
      </c>
      <c r="Q620" s="32" t="str">
        <f>"str_"&amp;CONTROL[[#This Row],[VEHIDCODE]]</f>
        <v>str_emu_Australia_Sydney_Trains_S_Set</v>
      </c>
    </row>
    <row r="621" spans="1:17">
      <c r="A621" s="2" t="s">
        <v>644</v>
      </c>
      <c r="B621" s="32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s">
        <v>1602</v>
      </c>
      <c r="G621" t="s">
        <v>2959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s="32" t="str">
        <f>"item_"&amp;CONTROL[[#This Row],[VEHIDCODE]]</f>
        <v>item_emu_Australia_Sydney_Trains_OSCars</v>
      </c>
      <c r="Q621" s="32" t="str">
        <f>"str_"&amp;CONTROL[[#This Row],[VEHIDCODE]]</f>
        <v>str_emu_Australia_Sydney_Trains_OSCars</v>
      </c>
    </row>
    <row r="622" spans="1:17">
      <c r="A622" s="2" t="s">
        <v>645</v>
      </c>
      <c r="B622" s="3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s">
        <v>1603</v>
      </c>
      <c r="G622" t="s">
        <v>2960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s="32" t="str">
        <f>"item_"&amp;CONTROL[[#This Row],[VEHIDCODE]]</f>
        <v>item_emu_Australia_Victorian_Railways_Swing_Door</v>
      </c>
      <c r="Q622" s="32" t="str">
        <f>"str_"&amp;CONTROL[[#This Row],[VEHIDCODE]]</f>
        <v>str_emu_Australia_Victorian_Railways_Swing_Door</v>
      </c>
    </row>
    <row r="623" spans="1:17">
      <c r="A623" s="2" t="s">
        <v>646</v>
      </c>
      <c r="B623" s="32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s">
        <v>1604</v>
      </c>
      <c r="G623" t="s">
        <v>2961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s="32" t="str">
        <f>"item_"&amp;CONTROL[[#This Row],[VEHIDCODE]]</f>
        <v>item_emu_New_Zealand_NZR_EM_ET_Class</v>
      </c>
      <c r="Q623" s="32" t="str">
        <f>"str_"&amp;CONTROL[[#This Row],[VEHIDCODE]]</f>
        <v>str_emu_New_Zealand_NZR_EM_ET_Class</v>
      </c>
    </row>
    <row r="624" spans="1:17">
      <c r="A624" s="2" t="s">
        <v>647</v>
      </c>
      <c r="B624" s="32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s">
        <v>1605</v>
      </c>
      <c r="G624" t="s">
        <v>2962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s="32" t="str">
        <f>"item_"&amp;CONTROL[[#This Row],[VEHIDCODE]]</f>
        <v>item_emu_South_Africa_SAR_5M2</v>
      </c>
      <c r="Q624" s="32" t="str">
        <f>"str_"&amp;CONTROL[[#This Row],[VEHIDCODE]]</f>
        <v>str_emu_South_Africa_SAR_5M2</v>
      </c>
    </row>
    <row r="625" spans="1:17">
      <c r="A625" s="2" t="s">
        <v>648</v>
      </c>
      <c r="B625" s="32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s">
        <v>1606</v>
      </c>
      <c r="G625" t="s">
        <v>2963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s="32" t="str">
        <f>"item_"&amp;CONTROL[[#This Row],[VEHIDCODE]]</f>
        <v>item_emu_Chile_EFE_XTrapolis_100</v>
      </c>
      <c r="Q625" s="32" t="str">
        <f>"str_"&amp;CONTROL[[#This Row],[VEHIDCODE]]</f>
        <v>str_emu_Chile_EFE_XTrapolis_100</v>
      </c>
    </row>
    <row r="626" spans="1:17">
      <c r="A626" s="2" t="s">
        <v>649</v>
      </c>
      <c r="B626" s="32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s">
        <v>1607</v>
      </c>
      <c r="G626" t="s">
        <v>2964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s="32" t="str">
        <f>"item_"&amp;CONTROL[[#This Row],[VEHIDCODE]]</f>
        <v>item_emu_Chile_EFE_AES_Railcar</v>
      </c>
      <c r="Q626" s="32" t="str">
        <f>"str_"&amp;CONTROL[[#This Row],[VEHIDCODE]]</f>
        <v>str_emu_Chile_EFE_AES_Railcar</v>
      </c>
    </row>
    <row r="627" spans="1:17">
      <c r="A627" s="2" t="s">
        <v>650</v>
      </c>
      <c r="B627" s="32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s">
        <v>1608</v>
      </c>
      <c r="G627" t="s">
        <v>1786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s="32" t="str">
        <f>"item_"&amp;CONTROL[[#This Row],[VEHIDCODE]]</f>
        <v>item_emu_Tunisia_SNCFT_YZ_E</v>
      </c>
      <c r="Q627" s="32" t="str">
        <f>"str_"&amp;CONTROL[[#This Row],[VEHIDCODE]]</f>
        <v>str_emu_Tunisia_SNCFT_YZ_E</v>
      </c>
    </row>
    <row r="628" spans="1:17">
      <c r="A628" s="2" t="s">
        <v>651</v>
      </c>
      <c r="B628" s="32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s">
        <v>1609</v>
      </c>
      <c r="G628" t="s">
        <v>2965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s="32" t="str">
        <f>"item_"&amp;CONTROL[[#This Row],[VEHIDCODE]]</f>
        <v>item_emu_Australia_Queensland_Rail_Tilt_Train</v>
      </c>
      <c r="Q628" s="32" t="str">
        <f>"str_"&amp;CONTROL[[#This Row],[VEHIDCODE]]</f>
        <v>str_emu_Australia_Queensland_Rail_Tilt_Train</v>
      </c>
    </row>
    <row r="629" spans="1:17">
      <c r="A629" s="2" t="s">
        <v>652</v>
      </c>
      <c r="B629" s="32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s">
        <v>1610</v>
      </c>
      <c r="G629" t="s">
        <v>2971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s="32" t="str">
        <f>"item_"&amp;CONTROL[[#This Row],[VEHIDCODE]]</f>
        <v>item_electric_Russia_RZD_VL15</v>
      </c>
      <c r="Q629" s="32" t="str">
        <f>"str_"&amp;CONTROL[[#This Row],[VEHIDCODE]]</f>
        <v>str_electric_Russia_RZD_VL15</v>
      </c>
    </row>
    <row r="630" spans="1:17">
      <c r="A630" s="2" t="s">
        <v>653</v>
      </c>
      <c r="B630" s="32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s">
        <v>1611</v>
      </c>
      <c r="G630" t="s">
        <v>2972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s="32" t="str">
        <f>"item_"&amp;CONTROL[[#This Row],[VEHIDCODE]]</f>
        <v>item_electric_Russia_RZD_VL11</v>
      </c>
      <c r="Q630" s="32" t="str">
        <f>"str_"&amp;CONTROL[[#This Row],[VEHIDCODE]]</f>
        <v>str_electric_Russia_RZD_VL11</v>
      </c>
    </row>
    <row r="631" spans="1:17">
      <c r="A631" s="2" t="s">
        <v>654</v>
      </c>
      <c r="B631" s="32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s">
        <v>1612</v>
      </c>
      <c r="G631" t="s">
        <v>2973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s="32" t="str">
        <f>"item_"&amp;CONTROL[[#This Row],[VEHIDCODE]]</f>
        <v>item_electric_Russia_RZD_VL22M</v>
      </c>
      <c r="Q631" s="32" t="str">
        <f>"str_"&amp;CONTROL[[#This Row],[VEHIDCODE]]</f>
        <v>str_electric_Russia_RZD_VL22M</v>
      </c>
    </row>
    <row r="632" spans="1:17">
      <c r="A632" s="2" t="s">
        <v>655</v>
      </c>
      <c r="B632" s="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s">
        <v>1613</v>
      </c>
      <c r="G632" t="s">
        <v>2974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s="32" t="str">
        <f>"item_"&amp;CONTROL[[#This Row],[VEHIDCODE]]</f>
        <v>item_electric_Ukraine_UZ_DE1</v>
      </c>
      <c r="Q632" s="32" t="str">
        <f>"str_"&amp;CONTROL[[#This Row],[VEHIDCODE]]</f>
        <v>str_electric_Ukraine_UZ_DE1</v>
      </c>
    </row>
    <row r="633" spans="1:17">
      <c r="A633" s="2" t="s">
        <v>656</v>
      </c>
      <c r="B633" s="32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s">
        <v>1614</v>
      </c>
      <c r="G633" t="s">
        <v>2975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s="32" t="str">
        <f>"item_"&amp;CONTROL[[#This Row],[VEHIDCODE]]</f>
        <v>item_electric_Russia_RZD_ChS3</v>
      </c>
      <c r="Q633" s="32" t="str">
        <f>"str_"&amp;CONTROL[[#This Row],[VEHIDCODE]]</f>
        <v>str_electric_Russia_RZD_ChS3</v>
      </c>
    </row>
    <row r="634" spans="1:17">
      <c r="A634" s="2" t="s">
        <v>657</v>
      </c>
      <c r="B634" s="32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s">
        <v>1615</v>
      </c>
      <c r="G634" t="s">
        <v>2976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s="32" t="str">
        <f>"item_"&amp;CONTROL[[#This Row],[VEHIDCODE]]</f>
        <v>item_electric_Ukraine_UZ_ChS7</v>
      </c>
      <c r="Q634" s="32" t="str">
        <f>"str_"&amp;CONTROL[[#This Row],[VEHIDCODE]]</f>
        <v>str_electric_Ukraine_UZ_ChS7</v>
      </c>
    </row>
    <row r="635" spans="1:17">
      <c r="A635" s="2" t="s">
        <v>658</v>
      </c>
      <c r="B635" s="32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s">
        <v>1616</v>
      </c>
      <c r="G635" t="s">
        <v>2977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s="32" t="str">
        <f>"item_"&amp;CONTROL[[#This Row],[VEHIDCODE]]</f>
        <v>item_electric_Brasil_RFFSA_GE_C_C_4400</v>
      </c>
      <c r="Q635" s="32" t="str">
        <f>"str_"&amp;CONTROL[[#This Row],[VEHIDCODE]]</f>
        <v>str_electric_Brasil_RFFSA_GE_C_C_4400</v>
      </c>
    </row>
    <row r="636" spans="1:17">
      <c r="A636" s="2" t="s">
        <v>659</v>
      </c>
      <c r="B636" s="32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s">
        <v>1617</v>
      </c>
      <c r="G636" t="s">
        <v>2978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s="32" t="str">
        <f>"item_"&amp;CONTROL[[#This Row],[VEHIDCODE]]</f>
        <v>item_electric_Russia_RZD_VL85</v>
      </c>
      <c r="Q636" s="32" t="str">
        <f>"str_"&amp;CONTROL[[#This Row],[VEHIDCODE]]</f>
        <v>str_electric_Russia_RZD_VL85</v>
      </c>
    </row>
    <row r="637" spans="1:17">
      <c r="A637" s="2" t="s">
        <v>660</v>
      </c>
      <c r="B637" s="32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s">
        <v>1618</v>
      </c>
      <c r="G637" t="s">
        <v>2979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s="32" t="str">
        <f>"item_"&amp;CONTROL[[#This Row],[VEHIDCODE]]</f>
        <v>item_electric_Russia_RZD_VL41</v>
      </c>
      <c r="Q637" s="32" t="str">
        <f>"str_"&amp;CONTROL[[#This Row],[VEHIDCODE]]</f>
        <v>str_electric_Russia_RZD_VL41</v>
      </c>
    </row>
    <row r="638" spans="1:17">
      <c r="A638" s="2" t="s">
        <v>661</v>
      </c>
      <c r="B638" s="32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s">
        <v>1619</v>
      </c>
      <c r="G638" t="s">
        <v>2980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s="32" t="str">
        <f>"item_"&amp;CONTROL[[#This Row],[VEHIDCODE]]</f>
        <v>item_electric_India_Indian_Railways_WAP_4</v>
      </c>
      <c r="Q638" s="32" t="str">
        <f>"str_"&amp;CONTROL[[#This Row],[VEHIDCODE]]</f>
        <v>str_electric_India_Indian_Railways_WAP_4</v>
      </c>
    </row>
    <row r="639" spans="1:17">
      <c r="A639" s="2" t="s">
        <v>662</v>
      </c>
      <c r="B639" s="32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s">
        <v>1620</v>
      </c>
      <c r="G639" t="s">
        <v>2981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s="32" t="str">
        <f>"item_"&amp;CONTROL[[#This Row],[VEHIDCODE]]</f>
        <v>item_electric_Finland_VR_Sr1</v>
      </c>
      <c r="Q639" s="32" t="str">
        <f>"str_"&amp;CONTROL[[#This Row],[VEHIDCODE]]</f>
        <v>str_electric_Finland_VR_Sr1</v>
      </c>
    </row>
    <row r="640" spans="1:17">
      <c r="A640" s="2" t="s">
        <v>663</v>
      </c>
      <c r="B640" s="32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s">
        <v>1621</v>
      </c>
      <c r="G640" t="s">
        <v>2982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s="32" t="str">
        <f>"item_"&amp;CONTROL[[#This Row],[VEHIDCODE]]</f>
        <v>item_electric_Kazakhstan_KTZ_KZ4A</v>
      </c>
      <c r="Q640" s="32" t="str">
        <f>"str_"&amp;CONTROL[[#This Row],[VEHIDCODE]]</f>
        <v>str_electric_Kazakhstan_KTZ_KZ4A</v>
      </c>
    </row>
    <row r="641" spans="1:17">
      <c r="A641" s="2" t="s">
        <v>664</v>
      </c>
      <c r="B641" s="32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s">
        <v>1622</v>
      </c>
      <c r="G641" t="s">
        <v>2983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s="32" t="str">
        <f>"item_"&amp;CONTROL[[#This Row],[VEHIDCODE]]</f>
        <v>item_electric_Kazakhstan_KTZ_KZ8A</v>
      </c>
      <c r="Q641" s="32" t="str">
        <f>"str_"&amp;CONTROL[[#This Row],[VEHIDCODE]]</f>
        <v>str_electric_Kazakhstan_KTZ_KZ8A</v>
      </c>
    </row>
    <row r="642" spans="1:17">
      <c r="A642" s="2" t="s">
        <v>665</v>
      </c>
      <c r="B642" s="3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s">
        <v>1623</v>
      </c>
      <c r="G642" t="s">
        <v>2984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s="32" t="str">
        <f>"item_"&amp;CONTROL[[#This Row],[VEHIDCODE]]</f>
        <v>item_electric_Russia_RZD_EP20</v>
      </c>
      <c r="Q642" s="32" t="str">
        <f>"str_"&amp;CONTROL[[#This Row],[VEHIDCODE]]</f>
        <v>str_electric_Russia_RZD_EP20</v>
      </c>
    </row>
    <row r="643" spans="1:17">
      <c r="A643" s="2" t="s">
        <v>666</v>
      </c>
      <c r="B643" s="32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s">
        <v>1624</v>
      </c>
      <c r="G643" t="s">
        <v>2985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s="32" t="str">
        <f>"item_"&amp;CONTROL[[#This Row],[VEHIDCODE]]</f>
        <v>item_rbd_Finland_VR_Dm7</v>
      </c>
      <c r="Q643" s="32" t="str">
        <f>"str_"&amp;CONTROL[[#This Row],[VEHIDCODE]]</f>
        <v>str_rbd_Finland_VR_Dm7</v>
      </c>
    </row>
    <row r="644" spans="1:17">
      <c r="A644" s="2" t="s">
        <v>667</v>
      </c>
      <c r="B644" s="32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s">
        <v>1625</v>
      </c>
      <c r="G644" t="s">
        <v>2986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s="32" t="str">
        <f>"item_"&amp;CONTROL[[#This Row],[VEHIDCODE]]</f>
        <v>item_rbd_Russia_RZD_ACh2</v>
      </c>
      <c r="Q644" s="32" t="str">
        <f>"str_"&amp;CONTROL[[#This Row],[VEHIDCODE]]</f>
        <v>str_rbd_Russia_RZD_ACh2</v>
      </c>
    </row>
    <row r="645" spans="1:17">
      <c r="A645" s="2" t="s">
        <v>668</v>
      </c>
      <c r="B645" s="32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s">
        <v>1626</v>
      </c>
      <c r="G645" t="s">
        <v>2966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s="32" t="str">
        <f>"item_"&amp;CONTROL[[#This Row],[VEHIDCODE]]</f>
        <v>item_emu_Russia_RZD_ER200</v>
      </c>
      <c r="Q645" s="32" t="str">
        <f>"str_"&amp;CONTROL[[#This Row],[VEHIDCODE]]</f>
        <v>str_emu_Russia_RZD_ER200</v>
      </c>
    </row>
    <row r="646" spans="1:17">
      <c r="A646" s="2" t="s">
        <v>669</v>
      </c>
      <c r="B646" s="32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s">
        <v>1627</v>
      </c>
      <c r="G646" t="s">
        <v>2967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s="32" t="str">
        <f>"item_"&amp;CONTROL[[#This Row],[VEHIDCODE]]</f>
        <v>item_emu_Russia_RZD_S</v>
      </c>
      <c r="Q646" s="32" t="str">
        <f>"str_"&amp;CONTROL[[#This Row],[VEHIDCODE]]</f>
        <v>str_emu_Russia_RZD_S</v>
      </c>
    </row>
    <row r="647" spans="1:17">
      <c r="A647" s="2" t="s">
        <v>670</v>
      </c>
      <c r="B647" s="32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s">
        <v>1628</v>
      </c>
      <c r="G647" t="s">
        <v>2968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s="32" t="str">
        <f>"item_"&amp;CONTROL[[#This Row],[VEHIDCODE]]</f>
        <v>item_emu_Croatia_HZ_6112</v>
      </c>
      <c r="Q647" s="32" t="str">
        <f>"str_"&amp;CONTROL[[#This Row],[VEHIDCODE]]</f>
        <v>str_emu_Croatia_HZ_6112</v>
      </c>
    </row>
    <row r="648" spans="1:17">
      <c r="A648" s="2" t="s">
        <v>671</v>
      </c>
      <c r="B648" s="32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s">
        <v>1629</v>
      </c>
      <c r="G648" t="s">
        <v>2969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s="32" t="str">
        <f>"item_"&amp;CONTROL[[#This Row],[VEHIDCODE]]</f>
        <v>item_emu_Russia_RZD_ES1_Lastochka</v>
      </c>
      <c r="Q648" s="32" t="str">
        <f>"str_"&amp;CONTROL[[#This Row],[VEHIDCODE]]</f>
        <v>str_emu_Russia_RZD_ES1_Lastochka</v>
      </c>
    </row>
    <row r="649" spans="1:17">
      <c r="A649" s="2" t="s">
        <v>754</v>
      </c>
      <c r="B649" s="32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s">
        <v>1630</v>
      </c>
      <c r="G649" t="s">
        <v>1786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s="32" t="str">
        <f>"item_"&amp;CONTROL[[#This Row],[VEHIDCODE]]</f>
        <v>item_mtro_Metro_Wagon_Powered</v>
      </c>
      <c r="Q649" s="32" t="str">
        <f>"str_"&amp;CONTROL[[#This Row],[VEHIDCODE]]</f>
        <v>str_mtro_Metro_Wagon_Powered</v>
      </c>
    </row>
    <row r="650" spans="1:17">
      <c r="A650" s="2" t="s">
        <v>753</v>
      </c>
      <c r="B650" s="32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s">
        <v>1630</v>
      </c>
      <c r="G650" t="s">
        <v>1786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s="32" t="str">
        <f>"item_"&amp;CONTROL[[#This Row],[VEHIDCODE]]</f>
        <v>item_mtro_Metro_Wagon_Unpowered</v>
      </c>
      <c r="Q650" s="32" t="str">
        <f>"str_"&amp;CONTROL[[#This Row],[VEHIDCODE]]</f>
        <v>str_mtro_Metro_Wagon_Unpowered</v>
      </c>
    </row>
    <row r="651" spans="1:17">
      <c r="A651" s="2" t="s">
        <v>755</v>
      </c>
      <c r="B651" s="32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s">
        <v>1631</v>
      </c>
      <c r="G651" t="s">
        <v>1786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s="32" t="str">
        <f>"item_"&amp;CONTROL[[#This Row],[VEHIDCODE]]</f>
        <v>item_mu_MU_Cargo_Wagon_Powered</v>
      </c>
      <c r="Q651" s="32" t="str">
        <f>"str_"&amp;CONTROL[[#This Row],[VEHIDCODE]]</f>
        <v>str_mu_MU_Cargo_Wagon_Powered</v>
      </c>
    </row>
    <row r="652" spans="1:17">
      <c r="A652" s="2" t="s">
        <v>756</v>
      </c>
      <c r="B652" s="3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s">
        <v>1631</v>
      </c>
      <c r="G652" t="s">
        <v>1786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s="32" t="str">
        <f>"item_"&amp;CONTROL[[#This Row],[VEHIDCODE]]</f>
        <v>item_mu_MU_Cargo_Wagon_Unpowered</v>
      </c>
      <c r="Q652" s="32" t="str">
        <f>"str_"&amp;CONTROL[[#This Row],[VEHIDCODE]]</f>
        <v>str_mu_MU_Cargo_Wagon_Unpowered</v>
      </c>
    </row>
    <row r="653" spans="1:17">
      <c r="A653" s="2" t="s">
        <v>757</v>
      </c>
      <c r="B653" s="32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s">
        <v>1632</v>
      </c>
      <c r="G653" t="s">
        <v>1786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s="32" t="str">
        <f>"item_"&amp;CONTROL[[#This Row],[VEHIDCODE]]</f>
        <v>item_mu_MU_Wagon_Powered</v>
      </c>
      <c r="Q653" s="32" t="str">
        <f>"str_"&amp;CONTROL[[#This Row],[VEHIDCODE]]</f>
        <v>str_mu_MU_Wagon_Powered</v>
      </c>
    </row>
    <row r="654" spans="1:17">
      <c r="A654" s="2" t="s">
        <v>758</v>
      </c>
      <c r="B654" s="32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s">
        <v>1632</v>
      </c>
      <c r="G654" t="s">
        <v>1786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s="32" t="str">
        <f>"item_"&amp;CONTROL[[#This Row],[VEHIDCODE]]</f>
        <v>item_mu_MU_Wagon_Unpowered</v>
      </c>
      <c r="Q654" s="32" t="str">
        <f>"str_"&amp;CONTROL[[#This Row],[VEHIDCODE]]</f>
        <v>str_mu_MU_Wagon_Unpowered</v>
      </c>
    </row>
    <row r="655" spans="1:17">
      <c r="A655" s="2" t="s">
        <v>760</v>
      </c>
      <c r="B655" s="32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s">
        <v>1633</v>
      </c>
      <c r="G655" t="s">
        <v>1786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s="32" t="str">
        <f>"item_"&amp;CONTROL[[#This Row],[VEHIDCODE]]</f>
        <v>item_mu_Wagon_Gen1_Flat_Wagon</v>
      </c>
      <c r="Q655" s="32" t="str">
        <f>"str_"&amp;CONTROL[[#This Row],[VEHIDCODE]]</f>
        <v>str_mu_Wagon_Gen1_Flat_Wagon</v>
      </c>
    </row>
    <row r="656" spans="1:17">
      <c r="A656" s="2" t="s">
        <v>761</v>
      </c>
      <c r="B656" s="32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s">
        <v>1634</v>
      </c>
      <c r="G656" t="s">
        <v>1786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s="32" t="str">
        <f>"item_"&amp;CONTROL[[#This Row],[VEHIDCODE]]</f>
        <v>item_mu_Wagon_Gen1_Boxcar</v>
      </c>
      <c r="Q656" s="32" t="str">
        <f>"str_"&amp;CONTROL[[#This Row],[VEHIDCODE]]</f>
        <v>str_mu_Wagon_Gen1_Boxcar</v>
      </c>
    </row>
    <row r="657" spans="1:17">
      <c r="A657" s="2" t="s">
        <v>762</v>
      </c>
      <c r="B657" s="32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s">
        <v>1635</v>
      </c>
      <c r="G657" t="s">
        <v>1786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s="32" t="str">
        <f>"item_"&amp;CONTROL[[#This Row],[VEHIDCODE]]</f>
        <v>item_mu_Wagon_Gen1_Tanker</v>
      </c>
      <c r="Q657" s="32" t="str">
        <f>"str_"&amp;CONTROL[[#This Row],[VEHIDCODE]]</f>
        <v>str_mu_Wagon_Gen1_Tanker</v>
      </c>
    </row>
    <row r="658" spans="1:17">
      <c r="A658" s="2" t="s">
        <v>763</v>
      </c>
      <c r="B658" s="32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s">
        <v>1636</v>
      </c>
      <c r="G658" t="s">
        <v>1786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s="32" t="str">
        <f>"item_"&amp;CONTROL[[#This Row],[VEHIDCODE]]</f>
        <v>item_mu_Wagon_Gen1_Open_Wagon</v>
      </c>
      <c r="Q658" s="32" t="str">
        <f>"str_"&amp;CONTROL[[#This Row],[VEHIDCODE]]</f>
        <v>str_mu_Wagon_Gen1_Open_Wagon</v>
      </c>
    </row>
    <row r="659" spans="1:17">
      <c r="A659" s="2" t="s">
        <v>835</v>
      </c>
      <c r="B659" s="32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s">
        <v>1637</v>
      </c>
      <c r="G659" t="s">
        <v>1786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s="32" t="str">
        <f>"item_"&amp;CONTROL[[#This Row],[VEHIDCODE]]</f>
        <v>item_mu_Wagon_Gen2_Flat_Wagon</v>
      </c>
      <c r="Q659" s="32" t="str">
        <f>"str_"&amp;CONTROL[[#This Row],[VEHIDCODE]]</f>
        <v>str_mu_Wagon_Gen2_Flat_Wagon</v>
      </c>
    </row>
    <row r="660" spans="1:17">
      <c r="A660" s="2" t="s">
        <v>836</v>
      </c>
      <c r="B660" s="32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s">
        <v>1638</v>
      </c>
      <c r="G660" t="s">
        <v>1786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s="32" t="str">
        <f>"item_"&amp;CONTROL[[#This Row],[VEHIDCODE]]</f>
        <v>item_mu_Wagon_Gen2_Boxcar_Type1</v>
      </c>
      <c r="Q660" s="32" t="str">
        <f>"str_"&amp;CONTROL[[#This Row],[VEHIDCODE]]</f>
        <v>str_mu_Wagon_Gen2_Boxcar_Type1</v>
      </c>
    </row>
    <row r="661" spans="1:17">
      <c r="A661" s="2" t="s">
        <v>837</v>
      </c>
      <c r="B661" s="32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s">
        <v>1638</v>
      </c>
      <c r="G661" t="s">
        <v>1786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s="32" t="str">
        <f>"item_"&amp;CONTROL[[#This Row],[VEHIDCODE]]</f>
        <v>item_mu_Wagon_Gen2_Boxcar_Type2</v>
      </c>
      <c r="Q661" s="32" t="str">
        <f>"str_"&amp;CONTROL[[#This Row],[VEHIDCODE]]</f>
        <v>str_mu_Wagon_Gen2_Boxcar_Type2</v>
      </c>
    </row>
    <row r="662" spans="1:17">
      <c r="A662" s="2" t="s">
        <v>838</v>
      </c>
      <c r="B662" s="3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s">
        <v>1639</v>
      </c>
      <c r="G662" t="s">
        <v>1786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s="32" t="str">
        <f>"item_"&amp;CONTROL[[#This Row],[VEHIDCODE]]</f>
        <v>item_mu_Wagon_Gen2_Tanker</v>
      </c>
      <c r="Q662" s="32" t="str">
        <f>"str_"&amp;CONTROL[[#This Row],[VEHIDCODE]]</f>
        <v>str_mu_Wagon_Gen2_Tanker</v>
      </c>
    </row>
    <row r="663" spans="1:17">
      <c r="A663" s="2" t="s">
        <v>839</v>
      </c>
      <c r="B663" s="32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s">
        <v>1640</v>
      </c>
      <c r="G663" t="s">
        <v>1786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s="32" t="str">
        <f>"item_"&amp;CONTROL[[#This Row],[VEHIDCODE]]</f>
        <v>item_mu_Wagon_Gen2_Open_Wagon</v>
      </c>
      <c r="Q663" s="32" t="str">
        <f>"str_"&amp;CONTROL[[#This Row],[VEHIDCODE]]</f>
        <v>str_mu_Wagon_Gen2_Open_Wagon</v>
      </c>
    </row>
    <row r="664" spans="1:17">
      <c r="A664" s="2" t="s">
        <v>840</v>
      </c>
      <c r="B664" s="32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s">
        <v>1641</v>
      </c>
      <c r="G664" t="s">
        <v>1786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s="32" t="str">
        <f>"item_"&amp;CONTROL[[#This Row],[VEHIDCODE]]</f>
        <v>item_mu_Wagon_Gen2_Silo</v>
      </c>
      <c r="Q664" s="32" t="str">
        <f>"str_"&amp;CONTROL[[#This Row],[VEHIDCODE]]</f>
        <v>str_mu_Wagon_Gen2_Silo</v>
      </c>
    </row>
    <row r="665" spans="1:17">
      <c r="A665" s="2" t="s">
        <v>841</v>
      </c>
      <c r="B665" s="32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s">
        <v>1642</v>
      </c>
      <c r="G665" t="s">
        <v>1786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s="32" t="str">
        <f>"item_"&amp;CONTROL[[#This Row],[VEHIDCODE]]</f>
        <v>item_mu_Wagon_Gen2_Hopper</v>
      </c>
      <c r="Q665" s="32" t="str">
        <f>"str_"&amp;CONTROL[[#This Row],[VEHIDCODE]]</f>
        <v>str_mu_Wagon_Gen2_Hopper</v>
      </c>
    </row>
    <row r="666" spans="1:17">
      <c r="A666" s="2" t="s">
        <v>842</v>
      </c>
      <c r="B666" s="32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s">
        <v>1643</v>
      </c>
      <c r="G666" t="s">
        <v>1786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s="32" t="str">
        <f>"item_"&amp;CONTROL[[#This Row],[VEHIDCODE]]</f>
        <v>item_mu_Wagon_Gen3_Flat_Wagon</v>
      </c>
      <c r="Q666" s="32" t="str">
        <f>"str_"&amp;CONTROL[[#This Row],[VEHIDCODE]]</f>
        <v>str_mu_Wagon_Gen3_Flat_Wagon</v>
      </c>
    </row>
    <row r="667" spans="1:17">
      <c r="A667" s="2" t="s">
        <v>843</v>
      </c>
      <c r="B667" s="32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s">
        <v>1644</v>
      </c>
      <c r="G667" t="s">
        <v>1786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s="32" t="str">
        <f>"item_"&amp;CONTROL[[#This Row],[VEHIDCODE]]</f>
        <v>item_mu_Wagon_Gen3_Boxcar_Type1</v>
      </c>
      <c r="Q667" s="32" t="str">
        <f>"str_"&amp;CONTROL[[#This Row],[VEHIDCODE]]</f>
        <v>str_mu_Wagon_Gen3_Boxcar_Type1</v>
      </c>
    </row>
    <row r="668" spans="1:17">
      <c r="A668" s="2" t="s">
        <v>844</v>
      </c>
      <c r="B668" s="32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s">
        <v>1644</v>
      </c>
      <c r="G668" t="s">
        <v>1786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s="32" t="str">
        <f>"item_"&amp;CONTROL[[#This Row],[VEHIDCODE]]</f>
        <v>item_mu_Wagon_Gen3_Boxcar_Type2</v>
      </c>
      <c r="Q668" s="32" t="str">
        <f>"str_"&amp;CONTROL[[#This Row],[VEHIDCODE]]</f>
        <v>str_mu_Wagon_Gen3_Boxcar_Type2</v>
      </c>
    </row>
    <row r="669" spans="1:17">
      <c r="A669" s="2" t="s">
        <v>845</v>
      </c>
      <c r="B669" s="32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s">
        <v>1645</v>
      </c>
      <c r="G669" t="s">
        <v>1786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s="32" t="str">
        <f>"item_"&amp;CONTROL[[#This Row],[VEHIDCODE]]</f>
        <v>item_mu_Wagon_Gen3_Tanker</v>
      </c>
      <c r="Q669" s="32" t="str">
        <f>"str_"&amp;CONTROL[[#This Row],[VEHIDCODE]]</f>
        <v>str_mu_Wagon_Gen3_Tanker</v>
      </c>
    </row>
    <row r="670" spans="1:17">
      <c r="A670" s="2" t="s">
        <v>846</v>
      </c>
      <c r="B670" s="32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s">
        <v>1646</v>
      </c>
      <c r="G670" t="s">
        <v>1786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s="32" t="str">
        <f>"item_"&amp;CONTROL[[#This Row],[VEHIDCODE]]</f>
        <v>item_mu_Wagon_Gen3_Open_Wagon</v>
      </c>
      <c r="Q670" s="32" t="str">
        <f>"str_"&amp;CONTROL[[#This Row],[VEHIDCODE]]</f>
        <v>str_mu_Wagon_Gen3_Open_Wagon</v>
      </c>
    </row>
    <row r="671" spans="1:17">
      <c r="A671" s="2" t="s">
        <v>847</v>
      </c>
      <c r="B671" s="32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s">
        <v>1647</v>
      </c>
      <c r="G671" t="s">
        <v>1786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s="32" t="str">
        <f>"item_"&amp;CONTROL[[#This Row],[VEHIDCODE]]</f>
        <v>item_mu_Wagon_Gen3_Silo_Type1</v>
      </c>
      <c r="Q671" s="32" t="str">
        <f>"str_"&amp;CONTROL[[#This Row],[VEHIDCODE]]</f>
        <v>str_mu_Wagon_Gen3_Silo_Type1</v>
      </c>
    </row>
    <row r="672" spans="1:17">
      <c r="A672" s="2" t="s">
        <v>848</v>
      </c>
      <c r="B672" s="3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s">
        <v>1647</v>
      </c>
      <c r="G672" t="s">
        <v>1786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s="32" t="str">
        <f>"item_"&amp;CONTROL[[#This Row],[VEHIDCODE]]</f>
        <v>item_mu_Wagon_Gen3_Silo_Type2</v>
      </c>
      <c r="Q672" s="32" t="str">
        <f>"str_"&amp;CONTROL[[#This Row],[VEHIDCODE]]</f>
        <v>str_mu_Wagon_Gen3_Silo_Type2</v>
      </c>
    </row>
    <row r="673" spans="1:17">
      <c r="A673" s="2" t="s">
        <v>849</v>
      </c>
      <c r="B673" s="32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s">
        <v>1648</v>
      </c>
      <c r="G673" t="s">
        <v>1786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s="32" t="str">
        <f>"item_"&amp;CONTROL[[#This Row],[VEHIDCODE]]</f>
        <v>item_mu_Wagon_Gen3_Hopper</v>
      </c>
      <c r="Q673" s="32" t="str">
        <f>"str_"&amp;CONTROL[[#This Row],[VEHIDCODE]]</f>
        <v>str_mu_Wagon_Gen3_Hopper</v>
      </c>
    </row>
    <row r="674" spans="1:17">
      <c r="A674" s="2" t="s">
        <v>850</v>
      </c>
      <c r="B674" s="32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s">
        <v>1649</v>
      </c>
      <c r="G674" t="s">
        <v>1786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s="32" t="str">
        <f>"item_"&amp;CONTROL[[#This Row],[VEHIDCODE]]</f>
        <v>item_mu_Wagon_Gen4_Flatcar</v>
      </c>
      <c r="Q674" s="32" t="str">
        <f>"str_"&amp;CONTROL[[#This Row],[VEHIDCODE]]</f>
        <v>str_mu_Wagon_Gen4_Flatcar</v>
      </c>
    </row>
    <row r="675" spans="1:17">
      <c r="A675" s="2" t="s">
        <v>851</v>
      </c>
      <c r="B675" s="32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s">
        <v>1650</v>
      </c>
      <c r="G675" t="s">
        <v>1786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s="32" t="str">
        <f>"item_"&amp;CONTROL[[#This Row],[VEHIDCODE]]</f>
        <v>item_mu_Wagon_Gen4_Heavy_Flatcar</v>
      </c>
      <c r="Q675" s="32" t="str">
        <f>"str_"&amp;CONTROL[[#This Row],[VEHIDCODE]]</f>
        <v>str_mu_Wagon_Gen4_Heavy_Flatcar</v>
      </c>
    </row>
    <row r="676" spans="1:17">
      <c r="A676" s="2" t="s">
        <v>852</v>
      </c>
      <c r="B676" s="32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s">
        <v>1651</v>
      </c>
      <c r="G676" t="s">
        <v>1786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s="32" t="str">
        <f>"item_"&amp;CONTROL[[#This Row],[VEHIDCODE]]</f>
        <v>item_mu_Wagon_Gen4_Boxcar_Type1</v>
      </c>
      <c r="Q676" s="32" t="str">
        <f>"str_"&amp;CONTROL[[#This Row],[VEHIDCODE]]</f>
        <v>str_mu_Wagon_Gen4_Boxcar_Type1</v>
      </c>
    </row>
    <row r="677" spans="1:17">
      <c r="A677" s="2" t="s">
        <v>853</v>
      </c>
      <c r="B677" s="32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s">
        <v>1651</v>
      </c>
      <c r="G677" t="s">
        <v>1786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s="32" t="str">
        <f>"item_"&amp;CONTROL[[#This Row],[VEHIDCODE]]</f>
        <v>item_mu_Wagon_Gen4_Boxcar_Type2</v>
      </c>
      <c r="Q677" s="32" t="str">
        <f>"str_"&amp;CONTROL[[#This Row],[VEHIDCODE]]</f>
        <v>str_mu_Wagon_Gen4_Boxcar_Type2</v>
      </c>
    </row>
    <row r="678" spans="1:17">
      <c r="A678" s="2" t="s">
        <v>854</v>
      </c>
      <c r="B678" s="32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s">
        <v>1652</v>
      </c>
      <c r="G678" t="s">
        <v>1786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s="32" t="str">
        <f>"item_"&amp;CONTROL[[#This Row],[VEHIDCODE]]</f>
        <v>item_mu_Wagon_Gen4_Tanker</v>
      </c>
      <c r="Q678" s="32" t="str">
        <f>"str_"&amp;CONTROL[[#This Row],[VEHIDCODE]]</f>
        <v>str_mu_Wagon_Gen4_Tanker</v>
      </c>
    </row>
    <row r="679" spans="1:17">
      <c r="A679" s="2" t="s">
        <v>855</v>
      </c>
      <c r="B679" s="32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s">
        <v>1653</v>
      </c>
      <c r="G679" t="s">
        <v>1786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s="32" t="str">
        <f>"item_"&amp;CONTROL[[#This Row],[VEHIDCODE]]</f>
        <v>item_mu_Wagon_Gen4_Gondola</v>
      </c>
      <c r="Q679" s="32" t="str">
        <f>"str_"&amp;CONTROL[[#This Row],[VEHIDCODE]]</f>
        <v>str_mu_Wagon_Gen4_Gondola</v>
      </c>
    </row>
    <row r="680" spans="1:17">
      <c r="A680" s="2" t="s">
        <v>856</v>
      </c>
      <c r="B680" s="32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s">
        <v>1654</v>
      </c>
      <c r="G680" t="s">
        <v>1786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s="32" t="str">
        <f>"item_"&amp;CONTROL[[#This Row],[VEHIDCODE]]</f>
        <v>item_mu_Wagon_Gen4_Silo_Type1</v>
      </c>
      <c r="Q680" s="32" t="str">
        <f>"str_"&amp;CONTROL[[#This Row],[VEHIDCODE]]</f>
        <v>str_mu_Wagon_Gen4_Silo_Type1</v>
      </c>
    </row>
    <row r="681" spans="1:17">
      <c r="A681" s="2" t="s">
        <v>857</v>
      </c>
      <c r="B681" s="32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s">
        <v>1654</v>
      </c>
      <c r="G681" t="s">
        <v>1786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s="32" t="str">
        <f>"item_"&amp;CONTROL[[#This Row],[VEHIDCODE]]</f>
        <v>item_mu_Wagon_Gen4_Silo_Type2</v>
      </c>
      <c r="Q681" s="32" t="str">
        <f>"str_"&amp;CONTROL[[#This Row],[VEHIDCODE]]</f>
        <v>str_mu_Wagon_Gen4_Silo_Type2</v>
      </c>
    </row>
    <row r="682" spans="1:17">
      <c r="A682" s="2" t="s">
        <v>858</v>
      </c>
      <c r="B682" s="3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s">
        <v>1655</v>
      </c>
      <c r="G682" t="s">
        <v>1786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s="32" t="str">
        <f>"item_"&amp;CONTROL[[#This Row],[VEHIDCODE]]</f>
        <v>item_mu_Wagon_Gen4_Hopper_Type1</v>
      </c>
      <c r="Q682" s="32" t="str">
        <f>"str_"&amp;CONTROL[[#This Row],[VEHIDCODE]]</f>
        <v>str_mu_Wagon_Gen4_Hopper_Type1</v>
      </c>
    </row>
    <row r="683" spans="1:17">
      <c r="A683" s="2" t="s">
        <v>859</v>
      </c>
      <c r="B683" s="32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s">
        <v>1655</v>
      </c>
      <c r="G683" t="s">
        <v>1786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s="32" t="str">
        <f>"item_"&amp;CONTROL[[#This Row],[VEHIDCODE]]</f>
        <v>item_mu_Wagon_Gen4_Hopper_Type2</v>
      </c>
      <c r="Q683" s="32" t="str">
        <f>"str_"&amp;CONTROL[[#This Row],[VEHIDCODE]]</f>
        <v>str_mu_Wagon_Gen4_Hopper_Type2</v>
      </c>
    </row>
    <row r="684" spans="1:17">
      <c r="A684" s="2" t="s">
        <v>860</v>
      </c>
      <c r="B684" s="32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s">
        <v>1656</v>
      </c>
      <c r="G684" t="s">
        <v>1786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s="32" t="str">
        <f>"item_"&amp;CONTROL[[#This Row],[VEHIDCODE]]</f>
        <v>item_mu_Wagon_Gen4_Car_Transporter</v>
      </c>
      <c r="Q684" s="32" t="str">
        <f>"str_"&amp;CONTROL[[#This Row],[VEHIDCODE]]</f>
        <v>str_mu_Wagon_Gen4_Car_Transporter</v>
      </c>
    </row>
    <row r="685" spans="1:17">
      <c r="A685" s="2" t="s">
        <v>861</v>
      </c>
      <c r="B685" s="32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s">
        <v>1657</v>
      </c>
      <c r="G685" t="s">
        <v>1786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s="32" t="str">
        <f>"item_"&amp;CONTROL[[#This Row],[VEHIDCODE]]</f>
        <v>item_mu_Wagon_Gen4_Container_Carrier</v>
      </c>
      <c r="Q685" s="32" t="str">
        <f>"str_"&amp;CONTROL[[#This Row],[VEHIDCODE]]</f>
        <v>str_mu_Wagon_Gen4_Container_Carrier</v>
      </c>
    </row>
    <row r="686" spans="1:17">
      <c r="A686" s="2" t="s">
        <v>862</v>
      </c>
      <c r="B686" s="32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s">
        <v>1658</v>
      </c>
      <c r="G686" t="s">
        <v>1786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s="32" t="str">
        <f>"item_"&amp;CONTROL[[#This Row],[VEHIDCODE]]</f>
        <v>item_mu_Wagon_Gen4_Centerbeam</v>
      </c>
      <c r="Q686" s="32" t="str">
        <f>"str_"&amp;CONTROL[[#This Row],[VEHIDCODE]]</f>
        <v>str_mu_Wagon_Gen4_Centerbeam</v>
      </c>
    </row>
    <row r="687" spans="1:17">
      <c r="A687" s="2" t="s">
        <v>863</v>
      </c>
      <c r="B687" s="32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s">
        <v>1659</v>
      </c>
      <c r="G687" t="s">
        <v>1786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s="32" t="str">
        <f>"item_"&amp;CONTROL[[#This Row],[VEHIDCODE]]</f>
        <v>item_mu_Wagon_Gen5_Flatcar</v>
      </c>
      <c r="Q687" s="32" t="str">
        <f>"str_"&amp;CONTROL[[#This Row],[VEHIDCODE]]</f>
        <v>str_mu_Wagon_Gen5_Flatcar</v>
      </c>
    </row>
    <row r="688" spans="1:17">
      <c r="A688" s="2" t="s">
        <v>864</v>
      </c>
      <c r="B688" s="32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s">
        <v>1660</v>
      </c>
      <c r="G688" t="s">
        <v>1786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s="32" t="str">
        <f>"item_"&amp;CONTROL[[#This Row],[VEHIDCODE]]</f>
        <v>item_mu_Wagon_Gen5_Heavy_Flatcar</v>
      </c>
      <c r="Q688" s="32" t="str">
        <f>"str_"&amp;CONTROL[[#This Row],[VEHIDCODE]]</f>
        <v>str_mu_Wagon_Gen5_Heavy_Flatcar</v>
      </c>
    </row>
    <row r="689" spans="1:17">
      <c r="A689" s="2" t="s">
        <v>865</v>
      </c>
      <c r="B689" s="32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s">
        <v>1661</v>
      </c>
      <c r="G689" t="s">
        <v>1786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s="32" t="str">
        <f>"item_"&amp;CONTROL[[#This Row],[VEHIDCODE]]</f>
        <v>item_mu_Wagon_Gen5_Boxcar_Type1</v>
      </c>
      <c r="Q689" s="32" t="str">
        <f>"str_"&amp;CONTROL[[#This Row],[VEHIDCODE]]</f>
        <v>str_mu_Wagon_Gen5_Boxcar_Type1</v>
      </c>
    </row>
    <row r="690" spans="1:17">
      <c r="A690" s="2" t="s">
        <v>866</v>
      </c>
      <c r="B690" s="32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s">
        <v>1661</v>
      </c>
      <c r="G690" t="s">
        <v>1786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s="32" t="str">
        <f>"item_"&amp;CONTROL[[#This Row],[VEHIDCODE]]</f>
        <v>item_mu_Wagon_Gen5_Boxcar_Type2</v>
      </c>
      <c r="Q690" s="32" t="str">
        <f>"str_"&amp;CONTROL[[#This Row],[VEHIDCODE]]</f>
        <v>str_mu_Wagon_Gen5_Boxcar_Type2</v>
      </c>
    </row>
    <row r="691" spans="1:17">
      <c r="A691" s="2" t="s">
        <v>867</v>
      </c>
      <c r="B691" s="32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s">
        <v>1662</v>
      </c>
      <c r="G691" t="s">
        <v>1786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s="32" t="str">
        <f>"item_"&amp;CONTROL[[#This Row],[VEHIDCODE]]</f>
        <v>item_mu_Wagon_Gen5_Tanker</v>
      </c>
      <c r="Q691" s="32" t="str">
        <f>"str_"&amp;CONTROL[[#This Row],[VEHIDCODE]]</f>
        <v>str_mu_Wagon_Gen5_Tanker</v>
      </c>
    </row>
    <row r="692" spans="1:17">
      <c r="A692" s="2" t="s">
        <v>868</v>
      </c>
      <c r="B692" s="3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s">
        <v>1663</v>
      </c>
      <c r="G692" t="s">
        <v>1786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s="32" t="str">
        <f>"item_"&amp;CONTROL[[#This Row],[VEHIDCODE]]</f>
        <v>item_mu_Wagon_Gen5_Gondola</v>
      </c>
      <c r="Q692" s="32" t="str">
        <f>"str_"&amp;CONTROL[[#This Row],[VEHIDCODE]]</f>
        <v>str_mu_Wagon_Gen5_Gondola</v>
      </c>
    </row>
    <row r="693" spans="1:17">
      <c r="A693" s="2" t="s">
        <v>869</v>
      </c>
      <c r="B693" s="32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s">
        <v>1664</v>
      </c>
      <c r="G693" t="s">
        <v>1786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s="32" t="str">
        <f>"item_"&amp;CONTROL[[#This Row],[VEHIDCODE]]</f>
        <v>item_mu_Wagon_Gen5_Silo_Type1</v>
      </c>
      <c r="Q693" s="32" t="str">
        <f>"str_"&amp;CONTROL[[#This Row],[VEHIDCODE]]</f>
        <v>str_mu_Wagon_Gen5_Silo_Type1</v>
      </c>
    </row>
    <row r="694" spans="1:17">
      <c r="A694" s="2" t="s">
        <v>870</v>
      </c>
      <c r="B694" s="32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s">
        <v>1664</v>
      </c>
      <c r="G694" t="s">
        <v>1786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s="32" t="str">
        <f>"item_"&amp;CONTROL[[#This Row],[VEHIDCODE]]</f>
        <v>item_mu_Wagon_Gen5_Silo_Type2</v>
      </c>
      <c r="Q694" s="32" t="str">
        <f>"str_"&amp;CONTROL[[#This Row],[VEHIDCODE]]</f>
        <v>str_mu_Wagon_Gen5_Silo_Type2</v>
      </c>
    </row>
    <row r="695" spans="1:17">
      <c r="A695" s="2" t="s">
        <v>871</v>
      </c>
      <c r="B695" s="32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s">
        <v>1665</v>
      </c>
      <c r="G695" t="s">
        <v>1786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s="32" t="str">
        <f>"item_"&amp;CONTROL[[#This Row],[VEHIDCODE]]</f>
        <v>item_mu_Wagon_Gen5_Hopper_Type1</v>
      </c>
      <c r="Q695" s="32" t="str">
        <f>"str_"&amp;CONTROL[[#This Row],[VEHIDCODE]]</f>
        <v>str_mu_Wagon_Gen5_Hopper_Type1</v>
      </c>
    </row>
    <row r="696" spans="1:17">
      <c r="A696" s="2" t="s">
        <v>872</v>
      </c>
      <c r="B696" s="32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s">
        <v>1665</v>
      </c>
      <c r="G696" t="s">
        <v>1786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s="32" t="str">
        <f>"item_"&amp;CONTROL[[#This Row],[VEHIDCODE]]</f>
        <v>item_mu_Wagon_Gen5_Hopper_Type2</v>
      </c>
      <c r="Q696" s="32" t="str">
        <f>"str_"&amp;CONTROL[[#This Row],[VEHIDCODE]]</f>
        <v>str_mu_Wagon_Gen5_Hopper_Type2</v>
      </c>
    </row>
    <row r="697" spans="1:17">
      <c r="A697" s="2" t="s">
        <v>873</v>
      </c>
      <c r="B697" s="32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s">
        <v>1666</v>
      </c>
      <c r="G697" t="s">
        <v>1786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s="32" t="str">
        <f>"item_"&amp;CONTROL[[#This Row],[VEHIDCODE]]</f>
        <v>item_mu_Wagon_Gen5_Car_Transporter</v>
      </c>
      <c r="Q697" s="32" t="str">
        <f>"str_"&amp;CONTROL[[#This Row],[VEHIDCODE]]</f>
        <v>str_mu_Wagon_Gen5_Car_Transporter</v>
      </c>
    </row>
    <row r="698" spans="1:17">
      <c r="A698" s="2" t="s">
        <v>874</v>
      </c>
      <c r="B698" s="32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s">
        <v>1667</v>
      </c>
      <c r="G698" t="s">
        <v>1786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s="32" t="str">
        <f>"item_"&amp;CONTROL[[#This Row],[VEHIDCODE]]</f>
        <v>item_mu_Wagon_Gen5_Container_Carrier</v>
      </c>
      <c r="Q698" s="32" t="str">
        <f>"str_"&amp;CONTROL[[#This Row],[VEHIDCODE]]</f>
        <v>str_mu_Wagon_Gen5_Container_Carrier</v>
      </c>
    </row>
    <row r="699" spans="1:17">
      <c r="A699" s="2" t="s">
        <v>875</v>
      </c>
      <c r="B699" s="32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s">
        <v>1668</v>
      </c>
      <c r="G699" t="s">
        <v>1786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s="32" t="str">
        <f>"item_"&amp;CONTROL[[#This Row],[VEHIDCODE]]</f>
        <v>item_mu_Wagon_Gen5_Centerbeam</v>
      </c>
      <c r="Q699" s="32" t="str">
        <f>"str_"&amp;CONTROL[[#This Row],[VEHIDCODE]]</f>
        <v>str_mu_Wagon_Gen5_Centerbeam</v>
      </c>
    </row>
    <row r="700" spans="1:17">
      <c r="A700" s="2" t="s">
        <v>876</v>
      </c>
      <c r="B700" s="32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s">
        <v>1669</v>
      </c>
      <c r="G700" t="s">
        <v>1786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s="32" t="str">
        <f>"item_"&amp;CONTROL[[#This Row],[VEHIDCODE]]</f>
        <v>item_mu_Wagon_Gen5_Container_Doublestack</v>
      </c>
      <c r="Q700" s="32" t="str">
        <f>"str_"&amp;CONTROL[[#This Row],[VEHIDCODE]]</f>
        <v>str_mu_Wagon_Gen5_Container_Doublestack</v>
      </c>
    </row>
    <row r="701" spans="1:17">
      <c r="A701" s="2" t="s">
        <v>877</v>
      </c>
      <c r="B701" s="32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s">
        <v>1670</v>
      </c>
      <c r="G701" t="s">
        <v>1786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s="32" t="str">
        <f>"item_"&amp;CONTROL[[#This Row],[VEHIDCODE]]</f>
        <v>item_mu_Wagon_Gen5_Superheavy_Flatcar</v>
      </c>
      <c r="Q701" s="32" t="str">
        <f>"str_"&amp;CONTROL[[#This Row],[VEHIDCODE]]</f>
        <v>str_mu_Wagon_Gen5_Superheavy_Flatcar</v>
      </c>
    </row>
    <row r="702" spans="1:17">
      <c r="A702" s="2" t="s">
        <v>878</v>
      </c>
      <c r="B702" s="3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s">
        <v>1671</v>
      </c>
      <c r="G702" t="s">
        <v>1786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s="32" t="str">
        <f>"item_"&amp;CONTROL[[#This Row],[VEHIDCODE]]</f>
        <v>item_mu_Wagon_Gen6_Flatcar</v>
      </c>
      <c r="Q702" s="32" t="str">
        <f>"str_"&amp;CONTROL[[#This Row],[VEHIDCODE]]</f>
        <v>str_mu_Wagon_Gen6_Flatcar</v>
      </c>
    </row>
    <row r="703" spans="1:17">
      <c r="A703" s="2" t="s">
        <v>879</v>
      </c>
      <c r="B703" s="32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s">
        <v>1672</v>
      </c>
      <c r="G703" t="s">
        <v>1786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s="32" t="str">
        <f>"item_"&amp;CONTROL[[#This Row],[VEHIDCODE]]</f>
        <v>item_mu_Wagon_Gen6_Heavy_Flatcar</v>
      </c>
      <c r="Q703" s="32" t="str">
        <f>"str_"&amp;CONTROL[[#This Row],[VEHIDCODE]]</f>
        <v>str_mu_Wagon_Gen6_Heavy_Flatcar</v>
      </c>
    </row>
    <row r="704" spans="1:17">
      <c r="A704" s="2" t="s">
        <v>880</v>
      </c>
      <c r="B704" s="32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s">
        <v>1673</v>
      </c>
      <c r="G704" t="s">
        <v>1786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s="32" t="str">
        <f>"item_"&amp;CONTROL[[#This Row],[VEHIDCODE]]</f>
        <v>item_mu_Wagon_Gen6_Boxcar_Type1</v>
      </c>
      <c r="Q704" s="32" t="str">
        <f>"str_"&amp;CONTROL[[#This Row],[VEHIDCODE]]</f>
        <v>str_mu_Wagon_Gen6_Boxcar_Type1</v>
      </c>
    </row>
    <row r="705" spans="1:17">
      <c r="A705" s="2" t="s">
        <v>881</v>
      </c>
      <c r="B705" s="32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s">
        <v>1673</v>
      </c>
      <c r="G705" t="s">
        <v>1786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s="32" t="str">
        <f>"item_"&amp;CONTROL[[#This Row],[VEHIDCODE]]</f>
        <v>item_mu_Wagon_Gen6_Boxcar_Type2</v>
      </c>
      <c r="Q705" s="32" t="str">
        <f>"str_"&amp;CONTROL[[#This Row],[VEHIDCODE]]</f>
        <v>str_mu_Wagon_Gen6_Boxcar_Type2</v>
      </c>
    </row>
    <row r="706" spans="1:17">
      <c r="A706" s="2" t="s">
        <v>882</v>
      </c>
      <c r="B706" s="32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s">
        <v>1674</v>
      </c>
      <c r="G706" t="s">
        <v>1786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s="32" t="str">
        <f>"item_"&amp;CONTROL[[#This Row],[VEHIDCODE]]</f>
        <v>item_mu_Wagon_Gen6_Tanker</v>
      </c>
      <c r="Q706" s="32" t="str">
        <f>"str_"&amp;CONTROL[[#This Row],[VEHIDCODE]]</f>
        <v>str_mu_Wagon_Gen6_Tanker</v>
      </c>
    </row>
    <row r="707" spans="1:17">
      <c r="A707" s="2" t="s">
        <v>883</v>
      </c>
      <c r="B707" s="32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s">
        <v>1675</v>
      </c>
      <c r="G707" t="s">
        <v>1786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s="32" t="str">
        <f>"item_"&amp;CONTROL[[#This Row],[VEHIDCODE]]</f>
        <v>item_mu_Wagon_Gen6_Gondola</v>
      </c>
      <c r="Q707" s="32" t="str">
        <f>"str_"&amp;CONTROL[[#This Row],[VEHIDCODE]]</f>
        <v>str_mu_Wagon_Gen6_Gondola</v>
      </c>
    </row>
    <row r="708" spans="1:17">
      <c r="A708" s="2" t="s">
        <v>884</v>
      </c>
      <c r="B708" s="32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s">
        <v>1676</v>
      </c>
      <c r="G708" t="s">
        <v>1786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s="32" t="str">
        <f>"item_"&amp;CONTROL[[#This Row],[VEHIDCODE]]</f>
        <v>item_mu_Wagon_Gen6_Silo_Type1</v>
      </c>
      <c r="Q708" s="32" t="str">
        <f>"str_"&amp;CONTROL[[#This Row],[VEHIDCODE]]</f>
        <v>str_mu_Wagon_Gen6_Silo_Type1</v>
      </c>
    </row>
    <row r="709" spans="1:17">
      <c r="A709" s="2" t="s">
        <v>885</v>
      </c>
      <c r="B709" s="32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s">
        <v>1676</v>
      </c>
      <c r="G709" t="s">
        <v>1786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s="32" t="str">
        <f>"item_"&amp;CONTROL[[#This Row],[VEHIDCODE]]</f>
        <v>item_mu_Wagon_Gen6_Silo_Type2</v>
      </c>
      <c r="Q709" s="32" t="str">
        <f>"str_"&amp;CONTROL[[#This Row],[VEHIDCODE]]</f>
        <v>str_mu_Wagon_Gen6_Silo_Type2</v>
      </c>
    </row>
    <row r="710" spans="1:17">
      <c r="A710" s="2" t="s">
        <v>886</v>
      </c>
      <c r="B710" s="32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s">
        <v>1677</v>
      </c>
      <c r="G710" t="s">
        <v>1786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s="32" t="str">
        <f>"item_"&amp;CONTROL[[#This Row],[VEHIDCODE]]</f>
        <v>item_mu_Wagon_Gen6_Hopper_Type1</v>
      </c>
      <c r="Q710" s="32" t="str">
        <f>"str_"&amp;CONTROL[[#This Row],[VEHIDCODE]]</f>
        <v>str_mu_Wagon_Gen6_Hopper_Type1</v>
      </c>
    </row>
    <row r="711" spans="1:17">
      <c r="A711" s="2" t="s">
        <v>887</v>
      </c>
      <c r="B711" s="32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s">
        <v>1677</v>
      </c>
      <c r="G711" t="s">
        <v>1786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s="32" t="str">
        <f>"item_"&amp;CONTROL[[#This Row],[VEHIDCODE]]</f>
        <v>item_mu_Wagon_Gen6_Hopper_Type2</v>
      </c>
      <c r="Q711" s="32" t="str">
        <f>"str_"&amp;CONTROL[[#This Row],[VEHIDCODE]]</f>
        <v>str_mu_Wagon_Gen6_Hopper_Type2</v>
      </c>
    </row>
    <row r="712" spans="1:17">
      <c r="A712" s="2" t="s">
        <v>888</v>
      </c>
      <c r="B712" s="3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s">
        <v>1678</v>
      </c>
      <c r="G712" t="s">
        <v>1786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s="32" t="str">
        <f>"item_"&amp;CONTROL[[#This Row],[VEHIDCODE]]</f>
        <v>item_mu_Wagon_Gen6_Car_Transporter</v>
      </c>
      <c r="Q712" s="32" t="str">
        <f>"str_"&amp;CONTROL[[#This Row],[VEHIDCODE]]</f>
        <v>str_mu_Wagon_Gen6_Car_Transporter</v>
      </c>
    </row>
    <row r="713" spans="1:17">
      <c r="A713" s="2" t="s">
        <v>889</v>
      </c>
      <c r="B713" s="32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s">
        <v>1679</v>
      </c>
      <c r="G713" t="s">
        <v>1786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s="32" t="str">
        <f>"item_"&amp;CONTROL[[#This Row],[VEHIDCODE]]</f>
        <v>item_mu_Wagon_Gen6_Container_Carrier</v>
      </c>
      <c r="Q713" s="32" t="str">
        <f>"str_"&amp;CONTROL[[#This Row],[VEHIDCODE]]</f>
        <v>str_mu_Wagon_Gen6_Container_Carrier</v>
      </c>
    </row>
    <row r="714" spans="1:17">
      <c r="A714" s="2" t="s">
        <v>890</v>
      </c>
      <c r="B714" s="32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s">
        <v>1680</v>
      </c>
      <c r="G714" t="s">
        <v>1786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s="32" t="str">
        <f>"item_"&amp;CONTROL[[#This Row],[VEHIDCODE]]</f>
        <v>item_mu_Wagon_Gen6_Centerbeam</v>
      </c>
      <c r="Q714" s="32" t="str">
        <f>"str_"&amp;CONTROL[[#This Row],[VEHIDCODE]]</f>
        <v>str_mu_Wagon_Gen6_Centerbeam</v>
      </c>
    </row>
    <row r="715" spans="1:17">
      <c r="A715" s="2" t="s">
        <v>891</v>
      </c>
      <c r="B715" s="32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s">
        <v>1681</v>
      </c>
      <c r="G715" t="s">
        <v>1786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s="32" t="str">
        <f>"item_"&amp;CONTROL[[#This Row],[VEHIDCODE]]</f>
        <v>item_mu_Wagon_Gen6_Container_Doublestack</v>
      </c>
      <c r="Q715" s="32" t="str">
        <f>"str_"&amp;CONTROL[[#This Row],[VEHIDCODE]]</f>
        <v>str_mu_Wagon_Gen6_Container_Doublestack</v>
      </c>
    </row>
    <row r="716" spans="1:17">
      <c r="A716" s="2" t="s">
        <v>892</v>
      </c>
      <c r="B716" s="32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s">
        <v>1682</v>
      </c>
      <c r="G716" t="s">
        <v>1786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s="32" t="str">
        <f>"item_"&amp;CONTROL[[#This Row],[VEHIDCODE]]</f>
        <v>item_mu_Wagon_Gen6_Superheavy_Flatcar</v>
      </c>
      <c r="Q716" s="32" t="str">
        <f>"str_"&amp;CONTROL[[#This Row],[VEHIDCODE]]</f>
        <v>str_mu_Wagon_Gen6_Superheavy_Flatcar</v>
      </c>
    </row>
    <row r="717" spans="1:17">
      <c r="A717" s="2" t="s">
        <v>907</v>
      </c>
      <c r="B717" s="32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s">
        <v>1683</v>
      </c>
      <c r="G717" t="s">
        <v>1786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s="32" t="str">
        <f>"item_"&amp;CONTROL[[#This Row],[VEHIDCODE]]</f>
        <v>item_mu_Wagon_Service_Car_Type1</v>
      </c>
      <c r="Q717" s="32" t="str">
        <f>"str_"&amp;CONTROL[[#This Row],[VEHIDCODE]]</f>
        <v>str_mu_Wagon_Service_Car_Type1</v>
      </c>
    </row>
    <row r="718" spans="1:17">
      <c r="A718" s="2" t="s">
        <v>908</v>
      </c>
      <c r="B718" s="32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s">
        <v>1683</v>
      </c>
      <c r="G718" t="s">
        <v>1786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s="32" t="str">
        <f>"item_"&amp;CONTROL[[#This Row],[VEHIDCODE]]</f>
        <v>item_mu_Wagon_Service_Car_Type2</v>
      </c>
      <c r="Q718" s="32" t="str">
        <f>"str_"&amp;CONTROL[[#This Row],[VEHIDCODE]]</f>
        <v>str_mu_Wagon_Service_Car_Type2</v>
      </c>
    </row>
    <row r="719" spans="1:17">
      <c r="A719" s="2" t="s">
        <v>764</v>
      </c>
      <c r="B719" s="32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s">
        <v>1684</v>
      </c>
      <c r="G719" t="s">
        <v>1786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s="32" t="str">
        <f>"item_"&amp;CONTROL[[#This Row],[VEHIDCODE]]</f>
        <v>item_mu_Coach_Gen1_Wooden_2_axle_Compartment_Coach</v>
      </c>
      <c r="Q719" s="32" t="str">
        <f>"str_"&amp;CONTROL[[#This Row],[VEHIDCODE]]</f>
        <v>str_mu_Coach_Gen1_Wooden_2_axle_Compartment_Coach</v>
      </c>
    </row>
    <row r="720" spans="1:17">
      <c r="A720" s="2" t="s">
        <v>765</v>
      </c>
      <c r="B720" s="32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s">
        <v>1685</v>
      </c>
      <c r="G720" t="s">
        <v>1786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s="32" t="str">
        <f>"item_"&amp;CONTROL[[#This Row],[VEHIDCODE]]</f>
        <v>item_mu_Coach_Gen1_Wooden_2_axle_Regional_Coach</v>
      </c>
      <c r="Q720" s="32" t="str">
        <f>"str_"&amp;CONTROL[[#This Row],[VEHIDCODE]]</f>
        <v>str_mu_Coach_Gen1_Wooden_2_axle_Regional_Coach</v>
      </c>
    </row>
    <row r="721" spans="1:17">
      <c r="A721" s="2" t="s">
        <v>766</v>
      </c>
      <c r="B721" s="32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s">
        <v>1686</v>
      </c>
      <c r="G721" t="s">
        <v>1786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s="32" t="str">
        <f>"item_"&amp;CONTROL[[#This Row],[VEHIDCODE]]</f>
        <v>item_mu_Coach_Gen1_Wooden_2_axle_Mail_Coach</v>
      </c>
      <c r="Q721" s="32" t="str">
        <f>"str_"&amp;CONTROL[[#This Row],[VEHIDCODE]]</f>
        <v>str_mu_Coach_Gen1_Wooden_2_axle_Mail_Coach</v>
      </c>
    </row>
    <row r="722" spans="1:17">
      <c r="A722" s="2" t="s">
        <v>767</v>
      </c>
      <c r="B722" s="3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s">
        <v>1687</v>
      </c>
      <c r="G722" t="s">
        <v>1786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s="32" t="str">
        <f>"item_"&amp;CONTROL[[#This Row],[VEHIDCODE]]</f>
        <v>item_mu_Coach_Gen1_Clerestory_Compartment_Coach</v>
      </c>
      <c r="Q722" s="32" t="str">
        <f>"str_"&amp;CONTROL[[#This Row],[VEHIDCODE]]</f>
        <v>str_mu_Coach_Gen1_Clerestory_Compartment_Coach</v>
      </c>
    </row>
    <row r="723" spans="1:17">
      <c r="A723" s="2" t="s">
        <v>768</v>
      </c>
      <c r="B723" s="32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s">
        <v>1688</v>
      </c>
      <c r="G723" t="s">
        <v>1786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s="32" t="str">
        <f>"item_"&amp;CONTROL[[#This Row],[VEHIDCODE]]</f>
        <v>item_mu_Coach_Gen1_Clerestory_Regional_Coach</v>
      </c>
      <c r="Q723" s="32" t="str">
        <f>"str_"&amp;CONTROL[[#This Row],[VEHIDCODE]]</f>
        <v>str_mu_Coach_Gen1_Clerestory_Regional_Coach</v>
      </c>
    </row>
    <row r="724" spans="1:17">
      <c r="A724" s="2" t="s">
        <v>769</v>
      </c>
      <c r="B724" s="32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s">
        <v>1689</v>
      </c>
      <c r="G724" t="s">
        <v>1786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s="32" t="str">
        <f>"item_"&amp;CONTROL[[#This Row],[VEHIDCODE]]</f>
        <v>item_mu_Coach_Gen1_Clerestory_Mail_Coach</v>
      </c>
      <c r="Q724" s="32" t="str">
        <f>"str_"&amp;CONTROL[[#This Row],[VEHIDCODE]]</f>
        <v>str_mu_Coach_Gen1_Clerestory_Mail_Coach</v>
      </c>
    </row>
    <row r="725" spans="1:17">
      <c r="A725" s="2" t="s">
        <v>770</v>
      </c>
      <c r="B725" s="32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s">
        <v>1690</v>
      </c>
      <c r="G725" t="s">
        <v>1786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s="32" t="str">
        <f>"item_"&amp;CONTROL[[#This Row],[VEHIDCODE]]</f>
        <v>item_mu_Coach_Gen1_Wooden_3_axle_Compartment_Coach</v>
      </c>
      <c r="Q725" s="32" t="str">
        <f>"str_"&amp;CONTROL[[#This Row],[VEHIDCODE]]</f>
        <v>str_mu_Coach_Gen1_Wooden_3_axle_Compartment_Coach</v>
      </c>
    </row>
    <row r="726" spans="1:17">
      <c r="A726" s="2" t="s">
        <v>771</v>
      </c>
      <c r="B726" s="32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s">
        <v>1691</v>
      </c>
      <c r="G726" t="s">
        <v>1786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s="32" t="str">
        <f>"item_"&amp;CONTROL[[#This Row],[VEHIDCODE]]</f>
        <v>item_mu_Coach_Gen1_Wooden_3_axle_Regional_Coach</v>
      </c>
      <c r="Q726" s="32" t="str">
        <f>"str_"&amp;CONTROL[[#This Row],[VEHIDCODE]]</f>
        <v>str_mu_Coach_Gen1_Wooden_3_axle_Regional_Coach</v>
      </c>
    </row>
    <row r="727" spans="1:17">
      <c r="A727" s="2" t="s">
        <v>772</v>
      </c>
      <c r="B727" s="32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s">
        <v>1692</v>
      </c>
      <c r="G727" t="s">
        <v>1786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s="32" t="str">
        <f>"item_"&amp;CONTROL[[#This Row],[VEHIDCODE]]</f>
        <v>item_mu_Coach_Gen1_Wooden_3_axle_Mail_Coach</v>
      </c>
      <c r="Q727" s="32" t="str">
        <f>"str_"&amp;CONTROL[[#This Row],[VEHIDCODE]]</f>
        <v>str_mu_Coach_Gen1_Wooden_3_axle_Mail_Coach</v>
      </c>
    </row>
    <row r="728" spans="1:17">
      <c r="A728" s="2" t="s">
        <v>773</v>
      </c>
      <c r="B728" s="32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s">
        <v>1693</v>
      </c>
      <c r="G728" t="s">
        <v>1786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s="32" t="str">
        <f>"item_"&amp;CONTROL[[#This Row],[VEHIDCODE]]</f>
        <v>item_mu_Coach_Gen2_Heavyweight_Intercity_Coach</v>
      </c>
      <c r="Q728" s="32" t="str">
        <f>"str_"&amp;CONTROL[[#This Row],[VEHIDCODE]]</f>
        <v>str_mu_Coach_Gen2_Heavyweight_Intercity_Coach</v>
      </c>
    </row>
    <row r="729" spans="1:17">
      <c r="A729" s="2" t="s">
        <v>774</v>
      </c>
      <c r="B729" s="32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s">
        <v>1694</v>
      </c>
      <c r="G729" t="s">
        <v>1786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s="32" t="str">
        <f>"item_"&amp;CONTROL[[#This Row],[VEHIDCODE]]</f>
        <v>item_mu_Coach_Gen2_Heavyweight_Mail_Coach</v>
      </c>
      <c r="Q729" s="32" t="str">
        <f>"str_"&amp;CONTROL[[#This Row],[VEHIDCODE]]</f>
        <v>str_mu_Coach_Gen2_Heavyweight_Mail_Coach</v>
      </c>
    </row>
    <row r="730" spans="1:17">
      <c r="A730" s="2" t="s">
        <v>775</v>
      </c>
      <c r="B730" s="32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s">
        <v>1695</v>
      </c>
      <c r="G730" t="s">
        <v>1786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s="32" t="str">
        <f>"item_"&amp;CONTROL[[#This Row],[VEHIDCODE]]</f>
        <v>item_mu_Coach_Gen2_Steel_Intercity_Coach</v>
      </c>
      <c r="Q730" s="32" t="str">
        <f>"str_"&amp;CONTROL[[#This Row],[VEHIDCODE]]</f>
        <v>str_mu_Coach_Gen2_Steel_Intercity_Coach</v>
      </c>
    </row>
    <row r="731" spans="1:17">
      <c r="A731" s="2" t="s">
        <v>776</v>
      </c>
      <c r="B731" s="32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s">
        <v>1696</v>
      </c>
      <c r="G731" t="s">
        <v>1786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s="32" t="str">
        <f>"item_"&amp;CONTROL[[#This Row],[VEHIDCODE]]</f>
        <v>item_mu_Coach_Gen2_Steel_Compartment_Coach</v>
      </c>
      <c r="Q731" s="32" t="str">
        <f>"str_"&amp;CONTROL[[#This Row],[VEHIDCODE]]</f>
        <v>str_mu_Coach_Gen2_Steel_Compartment_Coach</v>
      </c>
    </row>
    <row r="732" spans="1:17">
      <c r="A732" s="2" t="s">
        <v>777</v>
      </c>
      <c r="B732" s="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s">
        <v>1697</v>
      </c>
      <c r="G732" t="s">
        <v>1786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s="32" t="str">
        <f>"item_"&amp;CONTROL[[#This Row],[VEHIDCODE]]</f>
        <v>item_mu_Coach_Gen2_Steel_Regional_Coach</v>
      </c>
      <c r="Q732" s="32" t="str">
        <f>"str_"&amp;CONTROL[[#This Row],[VEHIDCODE]]</f>
        <v>str_mu_Coach_Gen2_Steel_Regional_Coach</v>
      </c>
    </row>
    <row r="733" spans="1:17">
      <c r="A733" s="2" t="s">
        <v>778</v>
      </c>
      <c r="B733" s="32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s">
        <v>1698</v>
      </c>
      <c r="G733" t="s">
        <v>1786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s="32" t="str">
        <f>"item_"&amp;CONTROL[[#This Row],[VEHIDCODE]]</f>
        <v>item_mu_Coach_Gen2_Steel_Mail_Coach</v>
      </c>
      <c r="Q733" s="32" t="str">
        <f>"str_"&amp;CONTROL[[#This Row],[VEHIDCODE]]</f>
        <v>str_mu_Coach_Gen2_Steel_Mail_Coach</v>
      </c>
    </row>
    <row r="734" spans="1:17">
      <c r="A734" s="2" t="s">
        <v>779</v>
      </c>
      <c r="B734" s="32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s">
        <v>1699</v>
      </c>
      <c r="G734" t="s">
        <v>1786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s="32" t="str">
        <f>"item_"&amp;CONTROL[[#This Row],[VEHIDCODE]]</f>
        <v>item_mu_Coach_Gen2_Steel_2_axle_Compartment_Coach</v>
      </c>
      <c r="Q734" s="32" t="str">
        <f>"str_"&amp;CONTROL[[#This Row],[VEHIDCODE]]</f>
        <v>str_mu_Coach_Gen2_Steel_2_axle_Compartment_Coach</v>
      </c>
    </row>
    <row r="735" spans="1:17">
      <c r="A735" s="2" t="s">
        <v>780</v>
      </c>
      <c r="B735" s="32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s">
        <v>1700</v>
      </c>
      <c r="G735" t="s">
        <v>1786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s="32" t="str">
        <f>"item_"&amp;CONTROL[[#This Row],[VEHIDCODE]]</f>
        <v>item_mu_Coach_Gen2_Steel_2_axle_Regional_Coach</v>
      </c>
      <c r="Q735" s="32" t="str">
        <f>"str_"&amp;CONTROL[[#This Row],[VEHIDCODE]]</f>
        <v>str_mu_Coach_Gen2_Steel_2_axle_Regional_Coach</v>
      </c>
    </row>
    <row r="736" spans="1:17">
      <c r="A736" s="2" t="s">
        <v>781</v>
      </c>
      <c r="B736" s="32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s">
        <v>1701</v>
      </c>
      <c r="G736" t="s">
        <v>1786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s="32" t="str">
        <f>"item_"&amp;CONTROL[[#This Row],[VEHIDCODE]]</f>
        <v>item_mu_Coach_Gen2_Steel_2_axle_Mail_Coach</v>
      </c>
      <c r="Q736" s="32" t="str">
        <f>"str_"&amp;CONTROL[[#This Row],[VEHIDCODE]]</f>
        <v>str_mu_Coach_Gen2_Steel_2_axle_Mail_Coach</v>
      </c>
    </row>
    <row r="737" spans="1:17">
      <c r="A737" s="2" t="s">
        <v>782</v>
      </c>
      <c r="B737" s="32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s">
        <v>1702</v>
      </c>
      <c r="G737" t="s">
        <v>1786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s="32" t="str">
        <f>"item_"&amp;CONTROL[[#This Row],[VEHIDCODE]]</f>
        <v>item_mu_Coach_Gen2_Steel_3_axle_Compartment_Coach</v>
      </c>
      <c r="Q737" s="32" t="str">
        <f>"str_"&amp;CONTROL[[#This Row],[VEHIDCODE]]</f>
        <v>str_mu_Coach_Gen2_Steel_3_axle_Compartment_Coach</v>
      </c>
    </row>
    <row r="738" spans="1:17">
      <c r="A738" s="2" t="s">
        <v>783</v>
      </c>
      <c r="B738" s="32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s">
        <v>1703</v>
      </c>
      <c r="G738" t="s">
        <v>1786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s="32" t="str">
        <f>"item_"&amp;CONTROL[[#This Row],[VEHIDCODE]]</f>
        <v>item_mu_Coach_Gen2_Steel_3_axle_Regional_Coach</v>
      </c>
      <c r="Q738" s="32" t="str">
        <f>"str_"&amp;CONTROL[[#This Row],[VEHIDCODE]]</f>
        <v>str_mu_Coach_Gen2_Steel_3_axle_Regional_Coach</v>
      </c>
    </row>
    <row r="739" spans="1:17">
      <c r="A739" s="2" t="s">
        <v>784</v>
      </c>
      <c r="B739" s="32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s">
        <v>1704</v>
      </c>
      <c r="G739" t="s">
        <v>1786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s="32" t="str">
        <f>"item_"&amp;CONTROL[[#This Row],[VEHIDCODE]]</f>
        <v>item_mu_Coach_Gen2_Steel_3_axle_Mail_Coach</v>
      </c>
      <c r="Q739" s="32" t="str">
        <f>"str_"&amp;CONTROL[[#This Row],[VEHIDCODE]]</f>
        <v>str_mu_Coach_Gen2_Steel_3_axle_Mail_Coach</v>
      </c>
    </row>
    <row r="740" spans="1:17">
      <c r="A740" s="2" t="s">
        <v>785</v>
      </c>
      <c r="B740" s="32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s">
        <v>1705</v>
      </c>
      <c r="G740" t="s">
        <v>1786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s="32" t="str">
        <f>"item_"&amp;CONTROL[[#This Row],[VEHIDCODE]]</f>
        <v>item_mu_Coach_Gen3_Steel_Lightweight_Intercity_Coach</v>
      </c>
      <c r="Q740" s="32" t="str">
        <f>"str_"&amp;CONTROL[[#This Row],[VEHIDCODE]]</f>
        <v>str_mu_Coach_Gen3_Steel_Lightweight_Intercity_Coach</v>
      </c>
    </row>
    <row r="741" spans="1:17">
      <c r="A741" s="2" t="s">
        <v>786</v>
      </c>
      <c r="B741" s="32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s">
        <v>1706</v>
      </c>
      <c r="G741" t="s">
        <v>1786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s="32" t="str">
        <f>"item_"&amp;CONTROL[[#This Row],[VEHIDCODE]]</f>
        <v>item_mu_Coach_Gen3_Steel_Lightweight_Regional_Coach</v>
      </c>
      <c r="Q741" s="32" t="str">
        <f>"str_"&amp;CONTROL[[#This Row],[VEHIDCODE]]</f>
        <v>str_mu_Coach_Gen3_Steel_Lightweight_Regional_Coach</v>
      </c>
    </row>
    <row r="742" spans="1:17">
      <c r="A742" s="2" t="s">
        <v>787</v>
      </c>
      <c r="B742" s="3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s">
        <v>1707</v>
      </c>
      <c r="G742" t="s">
        <v>1786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s="32" t="str">
        <f>"item_"&amp;CONTROL[[#This Row],[VEHIDCODE]]</f>
        <v>item_mu_Coach_Gen3_Steel_Lightweight_Mail_Coach</v>
      </c>
      <c r="Q742" s="32" t="str">
        <f>"str_"&amp;CONTROL[[#This Row],[VEHIDCODE]]</f>
        <v>str_mu_Coach_Gen3_Steel_Lightweight_Mail_Coach</v>
      </c>
    </row>
    <row r="743" spans="1:17">
      <c r="A743" s="2" t="s">
        <v>788</v>
      </c>
      <c r="B743" s="32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s">
        <v>1708</v>
      </c>
      <c r="G743" t="s">
        <v>1786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s="32" t="str">
        <f>"item_"&amp;CONTROL[[#This Row],[VEHIDCODE]]</f>
        <v>item_mu_Coach_Gen3_Aluminium_Lightweight_Intercity_Coach</v>
      </c>
      <c r="Q743" s="32" t="str">
        <f>"str_"&amp;CONTROL[[#This Row],[VEHIDCODE]]</f>
        <v>str_mu_Coach_Gen3_Aluminium_Lightweight_Intercity_Coach</v>
      </c>
    </row>
    <row r="744" spans="1:17">
      <c r="A744" s="2" t="s">
        <v>789</v>
      </c>
      <c r="B744" s="32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s">
        <v>1709</v>
      </c>
      <c r="G744" t="s">
        <v>1786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s="32" t="str">
        <f>"item_"&amp;CONTROL[[#This Row],[VEHIDCODE]]</f>
        <v>item_mu_Coach_Gen3_Aluminium_Lightweight_Regional_Coach</v>
      </c>
      <c r="Q744" s="32" t="str">
        <f>"str_"&amp;CONTROL[[#This Row],[VEHIDCODE]]</f>
        <v>str_mu_Coach_Gen3_Aluminium_Lightweight_Regional_Coach</v>
      </c>
    </row>
    <row r="745" spans="1:17">
      <c r="A745" s="2" t="s">
        <v>790</v>
      </c>
      <c r="B745" s="32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s">
        <v>1710</v>
      </c>
      <c r="G745" t="s">
        <v>1786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s="32" t="str">
        <f>"item_"&amp;CONTROL[[#This Row],[VEHIDCODE]]</f>
        <v>item_mu_Coach_Gen3_Aluminium_Lightweight_Mail_Coach</v>
      </c>
      <c r="Q745" s="32" t="str">
        <f>"str_"&amp;CONTROL[[#This Row],[VEHIDCODE]]</f>
        <v>str_mu_Coach_Gen3_Aluminium_Lightweight_Mail_Coach</v>
      </c>
    </row>
    <row r="746" spans="1:17">
      <c r="A746" s="2" t="s">
        <v>791</v>
      </c>
      <c r="B746" s="32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s">
        <v>1711</v>
      </c>
      <c r="G746" t="s">
        <v>1786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s="32" t="str">
        <f>"item_"&amp;CONTROL[[#This Row],[VEHIDCODE]]</f>
        <v>item_mu_Coach_Gen3_Gallery_Car</v>
      </c>
      <c r="Q746" s="32" t="str">
        <f>"str_"&amp;CONTROL[[#This Row],[VEHIDCODE]]</f>
        <v>str_mu_Coach_Gen3_Gallery_Car</v>
      </c>
    </row>
    <row r="747" spans="1:17">
      <c r="A747" s="2" t="s">
        <v>792</v>
      </c>
      <c r="B747" s="32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s">
        <v>1712</v>
      </c>
      <c r="G747" t="s">
        <v>1786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s="32" t="str">
        <f>"item_"&amp;CONTROL[[#This Row],[VEHIDCODE]]</f>
        <v>item_mu_Coach_Gen3_Mk1_Intercity_Coach</v>
      </c>
      <c r="Q747" s="32" t="str">
        <f>"str_"&amp;CONTROL[[#This Row],[VEHIDCODE]]</f>
        <v>str_mu_Coach_Gen3_Mk1_Intercity_Coach</v>
      </c>
    </row>
    <row r="748" spans="1:17">
      <c r="A748" s="2" t="s">
        <v>793</v>
      </c>
      <c r="B748" s="32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s">
        <v>1713</v>
      </c>
      <c r="G748" t="s">
        <v>1786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s="32" t="str">
        <f>"item_"&amp;CONTROL[[#This Row],[VEHIDCODE]]</f>
        <v>item_mu_Coach_Gen3_Mk1_Regional_Coach</v>
      </c>
      <c r="Q748" s="32" t="str">
        <f>"str_"&amp;CONTROL[[#This Row],[VEHIDCODE]]</f>
        <v>str_mu_Coach_Gen3_Mk1_Regional_Coach</v>
      </c>
    </row>
    <row r="749" spans="1:17">
      <c r="A749" s="2" t="s">
        <v>794</v>
      </c>
      <c r="B749" s="32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s">
        <v>1714</v>
      </c>
      <c r="G749" t="s">
        <v>1786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s="32" t="str">
        <f>"item_"&amp;CONTROL[[#This Row],[VEHIDCODE]]</f>
        <v>item_mu_Coach_Gen3_Mk1_Mail_Coach</v>
      </c>
      <c r="Q749" s="32" t="str">
        <f>"str_"&amp;CONTROL[[#This Row],[VEHIDCODE]]</f>
        <v>str_mu_Coach_Gen3_Mk1_Mail_Coach</v>
      </c>
    </row>
    <row r="750" spans="1:17">
      <c r="A750" s="2" t="s">
        <v>795</v>
      </c>
      <c r="B750" s="32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s">
        <v>1715</v>
      </c>
      <c r="G750" t="s">
        <v>1786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s="32" t="str">
        <f>"item_"&amp;CONTROL[[#This Row],[VEHIDCODE]]</f>
        <v>item_mu_Coach_Gen3_UIC_X_Intercity_Coach</v>
      </c>
      <c r="Q750" s="32" t="str">
        <f>"str_"&amp;CONTROL[[#This Row],[VEHIDCODE]]</f>
        <v>str_mu_Coach_Gen3_UIC_X_Intercity_Coach</v>
      </c>
    </row>
    <row r="751" spans="1:17">
      <c r="A751" s="2" t="s">
        <v>796</v>
      </c>
      <c r="B751" s="32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s">
        <v>1716</v>
      </c>
      <c r="G751" t="s">
        <v>1786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s="32" t="str">
        <f>"item_"&amp;CONTROL[[#This Row],[VEHIDCODE]]</f>
        <v>item_mu_Coach_Gen3_TEE_Intercity_Coach</v>
      </c>
      <c r="Q751" s="32" t="str">
        <f>"str_"&amp;CONTROL[[#This Row],[VEHIDCODE]]</f>
        <v>str_mu_Coach_Gen3_TEE_Intercity_Coach</v>
      </c>
    </row>
    <row r="752" spans="1:17">
      <c r="A752" s="2" t="s">
        <v>797</v>
      </c>
      <c r="B752" s="3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s">
        <v>1717</v>
      </c>
      <c r="G752" t="s">
        <v>1786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s="32" t="str">
        <f>"item_"&amp;CONTROL[[#This Row],[VEHIDCODE]]</f>
        <v>item_mu_Coach_Gen3_UIC_X_Regional_Coach</v>
      </c>
      <c r="Q752" s="32" t="str">
        <f>"str_"&amp;CONTROL[[#This Row],[VEHIDCODE]]</f>
        <v>str_mu_Coach_Gen3_UIC_X_Regional_Coach</v>
      </c>
    </row>
    <row r="753" spans="1:17">
      <c r="A753" s="2" t="s">
        <v>798</v>
      </c>
      <c r="B753" s="32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s">
        <v>1718</v>
      </c>
      <c r="G753" t="s">
        <v>1786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s="32" t="str">
        <f>"item_"&amp;CONTROL[[#This Row],[VEHIDCODE]]</f>
        <v>item_mu_Coach_Gen3_Umbauwagen_Local_Coach</v>
      </c>
      <c r="Q753" s="32" t="str">
        <f>"str_"&amp;CONTROL[[#This Row],[VEHIDCODE]]</f>
        <v>str_mu_Coach_Gen3_Umbauwagen_Local_Coach</v>
      </c>
    </row>
    <row r="754" spans="1:17">
      <c r="A754" s="2" t="s">
        <v>799</v>
      </c>
      <c r="B754" s="32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s">
        <v>1719</v>
      </c>
      <c r="G754" t="s">
        <v>1786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s="32" t="str">
        <f>"item_"&amp;CONTROL[[#This Row],[VEHIDCODE]]</f>
        <v>item_mu_Coach_Gen3_Doppelstockwagen_Local_Coach</v>
      </c>
      <c r="Q754" s="32" t="str">
        <f>"str_"&amp;CONTROL[[#This Row],[VEHIDCODE]]</f>
        <v>str_mu_Coach_Gen3_Doppelstockwagen_Local_Coach</v>
      </c>
    </row>
    <row r="755" spans="1:17">
      <c r="A755" s="2" t="s">
        <v>800</v>
      </c>
      <c r="B755" s="32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s">
        <v>1720</v>
      </c>
      <c r="G755" t="s">
        <v>1786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s="32" t="str">
        <f>"item_"&amp;CONTROL[[#This Row],[VEHIDCODE]]</f>
        <v>item_mu_Coach_Gen3_UIC_X_Mail_Coach</v>
      </c>
      <c r="Q755" s="32" t="str">
        <f>"str_"&amp;CONTROL[[#This Row],[VEHIDCODE]]</f>
        <v>str_mu_Coach_Gen3_UIC_X_Mail_Coach</v>
      </c>
    </row>
    <row r="756" spans="1:17">
      <c r="A756" s="2" t="s">
        <v>801</v>
      </c>
      <c r="B756" s="32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s">
        <v>1721</v>
      </c>
      <c r="G756" t="s">
        <v>1786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s="32" t="str">
        <f>"item_"&amp;CONTROL[[#This Row],[VEHIDCODE]]</f>
        <v>item_mu_Coach_Gen3_Indian_Intercity_Coach</v>
      </c>
      <c r="Q756" s="32" t="str">
        <f>"str_"&amp;CONTROL[[#This Row],[VEHIDCODE]]</f>
        <v>str_mu_Coach_Gen3_Indian_Intercity_Coach</v>
      </c>
    </row>
    <row r="757" spans="1:17">
      <c r="A757" s="2" t="s">
        <v>802</v>
      </c>
      <c r="B757" s="32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s">
        <v>1722</v>
      </c>
      <c r="G757" t="s">
        <v>1786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s="32" t="str">
        <f>"item_"&amp;CONTROL[[#This Row],[VEHIDCODE]]</f>
        <v>item_mu_Coach_Gen3_Indian_Local_Coach</v>
      </c>
      <c r="Q757" s="32" t="str">
        <f>"str_"&amp;CONTROL[[#This Row],[VEHIDCODE]]</f>
        <v>str_mu_Coach_Gen3_Indian_Local_Coach</v>
      </c>
    </row>
    <row r="758" spans="1:17">
      <c r="A758" s="2" t="s">
        <v>803</v>
      </c>
      <c r="B758" s="32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s">
        <v>1723</v>
      </c>
      <c r="G758" t="s">
        <v>1786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s="32" t="str">
        <f>"item_"&amp;CONTROL[[#This Row],[VEHIDCODE]]</f>
        <v>item_mu_Coach_Gen3_Indian_Regional_Coach</v>
      </c>
      <c r="Q758" s="32" t="str">
        <f>"str_"&amp;CONTROL[[#This Row],[VEHIDCODE]]</f>
        <v>str_mu_Coach_Gen3_Indian_Regional_Coach</v>
      </c>
    </row>
    <row r="759" spans="1:17">
      <c r="A759" s="2" t="s">
        <v>804</v>
      </c>
      <c r="B759" s="32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s">
        <v>1724</v>
      </c>
      <c r="G759" t="s">
        <v>1786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s="32" t="str">
        <f>"item_"&amp;CONTROL[[#This Row],[VEHIDCODE]]</f>
        <v>item_mu_Coach_Gen3_Indian_Mail_Coach</v>
      </c>
      <c r="Q759" s="32" t="str">
        <f>"str_"&amp;CONTROL[[#This Row],[VEHIDCODE]]</f>
        <v>str_mu_Coach_Gen3_Indian_Mail_Coach</v>
      </c>
    </row>
    <row r="760" spans="1:17">
      <c r="A760" s="2" t="s">
        <v>805</v>
      </c>
      <c r="B760" s="32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s">
        <v>1725</v>
      </c>
      <c r="G760" t="s">
        <v>1786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s="32" t="str">
        <f>"item_"&amp;CONTROL[[#This Row],[VEHIDCODE]]</f>
        <v>item_mu_Coach_Gen4_Eurofima_Intercity_Coach</v>
      </c>
      <c r="Q760" s="32" t="str">
        <f>"str_"&amp;CONTROL[[#This Row],[VEHIDCODE]]</f>
        <v>str_mu_Coach_Gen4_Eurofima_Intercity_Coach</v>
      </c>
    </row>
    <row r="761" spans="1:17">
      <c r="A761" s="2" t="s">
        <v>806</v>
      </c>
      <c r="B761" s="32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s">
        <v>1726</v>
      </c>
      <c r="G761" t="s">
        <v>1786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s="32" t="str">
        <f>"item_"&amp;CONTROL[[#This Row],[VEHIDCODE]]</f>
        <v>item_mu_Coach_Gen4_InterRegio_Coach</v>
      </c>
      <c r="Q761" s="32" t="str">
        <f>"str_"&amp;CONTROL[[#This Row],[VEHIDCODE]]</f>
        <v>str_mu_Coach_Gen4_InterRegio_Coach</v>
      </c>
    </row>
    <row r="762" spans="1:17">
      <c r="A762" s="2" t="s">
        <v>807</v>
      </c>
      <c r="B762" s="3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s">
        <v>1727</v>
      </c>
      <c r="G762" t="s">
        <v>1786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s="32" t="str">
        <f>"item_"&amp;CONTROL[[#This Row],[VEHIDCODE]]</f>
        <v>item_mu_Coach_Gen4_Silberling_Commuter_Coach</v>
      </c>
      <c r="Q762" s="32" t="str">
        <f>"str_"&amp;CONTROL[[#This Row],[VEHIDCODE]]</f>
        <v>str_mu_Coach_Gen4_Silberling_Commuter_Coach</v>
      </c>
    </row>
    <row r="763" spans="1:17">
      <c r="A763" s="2" t="s">
        <v>808</v>
      </c>
      <c r="B763" s="32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s">
        <v>1728</v>
      </c>
      <c r="G763" t="s">
        <v>1786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s="32" t="str">
        <f>"item_"&amp;CONTROL[[#This Row],[VEHIDCODE]]</f>
        <v>item_mu_Coach_Gen4_Eurofima_Mail_Coach</v>
      </c>
      <c r="Q763" s="32" t="str">
        <f>"str_"&amp;CONTROL[[#This Row],[VEHIDCODE]]</f>
        <v>str_mu_Coach_Gen4_Eurofima_Mail_Coach</v>
      </c>
    </row>
    <row r="764" spans="1:17">
      <c r="A764" s="2" t="s">
        <v>809</v>
      </c>
      <c r="B764" s="32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s">
        <v>1729</v>
      </c>
      <c r="G764" t="s">
        <v>1786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s="32" t="str">
        <f>"item_"&amp;CONTROL[[#This Row],[VEHIDCODE]]</f>
        <v>item_mu_Coach_Gen4_Double_Decker_Coach</v>
      </c>
      <c r="Q764" s="32" t="str">
        <f>"str_"&amp;CONTROL[[#This Row],[VEHIDCODE]]</f>
        <v>str_mu_Coach_Gen4_Double_Decker_Coach</v>
      </c>
    </row>
    <row r="765" spans="1:17">
      <c r="A765" s="2" t="s">
        <v>810</v>
      </c>
      <c r="B765" s="32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s">
        <v>1730</v>
      </c>
      <c r="G765" t="s">
        <v>1786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s="32" t="str">
        <f>"item_"&amp;CONTROL[[#This Row],[VEHIDCODE]]</f>
        <v>item_mu_Coach_Gen4_Russian_Intercity_Coach</v>
      </c>
      <c r="Q765" s="32" t="str">
        <f>"str_"&amp;CONTROL[[#This Row],[VEHIDCODE]]</f>
        <v>str_mu_Coach_Gen4_Russian_Intercity_Coach</v>
      </c>
    </row>
    <row r="766" spans="1:17">
      <c r="A766" s="2" t="s">
        <v>811</v>
      </c>
      <c r="B766" s="32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s">
        <v>1731</v>
      </c>
      <c r="G766" t="s">
        <v>1786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s="32" t="str">
        <f>"item_"&amp;CONTROL[[#This Row],[VEHIDCODE]]</f>
        <v>item_mu_Coach_Gen4_Russian_Regional_Coach</v>
      </c>
      <c r="Q766" s="32" t="str">
        <f>"str_"&amp;CONTROL[[#This Row],[VEHIDCODE]]</f>
        <v>str_mu_Coach_Gen4_Russian_Regional_Coach</v>
      </c>
    </row>
    <row r="767" spans="1:17">
      <c r="A767" s="2" t="s">
        <v>812</v>
      </c>
      <c r="B767" s="32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s">
        <v>1732</v>
      </c>
      <c r="G767" t="s">
        <v>1786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s="32" t="str">
        <f>"item_"&amp;CONTROL[[#This Row],[VEHIDCODE]]</f>
        <v>item_mu_Coach_Gen4_Russian_Mail_Coach</v>
      </c>
      <c r="Q767" s="32" t="str">
        <f>"str_"&amp;CONTROL[[#This Row],[VEHIDCODE]]</f>
        <v>str_mu_Coach_Gen4_Russian_Mail_Coach</v>
      </c>
    </row>
    <row r="768" spans="1:17">
      <c r="A768" s="2" t="s">
        <v>813</v>
      </c>
      <c r="B768" s="32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s">
        <v>1733</v>
      </c>
      <c r="G768" t="s">
        <v>1786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s="32" t="str">
        <f>"item_"&amp;CONTROL[[#This Row],[VEHIDCODE]]</f>
        <v>item_mu_Coach_Gen4_Superliner_Coach</v>
      </c>
      <c r="Q768" s="32" t="str">
        <f>"str_"&amp;CONTROL[[#This Row],[VEHIDCODE]]</f>
        <v>str_mu_Coach_Gen4_Superliner_Coach</v>
      </c>
    </row>
    <row r="769" spans="1:17">
      <c r="A769" s="2" t="s">
        <v>814</v>
      </c>
      <c r="B769" s="32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s">
        <v>1734</v>
      </c>
      <c r="G769" t="s">
        <v>1786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s="32" t="str">
        <f>"item_"&amp;CONTROL[[#This Row],[VEHIDCODE]]</f>
        <v>item_mu_Coach_Gen4_Superliner_California</v>
      </c>
      <c r="Q769" s="32" t="str">
        <f>"str_"&amp;CONTROL[[#This Row],[VEHIDCODE]]</f>
        <v>str_mu_Coach_Gen4_Superliner_California</v>
      </c>
    </row>
    <row r="770" spans="1:17">
      <c r="A770" s="2" t="s">
        <v>815</v>
      </c>
      <c r="B770" s="32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s">
        <v>1735</v>
      </c>
      <c r="G770" t="s">
        <v>1786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s="32" t="str">
        <f>"item_"&amp;CONTROL[[#This Row],[VEHIDCODE]]</f>
        <v>item_mu_Coach_Gen4_Amfleet_Regional_Coach</v>
      </c>
      <c r="Q770" s="32" t="str">
        <f>"str_"&amp;CONTROL[[#This Row],[VEHIDCODE]]</f>
        <v>str_mu_Coach_Gen4_Amfleet_Regional_Coach</v>
      </c>
    </row>
    <row r="771" spans="1:17">
      <c r="A771" s="2" t="s">
        <v>816</v>
      </c>
      <c r="B771" s="32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s">
        <v>1736</v>
      </c>
      <c r="G771" t="s">
        <v>1786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s="32" t="str">
        <f>"item_"&amp;CONTROL[[#This Row],[VEHIDCODE]]</f>
        <v>item_mu_Coach_Gen4_Amfleet_Intercity_Coach</v>
      </c>
      <c r="Q771" s="32" t="str">
        <f>"str_"&amp;CONTROL[[#This Row],[VEHIDCODE]]</f>
        <v>str_mu_Coach_Gen4_Amfleet_Intercity_Coach</v>
      </c>
    </row>
    <row r="772" spans="1:17">
      <c r="A772" s="2" t="s">
        <v>817</v>
      </c>
      <c r="B772" s="3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s">
        <v>1737</v>
      </c>
      <c r="G772" t="s">
        <v>1786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s="32" t="str">
        <f>"item_"&amp;CONTROL[[#This Row],[VEHIDCODE]]</f>
        <v>item_mu_Coach_Gen4_Comet_Commuter_Coach</v>
      </c>
      <c r="Q772" s="32" t="str">
        <f>"str_"&amp;CONTROL[[#This Row],[VEHIDCODE]]</f>
        <v>str_mu_Coach_Gen4_Comet_Commuter_Coach</v>
      </c>
    </row>
    <row r="773" spans="1:17">
      <c r="A773" s="2" t="s">
        <v>818</v>
      </c>
      <c r="B773" s="32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s">
        <v>1738</v>
      </c>
      <c r="G773" t="s">
        <v>1786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s="32" t="str">
        <f>"item_"&amp;CONTROL[[#This Row],[VEHIDCODE]]</f>
        <v>item_mu_Coach_Gen4_Horizon_Regional_Coach</v>
      </c>
      <c r="Q773" s="32" t="str">
        <f>"str_"&amp;CONTROL[[#This Row],[VEHIDCODE]]</f>
        <v>str_mu_Coach_Gen4_Horizon_Regional_Coach</v>
      </c>
    </row>
    <row r="774" spans="1:17">
      <c r="A774" s="2" t="s">
        <v>819</v>
      </c>
      <c r="B774" s="32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s">
        <v>1739</v>
      </c>
      <c r="G774" t="s">
        <v>1786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s="32" t="str">
        <f>"item_"&amp;CONTROL[[#This Row],[VEHIDCODE]]</f>
        <v>item_mu_Coach_Gen4_Horizon_Baggage_Coach</v>
      </c>
      <c r="Q774" s="32" t="str">
        <f>"str_"&amp;CONTROL[[#This Row],[VEHIDCODE]]</f>
        <v>str_mu_Coach_Gen4_Horizon_Baggage_Coach</v>
      </c>
    </row>
    <row r="775" spans="1:17">
      <c r="A775" s="2" t="s">
        <v>820</v>
      </c>
      <c r="B775" s="32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s">
        <v>1740</v>
      </c>
      <c r="G775" t="s">
        <v>1786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s="32" t="str">
        <f>"item_"&amp;CONTROL[[#This Row],[VEHIDCODE]]</f>
        <v>item_mu_Coach_Gen4_Bombardier_Bi_level</v>
      </c>
      <c r="Q775" s="32" t="str">
        <f>"str_"&amp;CONTROL[[#This Row],[VEHIDCODE]]</f>
        <v>str_mu_Coach_Gen4_Bombardier_Bi_level</v>
      </c>
    </row>
    <row r="776" spans="1:17">
      <c r="A776" s="2" t="s">
        <v>821</v>
      </c>
      <c r="B776" s="32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s">
        <v>1741</v>
      </c>
      <c r="G776" t="s">
        <v>1786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s="32" t="str">
        <f>"item_"&amp;CONTROL[[#This Row],[VEHIDCODE]]</f>
        <v>item_mu_Coach_Gen5_High_Speed_Coach</v>
      </c>
      <c r="Q776" s="32" t="str">
        <f>"str_"&amp;CONTROL[[#This Row],[VEHIDCODE]]</f>
        <v>str_mu_Coach_Gen5_High_Speed_Coach</v>
      </c>
    </row>
    <row r="777" spans="1:17">
      <c r="A777" s="2" t="s">
        <v>822</v>
      </c>
      <c r="B777" s="32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s">
        <v>1742</v>
      </c>
      <c r="G777" t="s">
        <v>1786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s="32" t="str">
        <f>"item_"&amp;CONTROL[[#This Row],[VEHIDCODE]]</f>
        <v>item_mu_Coach_Gen5_Modern_Regional_Coach</v>
      </c>
      <c r="Q777" s="32" t="str">
        <f>"str_"&amp;CONTROL[[#This Row],[VEHIDCODE]]</f>
        <v>str_mu_Coach_Gen5_Modern_Regional_Coach</v>
      </c>
    </row>
    <row r="778" spans="1:17">
      <c r="A778" s="2" t="s">
        <v>823</v>
      </c>
      <c r="B778" s="32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s">
        <v>1743</v>
      </c>
      <c r="G778" t="s">
        <v>1786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s="32" t="str">
        <f>"item_"&amp;CONTROL[[#This Row],[VEHIDCODE]]</f>
        <v>item_mu_Coach_Gen5_Modern_Commuter_Coach</v>
      </c>
      <c r="Q778" s="32" t="str">
        <f>"str_"&amp;CONTROL[[#This Row],[VEHIDCODE]]</f>
        <v>str_mu_Coach_Gen5_Modern_Commuter_Coach</v>
      </c>
    </row>
    <row r="779" spans="1:17">
      <c r="A779" s="2" t="s">
        <v>824</v>
      </c>
      <c r="B779" s="32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s">
        <v>1744</v>
      </c>
      <c r="G779" t="s">
        <v>1786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s="32" t="str">
        <f>"item_"&amp;CONTROL[[#This Row],[VEHIDCODE]]</f>
        <v>item_mu_Coach_Gen5_Modern_Double_Decker_Coach</v>
      </c>
      <c r="Q779" s="32" t="str">
        <f>"str_"&amp;CONTROL[[#This Row],[VEHIDCODE]]</f>
        <v>str_mu_Coach_Gen5_Modern_Double_Decker_Coach</v>
      </c>
    </row>
    <row r="780" spans="1:17">
      <c r="A780" s="2" t="s">
        <v>825</v>
      </c>
      <c r="B780" s="32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s">
        <v>1745</v>
      </c>
      <c r="G780" t="s">
        <v>1786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s="32" t="str">
        <f>"item_"&amp;CONTROL[[#This Row],[VEHIDCODE]]</f>
        <v>item_mu_Coach_Gen5_High_Speed_Double_Decker_IC2000</v>
      </c>
      <c r="Q780" s="32" t="str">
        <f>"str_"&amp;CONTROL[[#This Row],[VEHIDCODE]]</f>
        <v>str_mu_Coach_Gen5_High_Speed_Double_Decker_IC2000</v>
      </c>
    </row>
    <row r="781" spans="1:17">
      <c r="A781" s="2" t="s">
        <v>826</v>
      </c>
      <c r="B781" s="32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s">
        <v>1746</v>
      </c>
      <c r="G781" t="s">
        <v>1786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s="32" t="str">
        <f>"item_"&amp;CONTROL[[#This Row],[VEHIDCODE]]</f>
        <v>item_mu_Coach_Gen5_High_Speed_Mail_Coach</v>
      </c>
      <c r="Q781" s="32" t="str">
        <f>"str_"&amp;CONTROL[[#This Row],[VEHIDCODE]]</f>
        <v>str_mu_Coach_Gen5_High_Speed_Mail_Coach</v>
      </c>
    </row>
    <row r="782" spans="1:17">
      <c r="A782" s="2" t="s">
        <v>827</v>
      </c>
      <c r="B782" s="3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s">
        <v>1747</v>
      </c>
      <c r="G782" t="s">
        <v>1786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s="32" t="str">
        <f>"item_"&amp;CONTROL[[#This Row],[VEHIDCODE]]</f>
        <v>item_mu_Coach_Gen5_Talgo_Pendular</v>
      </c>
      <c r="Q782" s="32" t="str">
        <f>"str_"&amp;CONTROL[[#This Row],[VEHIDCODE]]</f>
        <v>str_mu_Coach_Gen5_Talgo_Pendular</v>
      </c>
    </row>
    <row r="783" spans="1:17">
      <c r="A783" s="2" t="s">
        <v>828</v>
      </c>
      <c r="B783" s="32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s">
        <v>1748</v>
      </c>
      <c r="G783" t="s">
        <v>1786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s="32" t="str">
        <f>"item_"&amp;CONTROL[[#This Row],[VEHIDCODE]]</f>
        <v>item_mu_Coach_Gen5_Talgo_Pendular_Mail</v>
      </c>
      <c r="Q783" s="32" t="str">
        <f>"str_"&amp;CONTROL[[#This Row],[VEHIDCODE]]</f>
        <v>str_mu_Coach_Gen5_Talgo_Pendular_Mail</v>
      </c>
    </row>
    <row r="784" spans="1:17">
      <c r="A784" s="2" t="s">
        <v>829</v>
      </c>
      <c r="B784" s="32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s">
        <v>1749</v>
      </c>
      <c r="G784" t="s">
        <v>1786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s="32" t="str">
        <f>"item_"&amp;CONTROL[[#This Row],[VEHIDCODE]]</f>
        <v>item_mu_Coach_Gen6_Grand_Voyager_Coach</v>
      </c>
      <c r="Q784" s="32" t="str">
        <f>"str_"&amp;CONTROL[[#This Row],[VEHIDCODE]]</f>
        <v>str_mu_Coach_Gen6_Grand_Voyager_Coach</v>
      </c>
    </row>
    <row r="785" spans="1:17">
      <c r="A785" s="2" t="s">
        <v>830</v>
      </c>
      <c r="B785" s="32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s">
        <v>1750</v>
      </c>
      <c r="G785" t="s">
        <v>1786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s="32" t="str">
        <f>"item_"&amp;CONTROL[[#This Row],[VEHIDCODE]]</f>
        <v>item_mu_Coach_Gen6_Grand_Regio_Coach</v>
      </c>
      <c r="Q785" s="32" t="str">
        <f>"str_"&amp;CONTROL[[#This Row],[VEHIDCODE]]</f>
        <v>str_mu_Coach_Gen6_Grand_Regio_Coach</v>
      </c>
    </row>
    <row r="786" spans="1:17">
      <c r="A786" s="2" t="s">
        <v>831</v>
      </c>
      <c r="B786" s="32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s">
        <v>1751</v>
      </c>
      <c r="G786" t="s">
        <v>1786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s="32" t="str">
        <f>"item_"&amp;CONTROL[[#This Row],[VEHIDCODE]]</f>
        <v>item_mu_Coach_Gen6_Metropolis_Coach</v>
      </c>
      <c r="Q786" s="32" t="str">
        <f>"str_"&amp;CONTROL[[#This Row],[VEHIDCODE]]</f>
        <v>str_mu_Coach_Gen6_Metropolis_Coach</v>
      </c>
    </row>
    <row r="787" spans="1:17">
      <c r="A787" s="2" t="s">
        <v>832</v>
      </c>
      <c r="B787" s="32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s">
        <v>1752</v>
      </c>
      <c r="G787" t="s">
        <v>1786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s="32" t="str">
        <f>"item_"&amp;CONTROL[[#This Row],[VEHIDCODE]]</f>
        <v>item_mu_Coach_Gen6_Speedmail_Coach</v>
      </c>
      <c r="Q787" s="32" t="str">
        <f>"str_"&amp;CONTROL[[#This Row],[VEHIDCODE]]</f>
        <v>str_mu_Coach_Gen6_Speedmail_Coach</v>
      </c>
    </row>
    <row r="788" spans="1:17">
      <c r="A788" s="2" t="s">
        <v>833</v>
      </c>
      <c r="B788" s="32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s">
        <v>1753</v>
      </c>
      <c r="G788" t="s">
        <v>1786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s="32" t="str">
        <f>"item_"&amp;CONTROL[[#This Row],[VEHIDCODE]]</f>
        <v>item_mu_Coach_Gen6_Super_Regio_Coach</v>
      </c>
      <c r="Q788" s="32" t="str">
        <f>"str_"&amp;CONTROL[[#This Row],[VEHIDCODE]]</f>
        <v>str_mu_Coach_Gen6_Super_Regio_Coach</v>
      </c>
    </row>
    <row r="789" spans="1:17">
      <c r="A789" s="2" t="s">
        <v>834</v>
      </c>
      <c r="B789" s="32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s">
        <v>1754</v>
      </c>
      <c r="G789" t="s">
        <v>1786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s="32" t="str">
        <f>"item_"&amp;CONTROL[[#This Row],[VEHIDCODE]]</f>
        <v>item_mu_Coach_Gen6_Super_Voyager_Coach</v>
      </c>
      <c r="Q789" s="32" t="str">
        <f>"str_"&amp;CONTROL[[#This Row],[VEHIDCODE]]</f>
        <v>str_mu_Coach_Gen6_Super_Voyager_Coach</v>
      </c>
    </row>
    <row r="790" spans="1:17">
      <c r="A790" t="s">
        <v>1790</v>
      </c>
      <c r="B790" s="32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s">
        <v>1791</v>
      </c>
      <c r="G790" t="s">
        <v>1786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s="32" t="str">
        <f>"item_"&amp;CONTROL[[#This Row],[VEHIDCODE]]</f>
        <v>item_diesel_Gabon_Alsthom_AD30B</v>
      </c>
      <c r="Q790" s="32" t="str">
        <f>"str_"&amp;CONTROL[[#This Row],[VEHIDCODE]]</f>
        <v>str_diesel_Gabon_Alsthom_AD30B</v>
      </c>
    </row>
    <row r="791" spans="1:17">
      <c r="A791" t="s">
        <v>1793</v>
      </c>
      <c r="B791" s="32" t="str">
        <f>_xlfn.TEXTAFTER(CONTROL[[#This Row],[VEHIDCODE]],"_")</f>
        <v>South_Africa_Katanga_Mikado_2_8_2</v>
      </c>
      <c r="C791" t="s">
        <v>729</v>
      </c>
      <c r="D791" t="s">
        <v>947</v>
      </c>
      <c r="E791">
        <v>4117</v>
      </c>
      <c r="F791" t="s">
        <v>1792</v>
      </c>
      <c r="G791" t="s">
        <v>2475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Row],[VEHIDCODE]],REGIONS[VEHIDCODE],0))</f>
        <v>1</v>
      </c>
      <c r="L791" t="b">
        <f>ISNUMBER(_xlfn.XMATCH(CONTROL[[#This Row],[VEHIDCODE]],PROPERTIES[VEHIDCODE],0))</f>
        <v>1</v>
      </c>
      <c r="M791" t="b">
        <f>ISNUMBER(_xlfn.XMATCH(CONTROL[[#This Row],[VEHIDCODE]],CONSTANTS[VEHIDCODE],0))</f>
        <v>1</v>
      </c>
      <c r="N791" t="b">
        <f>ISNUMBER(_xlfn.XMATCH(CONTROL[[#This Row],[VEHIDCODE]],FLAGS[VEHIDCODE],0))</f>
        <v>1</v>
      </c>
      <c r="O791" t="b">
        <f>ISNUMBER(_xlfn.XMATCH(CONTROL[[#This Row],[VEHIDCODE]],GRAPHICS_PROPERTIES[VEHIDCODE],0))</f>
        <v>1</v>
      </c>
      <c r="P791" s="32" t="str">
        <f>"item_"&amp;CONTROL[[#This Row],[VEHIDCODE]]</f>
        <v>item_steam_South_Africa_Katanga_Mikado_2_8_2</v>
      </c>
      <c r="Q791" s="32" t="str">
        <f>"str_"&amp;CONTROL[[#This Row],[VEHIDCODE]]</f>
        <v>str_steam_South_Africa_Katanga_Mikado_2_8_2</v>
      </c>
    </row>
    <row r="792" spans="1:17">
      <c r="A792" s="2" t="s">
        <v>2892</v>
      </c>
      <c r="B792" s="32" t="str">
        <f>_xlfn.TEXTAFTER(CONTROL[[#This Row],[VEHIDCODE]],"_")</f>
        <v>Japan_JR_Freight_M250</v>
      </c>
      <c r="C792" t="s">
        <v>2890</v>
      </c>
      <c r="D792" t="s">
        <v>2887</v>
      </c>
      <c r="E792">
        <v>19000</v>
      </c>
      <c r="F792" t="s">
        <v>2891</v>
      </c>
      <c r="G792" t="s">
        <v>2970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Row],[VEHIDCODE]],REGIONS[VEHIDCODE],0))</f>
        <v>1</v>
      </c>
      <c r="L792" t="b">
        <f>ISNUMBER(_xlfn.XMATCH(CONTROL[[#This Row],[VEHIDCODE]],PROPERTIES[VEHIDCODE],0))</f>
        <v>1</v>
      </c>
      <c r="M792" t="b">
        <f>ISNUMBER(_xlfn.XMATCH(CONTROL[[#This Row],[VEHIDCODE]],CONSTANTS[VEHIDCODE],0))</f>
        <v>1</v>
      </c>
      <c r="N792" t="b">
        <f>ISNUMBER(_xlfn.XMATCH(CONTROL[[#This Row],[VEHIDCODE]],FLAGS[VEHIDCODE],0))</f>
        <v>1</v>
      </c>
      <c r="O792" t="b">
        <f>ISNUMBER(_xlfn.XMATCH(CONTROL[[#This Row],[VEHIDCODE]],GRAPHICS_PROPERTIES[VEHIDCODE],0))</f>
        <v>1</v>
      </c>
      <c r="P792" s="32" t="str">
        <f>"item_"&amp;CONTROL[[#This Row],[VEHIDCODE]]</f>
        <v>item_cargoemu_Japan_JR_Freight_M250</v>
      </c>
      <c r="Q792" s="32" t="str">
        <f>"str_"&amp;CONTROL[[#This Row],[VEHIDCODE]]</f>
        <v>str_cargoemu_Japan_JR_Freight_M250</v>
      </c>
    </row>
  </sheetData>
  <conditionalFormatting sqref="H2:H792">
    <cfRule type="containsText" dxfId="10" priority="1" operator="containsText" text="FALSE">
      <formula>NOT(ISERROR(SEARCH("FALSE",H2)))</formula>
    </cfRule>
  </conditionalFormatting>
  <conditionalFormatting sqref="I1:I792">
    <cfRule type="containsText" dxfId="9" priority="5" operator="containsText" text="FALSE">
      <formula>NOT(ISERROR(SEARCH("FALSE",I1)))</formula>
    </cfRule>
  </conditionalFormatting>
  <conditionalFormatting sqref="J1:Q792 J792:S792 L793:S1048576">
    <cfRule type="cellIs" dxfId="8" priority="3" operator="equal">
      <formula>FALSE</formula>
    </cfRule>
  </conditionalFormatting>
  <dataValidations count="1">
    <dataValidation type="list" allowBlank="1" showInputMessage="1" showErrorMessage="1" sqref="D2:D792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X792"/>
  <sheetViews>
    <sheetView zoomScaleNormal="100" workbookViewId="0">
      <pane xSplit="1" ySplit="1" topLeftCell="B776" activePane="bottomRight" state="frozen"/>
      <selection pane="topRight" activeCell="B1" sqref="B1"/>
      <selection pane="bottomLeft" activeCell="A2" sqref="A2"/>
      <selection pane="bottomRight" activeCell="H788" sqref="H788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hidden="1" customWidth="1"/>
    <col min="10" max="10" width="9.84375" hidden="1" customWidth="1"/>
    <col min="11" max="11" width="11.3046875" hidden="1" customWidth="1"/>
    <col min="12" max="12" width="16.23046875" hidden="1" customWidth="1"/>
    <col min="13" max="13" width="10.07421875" hidden="1" customWidth="1"/>
    <col min="14" max="14" width="4.07421875" hidden="1" customWidth="1"/>
    <col min="15" max="15" width="12" style="34" bestFit="1" customWidth="1"/>
    <col min="16" max="16" width="9.84375" hidden="1" customWidth="1"/>
    <col min="17" max="17" width="9.3046875" bestFit="1" customWidth="1"/>
    <col min="18" max="18" width="8.4609375" style="31" bestFit="1" customWidth="1"/>
    <col min="19" max="19" width="8.4609375" customWidth="1"/>
    <col min="20" max="20" width="8.4609375" style="31" customWidth="1"/>
    <col min="21" max="21" width="8.4609375" customWidth="1"/>
    <col min="22" max="22" width="14.4609375" style="28" hidden="1" customWidth="1"/>
    <col min="23" max="23" width="14.4609375" style="2" bestFit="1" customWidth="1"/>
    <col min="24" max="24" width="11.84375" bestFit="1" customWidth="1"/>
    <col min="25" max="25" width="11.84375" customWidth="1"/>
    <col min="26" max="26" width="11.84375" style="2" customWidth="1"/>
    <col min="27" max="27" width="23" customWidth="1"/>
    <col min="28" max="28" width="36.53515625" customWidth="1"/>
    <col min="29" max="29" width="35.4609375" customWidth="1"/>
    <col min="30" max="30" width="15.61328125" bestFit="1" customWidth="1"/>
    <col min="34" max="34" width="34.4609375" bestFit="1" customWidth="1"/>
    <col min="35" max="35" width="33.3828125" bestFit="1" customWidth="1"/>
    <col min="36" max="36" width="15.61328125" bestFit="1" customWidth="1"/>
    <col min="38" max="38" width="17.84375" bestFit="1" customWidth="1"/>
    <col min="39" max="39" width="12" bestFit="1" customWidth="1"/>
    <col min="40" max="40" width="12.3828125" bestFit="1" customWidth="1"/>
    <col min="41" max="41" width="14.765625" bestFit="1" customWidth="1"/>
    <col min="45" max="46" width="18.23046875" bestFit="1" customWidth="1"/>
    <col min="47" max="47" width="22.3046875" bestFit="1" customWidth="1"/>
    <col min="48" max="48" width="19.15234375" style="10" bestFit="1" customWidth="1"/>
    <col min="49" max="49" width="17.4609375" style="11" bestFit="1" customWidth="1"/>
    <col min="50" max="50" width="10" style="12" bestFit="1" customWidth="1"/>
    <col min="51" max="51" width="24" bestFit="1" customWidth="1"/>
    <col min="52" max="52" width="23.69140625" bestFit="1" customWidth="1"/>
    <col min="53" max="53" width="26.69140625" bestFit="1" customWidth="1"/>
    <col min="54" max="54" width="26.921875" bestFit="1" customWidth="1"/>
    <col min="55" max="55" width="19" bestFit="1" customWidth="1"/>
    <col min="56" max="56" width="25.15234375" bestFit="1" customWidth="1"/>
    <col min="57" max="57" width="20.61328125" bestFit="1" customWidth="1"/>
    <col min="58" max="58" width="11.15234375" customWidth="1"/>
    <col min="59" max="60" width="21.3828125" customWidth="1"/>
    <col min="61" max="61" width="20.921875" bestFit="1" customWidth="1"/>
    <col min="62" max="62" width="18.921875" bestFit="1" customWidth="1"/>
    <col min="64" max="66" width="11.15234375" customWidth="1"/>
    <col min="67" max="67" width="11.53515625" bestFit="1" customWidth="1"/>
  </cols>
  <sheetData>
    <row r="1" spans="1:50" s="1" customFormat="1" ht="44.15" customHeight="1">
      <c r="A1" s="1" t="s">
        <v>0</v>
      </c>
      <c r="B1" s="1" t="s">
        <v>6</v>
      </c>
      <c r="C1" s="1" t="s">
        <v>3</v>
      </c>
      <c r="D1" s="1" t="s">
        <v>1797</v>
      </c>
      <c r="E1" s="1" t="s">
        <v>2310</v>
      </c>
      <c r="F1" s="1" t="s">
        <v>4</v>
      </c>
      <c r="G1" s="1" t="s">
        <v>2</v>
      </c>
      <c r="H1" s="1" t="s">
        <v>5</v>
      </c>
      <c r="I1" s="1" t="s">
        <v>7</v>
      </c>
      <c r="J1" s="1" t="s">
        <v>1</v>
      </c>
      <c r="K1" s="3" t="s">
        <v>8</v>
      </c>
      <c r="L1" s="21" t="s">
        <v>1065</v>
      </c>
      <c r="M1" s="1" t="s">
        <v>9</v>
      </c>
      <c r="N1" s="1" t="s">
        <v>10</v>
      </c>
      <c r="O1" s="33" t="s">
        <v>17</v>
      </c>
      <c r="P1" s="1" t="s">
        <v>11</v>
      </c>
      <c r="Q1" s="1" t="s">
        <v>12</v>
      </c>
      <c r="R1" s="29" t="s">
        <v>2317</v>
      </c>
      <c r="S1" s="29" t="s">
        <v>2318</v>
      </c>
      <c r="T1" s="29" t="s">
        <v>2319</v>
      </c>
      <c r="U1" s="21" t="s">
        <v>13</v>
      </c>
      <c r="V1" s="5" t="s">
        <v>14</v>
      </c>
      <c r="W1" s="9" t="s">
        <v>15</v>
      </c>
      <c r="X1" s="9" t="s">
        <v>16</v>
      </c>
      <c r="Y1" s="9" t="s">
        <v>1069</v>
      </c>
      <c r="Z1" t="s">
        <v>701</v>
      </c>
      <c r="AA1" s="9" t="s">
        <v>1020</v>
      </c>
      <c r="AB1" s="9" t="s">
        <v>1021</v>
      </c>
      <c r="AC1" s="9" t="s">
        <v>1039</v>
      </c>
      <c r="AD1" s="1" t="s">
        <v>2595</v>
      </c>
    </row>
    <row r="2" spans="1:50">
      <c r="A2" s="2" t="s">
        <v>751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19</v>
      </c>
      <c r="G2" t="s">
        <v>18</v>
      </c>
      <c r="H2">
        <v>1</v>
      </c>
      <c r="I2">
        <v>8</v>
      </c>
      <c r="J2">
        <v>8</v>
      </c>
      <c r="K2" s="2" t="s">
        <v>20</v>
      </c>
      <c r="L2">
        <f>_xlfn.XLOOKUP("LOADINGSPEEDDEF_"&amp;PROPERTIES[[#This Row],[LOADINGSPEED]],LOADINGSPEEDDEF[TYPE],LOADINGSPEEDDEF[SPEED])</f>
        <v>0</v>
      </c>
      <c r="M2" t="s">
        <v>21</v>
      </c>
      <c r="N2">
        <v>1</v>
      </c>
      <c r="O2" s="34">
        <v>0</v>
      </c>
      <c r="P2">
        <v>0</v>
      </c>
      <c r="Q2">
        <v>0</v>
      </c>
      <c r="R2" s="31">
        <v>0</v>
      </c>
      <c r="S2" s="30">
        <f>IFERROR(PROPERTIES[[#This Row],[TE_STARTING_KN]]/(PROPERTIES[[#This Row],[WEIGHT]]*9.81),0)</f>
        <v>0</v>
      </c>
      <c r="T2" s="30">
        <v>0.3</v>
      </c>
      <c r="U2" s="27">
        <f>ROUND(IF(IFERROR(PROPERTIES[[#This Row],[TE_COEFFICIENT_CALC]],0)=0,PROPERTIES[[#This Row],[TE_COEFFICIENT_MANUAL]],PROPERTIES[[#This Row],[TE_COEFFICIENT_CALC]]),3)</f>
        <v>0.3</v>
      </c>
      <c r="V2" s="6">
        <v>25</v>
      </c>
      <c r="W2" s="10">
        <v>0</v>
      </c>
      <c r="X2" s="10">
        <v>0</v>
      </c>
      <c r="Y2" s="10"/>
      <c r="Z2" t="str">
        <f>"RUNNING_COST_"&amp;IF(PROPERTIES[[#This Row],[ENGINE_CLASS]]="MAGLEV","ELECTRIC",PROPERTIES[[#This Row],[ENGINE_CLASS]])</f>
        <v>RUNNING_COST_ELECTRIC</v>
      </c>
      <c r="AA2" s="10" t="s">
        <v>990</v>
      </c>
      <c r="AB2" s="10" t="s">
        <v>991</v>
      </c>
      <c r="AC2" t="str">
        <f>SUBSTITUTE(SUBSTITUTE(PROPERTIES[[#This Row],[PURCHASECOST_VALUE]], "PURCHASECOST_", ""), "_VALUE", "")</f>
        <v>MAGLEVMU</v>
      </c>
      <c r="AD2" s="2" t="b">
        <v>0</v>
      </c>
      <c r="AV2"/>
      <c r="AW2"/>
      <c r="AX2"/>
    </row>
    <row r="3" spans="1:50">
      <c r="A3" s="2" t="s">
        <v>752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19</v>
      </c>
      <c r="G3" t="s">
        <v>18</v>
      </c>
      <c r="H3">
        <v>1</v>
      </c>
      <c r="I3">
        <v>8</v>
      </c>
      <c r="J3">
        <v>8</v>
      </c>
      <c r="K3" s="2" t="s">
        <v>20</v>
      </c>
      <c r="L3">
        <f>_xlfn.XLOOKUP("LOADINGSPEEDDEF_"&amp;PROPERTIES[[#This Row],[LOADINGSPEED]],LOADINGSPEEDDEF[TYPE],LOADINGSPEEDDEF[SPEED])</f>
        <v>0</v>
      </c>
      <c r="M3" t="s">
        <v>21</v>
      </c>
      <c r="N3">
        <v>1</v>
      </c>
      <c r="O3" s="34">
        <v>0</v>
      </c>
      <c r="P3">
        <v>0</v>
      </c>
      <c r="Q3">
        <v>0</v>
      </c>
      <c r="R3" s="31">
        <v>0</v>
      </c>
      <c r="S3" s="30">
        <f>IFERROR(PROPERTIES[[#This Row],[TE_STARTING_KN]]/(PROPERTIES[[#This Row],[WEIGHT]]*9.81),0)</f>
        <v>0</v>
      </c>
      <c r="T3" s="30">
        <v>0.3</v>
      </c>
      <c r="U3" s="27">
        <f>ROUND(IF(IFERROR(PROPERTIES[[#This Row],[TE_COEFFICIENT_CALC]],0)=0,PROPERTIES[[#This Row],[TE_COEFFICIENT_MANUAL]],PROPERTIES[[#This Row],[TE_COEFFICIENT_CALC]]),3)</f>
        <v>0.3</v>
      </c>
      <c r="V3" s="6">
        <v>25</v>
      </c>
      <c r="W3" s="10">
        <v>0</v>
      </c>
      <c r="X3" s="10">
        <v>0</v>
      </c>
      <c r="Y3" s="10"/>
      <c r="Z3" t="str">
        <f>"RUNNING_COST_"&amp;IF(PROPERTIES[[#This Row],[ENGINE_CLASS]]="MAGLEV","ELECTRIC",PROPERTIES[[#This Row],[ENGINE_CLASS]])</f>
        <v>RUNNING_COST_ELECTRIC</v>
      </c>
      <c r="AA3" s="10" t="s">
        <v>990</v>
      </c>
      <c r="AB3" s="10" t="s">
        <v>991</v>
      </c>
      <c r="AC3" s="10" t="str">
        <f>SUBSTITUTE(SUBSTITUTE(PROPERTIES[[#This Row],[PURCHASECOST_VALUE]], "PURCHASECOST_", ""), "_VALUE", "")</f>
        <v>MAGLEVMU</v>
      </c>
      <c r="AD3" s="2" t="b">
        <v>0</v>
      </c>
      <c r="AV3"/>
      <c r="AW3"/>
      <c r="AX3"/>
    </row>
    <row r="4" spans="1:50">
      <c r="A4" s="2" t="s">
        <v>22</v>
      </c>
      <c r="B4">
        <v>1903</v>
      </c>
      <c r="C4">
        <v>0</v>
      </c>
      <c r="D4" t="s">
        <v>1809</v>
      </c>
      <c r="E4" t="str">
        <f>_xlfn.XLOOKUP(PROPERTIES[[#This Row],[COUNTRY]],COUNTRIES[COUNTRY_DESCRIPTION],COUNTRIES[COUNTRY_LABEL],"")</f>
        <v>AT</v>
      </c>
      <c r="F4" t="s">
        <v>23</v>
      </c>
      <c r="G4" t="s">
        <v>18</v>
      </c>
      <c r="H4">
        <v>22</v>
      </c>
      <c r="I4">
        <v>5</v>
      </c>
      <c r="J4">
        <v>5</v>
      </c>
      <c r="K4" s="2" t="s">
        <v>24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4">
        <v>8</v>
      </c>
      <c r="P4">
        <v>39</v>
      </c>
      <c r="Q4">
        <v>35</v>
      </c>
      <c r="R4" s="31">
        <v>0</v>
      </c>
      <c r="S4" s="30">
        <f>IFERROR(PROPERTIES[[#This Row],[TE_STARTING_KN]]/(PROPERTIES[[#This Row],[WEIGHT]]*9.81),0)</f>
        <v>0</v>
      </c>
      <c r="T4" s="30">
        <v>0.18</v>
      </c>
      <c r="U4" s="27">
        <f>ROUND(IF(IFERROR(PROPERTIES[[#This Row],[TE_COEFFICIENT_CALC]],0)=0,PROPERTIES[[#This Row],[TE_COEFFICIENT_MANUAL]],PROPERTIES[[#This Row],[TE_COEFFICIENT_CALC]]),3)</f>
        <v>0.18</v>
      </c>
      <c r="V4" s="6">
        <v>15</v>
      </c>
      <c r="W4" s="10">
        <v>0</v>
      </c>
      <c r="X4" s="10">
        <v>0</v>
      </c>
      <c r="Y4" s="10"/>
      <c r="Z4" t="str">
        <f>"RUNNING_COST_"&amp;IF(PROPERTIES[[#This Row],[ENGINE_CLASS]]="MAGLEV","ELECTRIC",PROPERTIES[[#This Row],[ENGINE_CLASS]])</f>
        <v>RUNNING_COST_STEAM</v>
      </c>
      <c r="AA4" s="10" t="s">
        <v>992</v>
      </c>
      <c r="AB4" s="10" t="s">
        <v>993</v>
      </c>
      <c r="AC4" s="10" t="str">
        <f>SUBSTITUTE(SUBSTITUTE(PROPERTIES[[#This Row],[PURCHASECOST_VALUE]], "PURCHASECOST_", ""), "_VALUE", "")</f>
        <v>STEAMRAILBUS</v>
      </c>
      <c r="AD4" s="2" t="b">
        <v>0</v>
      </c>
      <c r="AV4"/>
      <c r="AW4"/>
      <c r="AX4"/>
    </row>
    <row r="5" spans="1:50">
      <c r="A5" s="2" t="s">
        <v>25</v>
      </c>
      <c r="B5">
        <v>1906</v>
      </c>
      <c r="C5">
        <v>0</v>
      </c>
      <c r="D5" t="s">
        <v>1906</v>
      </c>
      <c r="E5" t="str">
        <f>_xlfn.XLOOKUP(PROPERTIES[[#This Row],[COUNTRY]],COUNTRIES[COUNTRY_DESCRIPTION],COUNTRIES[COUNTRY_LABEL],"")</f>
        <v>IT</v>
      </c>
      <c r="F5" t="s">
        <v>23</v>
      </c>
      <c r="G5" t="s">
        <v>18</v>
      </c>
      <c r="H5">
        <v>86</v>
      </c>
      <c r="I5">
        <v>8</v>
      </c>
      <c r="J5">
        <v>8</v>
      </c>
      <c r="K5" s="2" t="s">
        <v>24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4">
        <v>47</v>
      </c>
      <c r="P5">
        <v>170</v>
      </c>
      <c r="Q5">
        <v>55</v>
      </c>
      <c r="R5" s="31">
        <v>0</v>
      </c>
      <c r="S5" s="30">
        <f>IFERROR(PROPERTIES[[#This Row],[TE_STARTING_KN]]/(PROPERTIES[[#This Row],[WEIGHT]]*9.81),0)</f>
        <v>0</v>
      </c>
      <c r="T5" s="30">
        <v>0.08</v>
      </c>
      <c r="U5" s="27">
        <f>ROUND(IF(IFERROR(PROPERTIES[[#This Row],[TE_COEFFICIENT_CALC]],0)=0,PROPERTIES[[#This Row],[TE_COEFFICIENT_MANUAL]],PROPERTIES[[#This Row],[TE_COEFFICIENT_CALC]]),3)</f>
        <v>0.08</v>
      </c>
      <c r="V5" s="6">
        <v>15</v>
      </c>
      <c r="W5" s="10">
        <v>0</v>
      </c>
      <c r="X5" s="10">
        <v>0</v>
      </c>
      <c r="Y5" s="10"/>
      <c r="Z5" t="str">
        <f>"RUNNING_COST_"&amp;IF(PROPERTIES[[#This Row],[ENGINE_CLASS]]="MAGLEV","ELECTRIC",PROPERTIES[[#This Row],[ENGINE_CLASS]])</f>
        <v>RUNNING_COST_STEAM</v>
      </c>
      <c r="AA5" s="10" t="s">
        <v>992</v>
      </c>
      <c r="AB5" s="10" t="s">
        <v>993</v>
      </c>
      <c r="AC5" s="10" t="str">
        <f>SUBSTITUTE(SUBSTITUTE(PROPERTIES[[#This Row],[PURCHASECOST_VALUE]], "PURCHASECOST_", ""), "_VALUE", "")</f>
        <v>STEAMRAILBUS</v>
      </c>
      <c r="AD5" s="2" t="b">
        <v>0</v>
      </c>
      <c r="AV5"/>
      <c r="AW5"/>
      <c r="AX5"/>
    </row>
    <row r="6" spans="1:50">
      <c r="A6" s="2" t="s">
        <v>26</v>
      </c>
      <c r="B6">
        <v>1883</v>
      </c>
      <c r="C6">
        <v>0</v>
      </c>
      <c r="D6" t="s">
        <v>1810</v>
      </c>
      <c r="E6" t="str">
        <f>_xlfn.XLOOKUP(PROPERTIES[[#This Row],[COUNTRY]],COUNTRIES[COUNTRY_DESCRIPTION],COUNTRIES[COUNTRY_LABEL],"")</f>
        <v>AU</v>
      </c>
      <c r="F6" t="s">
        <v>23</v>
      </c>
      <c r="G6" t="s">
        <v>18</v>
      </c>
      <c r="H6">
        <v>42</v>
      </c>
      <c r="I6">
        <v>6</v>
      </c>
      <c r="J6">
        <v>6</v>
      </c>
      <c r="K6" s="2" t="s">
        <v>24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4">
        <v>15</v>
      </c>
      <c r="P6">
        <v>40</v>
      </c>
      <c r="Q6">
        <v>48</v>
      </c>
      <c r="R6" s="31">
        <v>16</v>
      </c>
      <c r="S6" s="30">
        <f>IFERROR(PROPERTIES[[#This Row],[TE_STARTING_KN]]/(PROPERTIES[[#This Row],[WEIGHT]]*9.81),0)</f>
        <v>0.10873258579680598</v>
      </c>
      <c r="T6" s="30">
        <v>0.34</v>
      </c>
      <c r="U6" s="27">
        <f>ROUND(IF(IFERROR(PROPERTIES[[#This Row],[TE_COEFFICIENT_CALC]],0)=0,PROPERTIES[[#This Row],[TE_COEFFICIENT_MANUAL]],PROPERTIES[[#This Row],[TE_COEFFICIENT_CALC]]),3)</f>
        <v>0.109</v>
      </c>
      <c r="V6" s="6">
        <v>15</v>
      </c>
      <c r="W6" s="10">
        <v>0</v>
      </c>
      <c r="X6" s="10">
        <v>0</v>
      </c>
      <c r="Y6" s="10"/>
      <c r="Z6" t="str">
        <f>"RUNNING_COST_"&amp;IF(PROPERTIES[[#This Row],[ENGINE_CLASS]]="MAGLEV","ELECTRIC",PROPERTIES[[#This Row],[ENGINE_CLASS]])</f>
        <v>RUNNING_COST_STEAM</v>
      </c>
      <c r="AA6" s="10" t="s">
        <v>992</v>
      </c>
      <c r="AB6" s="10" t="s">
        <v>993</v>
      </c>
      <c r="AC6" s="10" t="str">
        <f>SUBSTITUTE(SUBSTITUTE(PROPERTIES[[#This Row],[PURCHASECOST_VALUE]], "PURCHASECOST_", ""), "_VALUE", "")</f>
        <v>STEAMRAILBUS</v>
      </c>
      <c r="AD6" s="2" t="b">
        <v>0</v>
      </c>
      <c r="AV6"/>
      <c r="AW6"/>
      <c r="AX6"/>
    </row>
    <row r="7" spans="1:50">
      <c r="A7" s="2" t="s">
        <v>27</v>
      </c>
      <c r="B7">
        <v>1902</v>
      </c>
      <c r="C7">
        <v>0</v>
      </c>
      <c r="D7" t="s">
        <v>1840</v>
      </c>
      <c r="E7" t="str">
        <f>_xlfn.XLOOKUP(PROPERTIES[[#This Row],[COUNTRY]],COUNTRIES[COUNTRY_DESCRIPTION],COUNTRIES[COUNTRY_LABEL],"")</f>
        <v>CH</v>
      </c>
      <c r="F7" t="s">
        <v>23</v>
      </c>
      <c r="G7" t="s">
        <v>18</v>
      </c>
      <c r="H7">
        <v>30</v>
      </c>
      <c r="I7">
        <v>5</v>
      </c>
      <c r="J7">
        <v>5</v>
      </c>
      <c r="K7" s="2" t="s">
        <v>24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4">
        <v>21</v>
      </c>
      <c r="P7">
        <v>99</v>
      </c>
      <c r="Q7">
        <v>45</v>
      </c>
      <c r="R7" s="31">
        <v>0</v>
      </c>
      <c r="S7" s="30">
        <f>IFERROR(PROPERTIES[[#This Row],[TE_STARTING_KN]]/(PROPERTIES[[#This Row],[WEIGHT]]*9.81),0)</f>
        <v>0</v>
      </c>
      <c r="T7" s="30">
        <v>0.34</v>
      </c>
      <c r="U7" s="27">
        <f>ROUND(IF(IFERROR(PROPERTIES[[#This Row],[TE_COEFFICIENT_CALC]],0)=0,PROPERTIES[[#This Row],[TE_COEFFICIENT_MANUAL]],PROPERTIES[[#This Row],[TE_COEFFICIENT_CALC]]),3)</f>
        <v>0.34</v>
      </c>
      <c r="V7" s="6">
        <v>15</v>
      </c>
      <c r="W7" s="10">
        <v>0</v>
      </c>
      <c r="X7" s="10">
        <v>0</v>
      </c>
      <c r="Y7" s="10"/>
      <c r="Z7" t="str">
        <f>"RUNNING_COST_"&amp;IF(PROPERTIES[[#This Row],[ENGINE_CLASS]]="MAGLEV","ELECTRIC",PROPERTIES[[#This Row],[ENGINE_CLASS]])</f>
        <v>RUNNING_COST_STEAM</v>
      </c>
      <c r="AA7" s="10" t="s">
        <v>992</v>
      </c>
      <c r="AB7" s="10" t="s">
        <v>993</v>
      </c>
      <c r="AC7" s="10" t="str">
        <f>SUBSTITUTE(SUBSTITUTE(PROPERTIES[[#This Row],[PURCHASECOST_VALUE]], "PURCHASECOST_", ""), "_VALUE", "")</f>
        <v>STEAMRAILBUS</v>
      </c>
      <c r="AD7" s="2" t="b">
        <v>0</v>
      </c>
      <c r="AV7"/>
      <c r="AW7"/>
      <c r="AX7"/>
    </row>
    <row r="8" spans="1:50">
      <c r="A8" s="2" t="s">
        <v>28</v>
      </c>
      <c r="B8">
        <v>1906</v>
      </c>
      <c r="C8">
        <v>0</v>
      </c>
      <c r="D8" t="s">
        <v>1854</v>
      </c>
      <c r="E8" t="str">
        <f>_xlfn.XLOOKUP(PROPERTIES[[#This Row],[COUNTRY]],COUNTRIES[COUNTRY_DESCRIPTION],COUNTRIES[COUNTRY_LABEL],"")</f>
        <v>DE</v>
      </c>
      <c r="F8" t="s">
        <v>23</v>
      </c>
      <c r="G8" t="s">
        <v>18</v>
      </c>
      <c r="H8">
        <v>52</v>
      </c>
      <c r="I8">
        <v>8</v>
      </c>
      <c r="J8">
        <v>8</v>
      </c>
      <c r="K8" s="2" t="s">
        <v>24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4">
        <v>32</v>
      </c>
      <c r="P8">
        <v>195</v>
      </c>
      <c r="Q8">
        <v>50</v>
      </c>
      <c r="R8" s="31">
        <v>0</v>
      </c>
      <c r="S8" s="30">
        <f>IFERROR(PROPERTIES[[#This Row],[TE_STARTING_KN]]/(PROPERTIES[[#This Row],[WEIGHT]]*9.81),0)</f>
        <v>0</v>
      </c>
      <c r="T8" s="30">
        <v>0.34</v>
      </c>
      <c r="U8" s="27">
        <f>ROUND(IF(IFERROR(PROPERTIES[[#This Row],[TE_COEFFICIENT_CALC]],0)=0,PROPERTIES[[#This Row],[TE_COEFFICIENT_MANUAL]],PROPERTIES[[#This Row],[TE_COEFFICIENT_CALC]]),3)</f>
        <v>0.34</v>
      </c>
      <c r="V8" s="6">
        <v>15</v>
      </c>
      <c r="W8" s="10">
        <v>0</v>
      </c>
      <c r="X8" s="10">
        <v>0</v>
      </c>
      <c r="Y8" s="10"/>
      <c r="Z8" t="str">
        <f>"RUNNING_COST_"&amp;IF(PROPERTIES[[#This Row],[ENGINE_CLASS]]="MAGLEV","ELECTRIC",PROPERTIES[[#This Row],[ENGINE_CLASS]])</f>
        <v>RUNNING_COST_STEAM</v>
      </c>
      <c r="AA8" s="10" t="s">
        <v>992</v>
      </c>
      <c r="AB8" s="10" t="s">
        <v>993</v>
      </c>
      <c r="AC8" s="10" t="str">
        <f>SUBSTITUTE(SUBSTITUTE(PROPERTIES[[#This Row],[PURCHASECOST_VALUE]], "PURCHASECOST_", ""), "_VALUE", "")</f>
        <v>STEAMRAILBUS</v>
      </c>
      <c r="AD8" s="2" t="b">
        <v>0</v>
      </c>
      <c r="AV8"/>
      <c r="AW8"/>
      <c r="AX8"/>
    </row>
    <row r="9" spans="1:50">
      <c r="A9" s="2" t="s">
        <v>29</v>
      </c>
      <c r="B9">
        <v>1906</v>
      </c>
      <c r="C9">
        <v>0</v>
      </c>
      <c r="D9" t="s">
        <v>2043</v>
      </c>
      <c r="E9" t="str">
        <f>_xlfn.XLOOKUP(PROPERTIES[[#This Row],[COUNTRY]],COUNTRIES[COUNTRY_DESCRIPTION],COUNTRIES[COUNTRY_LABEL],"")</f>
        <v>ZA</v>
      </c>
      <c r="F9" t="s">
        <v>23</v>
      </c>
      <c r="G9" t="s">
        <v>18</v>
      </c>
      <c r="H9">
        <v>50</v>
      </c>
      <c r="I9">
        <v>8</v>
      </c>
      <c r="J9">
        <v>4</v>
      </c>
      <c r="K9" s="2" t="s">
        <v>24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4">
        <v>48</v>
      </c>
      <c r="P9">
        <v>40</v>
      </c>
      <c r="Q9">
        <v>48</v>
      </c>
      <c r="R9" s="31">
        <v>28.26</v>
      </c>
      <c r="S9" s="30">
        <f>IFERROR(PROPERTIES[[#This Row],[TE_STARTING_KN]]/(PROPERTIES[[#This Row],[WEIGHT]]*9.81),0)</f>
        <v>6.0015290519877681E-2</v>
      </c>
      <c r="T9" s="30">
        <v>0.08</v>
      </c>
      <c r="U9" s="27">
        <f>ROUND(IF(IFERROR(PROPERTIES[[#This Row],[TE_COEFFICIENT_CALC]],0)=0,PROPERTIES[[#This Row],[TE_COEFFICIENT_MANUAL]],PROPERTIES[[#This Row],[TE_COEFFICIENT_CALC]]),3)</f>
        <v>0.06</v>
      </c>
      <c r="V9" s="6">
        <v>15</v>
      </c>
      <c r="W9" s="10">
        <v>0</v>
      </c>
      <c r="X9" s="10">
        <v>2</v>
      </c>
      <c r="Y9" s="10"/>
      <c r="Z9" t="str">
        <f>"RUNNING_COST_"&amp;IF(PROPERTIES[[#This Row],[ENGINE_CLASS]]="MAGLEV","ELECTRIC",PROPERTIES[[#This Row],[ENGINE_CLASS]])</f>
        <v>RUNNING_COST_STEAM</v>
      </c>
      <c r="AA9" s="10" t="s">
        <v>992</v>
      </c>
      <c r="AB9" s="10" t="s">
        <v>993</v>
      </c>
      <c r="AC9" s="10" t="str">
        <f>SUBSTITUTE(SUBSTITUTE(PROPERTIES[[#This Row],[PURCHASECOST_VALUE]], "PURCHASECOST_", ""), "_VALUE", "")</f>
        <v>STEAMRAILBUS</v>
      </c>
      <c r="AD9" s="2" t="b">
        <v>0</v>
      </c>
      <c r="AV9"/>
      <c r="AW9"/>
      <c r="AX9"/>
    </row>
    <row r="10" spans="1:50">
      <c r="A10" s="2" t="s">
        <v>30</v>
      </c>
      <c r="B10">
        <v>1912</v>
      </c>
      <c r="C10">
        <v>0</v>
      </c>
      <c r="D10" t="s">
        <v>1810</v>
      </c>
      <c r="E10" t="str">
        <f>_xlfn.XLOOKUP(PROPERTIES[[#This Row],[COUNTRY]],COUNTRIES[COUNTRY_DESCRIPTION],COUNTRIES[COUNTRY_LABEL],"")</f>
        <v>AU</v>
      </c>
      <c r="F10" t="s">
        <v>23</v>
      </c>
      <c r="G10" t="s">
        <v>18</v>
      </c>
      <c r="H10">
        <v>32</v>
      </c>
      <c r="I10">
        <v>6</v>
      </c>
      <c r="J10">
        <v>6</v>
      </c>
      <c r="K10" s="2" t="s">
        <v>24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4">
        <v>42</v>
      </c>
      <c r="P10">
        <v>91</v>
      </c>
      <c r="Q10">
        <v>55</v>
      </c>
      <c r="R10" s="31">
        <v>0</v>
      </c>
      <c r="S10" s="30">
        <f>IFERROR(PROPERTIES[[#This Row],[TE_STARTING_KN]]/(PROPERTIES[[#This Row],[WEIGHT]]*9.81),0)</f>
        <v>0</v>
      </c>
      <c r="T10" s="30">
        <v>0.14000000000000001</v>
      </c>
      <c r="U10" s="27">
        <f>ROUND(IF(IFERROR(PROPERTIES[[#This Row],[TE_COEFFICIENT_CALC]],0)=0,PROPERTIES[[#This Row],[TE_COEFFICIENT_MANUAL]],PROPERTIES[[#This Row],[TE_COEFFICIENT_CALC]]),3)</f>
        <v>0.14000000000000001</v>
      </c>
      <c r="V10" s="6">
        <v>15</v>
      </c>
      <c r="W10" s="10">
        <v>0</v>
      </c>
      <c r="X10" s="10">
        <v>0</v>
      </c>
      <c r="Y10" s="10"/>
      <c r="Z10" t="str">
        <f>"RUNNING_COST_"&amp;IF(PROPERTIES[[#This Row],[ENGINE_CLASS]]="MAGLEV","ELECTRIC",PROPERTIES[[#This Row],[ENGINE_CLASS]])</f>
        <v>RUNNING_COST_STEAM</v>
      </c>
      <c r="AA10" s="10" t="s">
        <v>992</v>
      </c>
      <c r="AB10" s="10" t="s">
        <v>993</v>
      </c>
      <c r="AC10" s="10" t="str">
        <f>SUBSTITUTE(SUBSTITUTE(PROPERTIES[[#This Row],[PURCHASECOST_VALUE]], "PURCHASECOST_", ""), "_VALUE", "")</f>
        <v>STEAMRAILBUS</v>
      </c>
      <c r="AD10" s="2" t="b">
        <v>0</v>
      </c>
      <c r="AV10"/>
      <c r="AW10"/>
      <c r="AX10"/>
    </row>
    <row r="11" spans="1:50">
      <c r="A11" s="2" t="s">
        <v>31</v>
      </c>
      <c r="B11">
        <v>1880</v>
      </c>
      <c r="C11">
        <v>0</v>
      </c>
      <c r="D11" t="s">
        <v>1809</v>
      </c>
      <c r="E11" t="str">
        <f>_xlfn.XLOOKUP(PROPERTIES[[#This Row],[COUNTRY]],COUNTRIES[COUNTRY_DESCRIPTION],COUNTRIES[COUNTRY_LABEL],"")</f>
        <v>AT</v>
      </c>
      <c r="F11" t="s">
        <v>23</v>
      </c>
      <c r="G11" t="s">
        <v>32</v>
      </c>
      <c r="H11">
        <v>14</v>
      </c>
      <c r="I11">
        <v>5</v>
      </c>
      <c r="J11">
        <v>5</v>
      </c>
      <c r="K11" s="2" t="s">
        <v>33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4">
        <v>23</v>
      </c>
      <c r="P11">
        <v>28</v>
      </c>
      <c r="Q11">
        <v>80</v>
      </c>
      <c r="R11" s="31">
        <v>0</v>
      </c>
      <c r="S11" s="30">
        <f>IFERROR(PROPERTIES[[#This Row],[TE_STARTING_KN]]/(PROPERTIES[[#This Row],[WEIGHT]]*9.81),0)</f>
        <v>0</v>
      </c>
      <c r="T11" s="30">
        <v>7.0000000000000007E-2</v>
      </c>
      <c r="U11" s="27">
        <f>ROUND(IF(IFERROR(PROPERTIES[[#This Row],[TE_COEFFICIENT_CALC]],0)=0,PROPERTIES[[#This Row],[TE_COEFFICIENT_MANUAL]],PROPERTIES[[#This Row],[TE_COEFFICIENT_CALC]]),3)</f>
        <v>7.0000000000000007E-2</v>
      </c>
      <c r="V11" s="6">
        <v>15</v>
      </c>
      <c r="W11" s="10">
        <v>0</v>
      </c>
      <c r="X11" s="10">
        <v>0</v>
      </c>
      <c r="Y11" s="10"/>
      <c r="Z11" t="str">
        <f>"RUNNING_COST_"&amp;IF(PROPERTIES[[#This Row],[ENGINE_CLASS]]="MAGLEV","ELECTRIC",PROPERTIES[[#This Row],[ENGINE_CLASS]])</f>
        <v>RUNNING_COST_STEAM</v>
      </c>
      <c r="AA11" s="10" t="s">
        <v>992</v>
      </c>
      <c r="AB11" s="10" t="s">
        <v>993</v>
      </c>
      <c r="AC11" s="10" t="str">
        <f>SUBSTITUTE(SUBSTITUTE(PROPERTIES[[#This Row],[PURCHASECOST_VALUE]], "PURCHASECOST_", ""), "_VALUE", "")</f>
        <v>STEAMRAILBUS</v>
      </c>
      <c r="AD11" s="2" t="b">
        <v>0</v>
      </c>
      <c r="AV11"/>
      <c r="AW11"/>
      <c r="AX11"/>
    </row>
    <row r="12" spans="1:50">
      <c r="A12" s="2" t="s">
        <v>34</v>
      </c>
      <c r="B12">
        <v>1922</v>
      </c>
      <c r="C12">
        <v>0</v>
      </c>
      <c r="D12" t="s">
        <v>1810</v>
      </c>
      <c r="E12" t="str">
        <f>_xlfn.XLOOKUP(PROPERTIES[[#This Row],[COUNTRY]],COUNTRIES[COUNTRY_DESCRIPTION],COUNTRIES[COUNTRY_LABEL],"")</f>
        <v>AU</v>
      </c>
      <c r="F12" t="s">
        <v>35</v>
      </c>
      <c r="G12" t="s">
        <v>18</v>
      </c>
      <c r="H12">
        <v>37</v>
      </c>
      <c r="I12">
        <v>5</v>
      </c>
      <c r="J12">
        <v>5</v>
      </c>
      <c r="K12" s="2" t="s">
        <v>24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4">
        <v>24</v>
      </c>
      <c r="P12">
        <v>45</v>
      </c>
      <c r="Q12">
        <v>50</v>
      </c>
      <c r="R12" s="31">
        <v>0</v>
      </c>
      <c r="S12" s="30">
        <f>IFERROR(PROPERTIES[[#This Row],[TE_STARTING_KN]]/(PROPERTIES[[#This Row],[WEIGHT]]*9.81),0)</f>
        <v>0</v>
      </c>
      <c r="T12" s="30">
        <v>0.1</v>
      </c>
      <c r="U12" s="27">
        <f>ROUND(IF(IFERROR(PROPERTIES[[#This Row],[TE_COEFFICIENT_CALC]],0)=0,PROPERTIES[[#This Row],[TE_COEFFICIENT_MANUAL]],PROPERTIES[[#This Row],[TE_COEFFICIENT_CALC]]),3)</f>
        <v>0.1</v>
      </c>
      <c r="V12" s="6">
        <v>15</v>
      </c>
      <c r="W12" s="10">
        <v>0</v>
      </c>
      <c r="X12" s="10">
        <v>0</v>
      </c>
      <c r="Y12" s="10"/>
      <c r="Z12" t="str">
        <f>"RUNNING_COST_"&amp;IF(PROPERTIES[[#This Row],[ENGINE_CLASS]]="MAGLEV","ELECTRIC",PROPERTIES[[#This Row],[ENGINE_CLASS]])</f>
        <v>RUNNING_COST_DIESEL</v>
      </c>
      <c r="AA12" s="10" t="s">
        <v>994</v>
      </c>
      <c r="AB12" s="10" t="s">
        <v>995</v>
      </c>
      <c r="AC12" s="10" t="str">
        <f>SUBSTITUTE(SUBSTITUTE(PROPERTIES[[#This Row],[PURCHASECOST_VALUE]], "PURCHASECOST_", ""), "_VALUE", "")</f>
        <v>DIESELRAILBUS</v>
      </c>
      <c r="AD12" s="2" t="b">
        <v>0</v>
      </c>
      <c r="AV12"/>
      <c r="AW12"/>
      <c r="AX12"/>
    </row>
    <row r="13" spans="1:50">
      <c r="A13" s="2" t="s">
        <v>36</v>
      </c>
      <c r="B13">
        <v>1932</v>
      </c>
      <c r="C13">
        <v>0</v>
      </c>
      <c r="D13" t="s">
        <v>1854</v>
      </c>
      <c r="E13" t="str">
        <f>_xlfn.XLOOKUP(PROPERTIES[[#This Row],[COUNTRY]],COUNTRIES[COUNTRY_DESCRIPTION],COUNTRIES[COUNTRY_LABEL],"")</f>
        <v>DE</v>
      </c>
      <c r="F13" t="s">
        <v>35</v>
      </c>
      <c r="G13" t="s">
        <v>18</v>
      </c>
      <c r="H13">
        <v>24</v>
      </c>
      <c r="I13">
        <v>6</v>
      </c>
      <c r="J13">
        <v>6</v>
      </c>
      <c r="K13" s="2" t="s">
        <v>24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4">
        <v>6</v>
      </c>
      <c r="P13">
        <v>38</v>
      </c>
      <c r="Q13">
        <v>56</v>
      </c>
      <c r="R13" s="31">
        <v>0</v>
      </c>
      <c r="S13" s="30">
        <f>IFERROR(PROPERTIES[[#This Row],[TE_STARTING_KN]]/(PROPERTIES[[#This Row],[WEIGHT]]*9.81),0)</f>
        <v>0</v>
      </c>
      <c r="T13" s="30">
        <v>0.5</v>
      </c>
      <c r="U13" s="27">
        <f>ROUND(IF(IFERROR(PROPERTIES[[#This Row],[TE_COEFFICIENT_CALC]],0)=0,PROPERTIES[[#This Row],[TE_COEFFICIENT_MANUAL]],PROPERTIES[[#This Row],[TE_COEFFICIENT_CALC]]),3)</f>
        <v>0.5</v>
      </c>
      <c r="V13" s="6">
        <v>15</v>
      </c>
      <c r="W13" s="10">
        <v>0</v>
      </c>
      <c r="X13" s="10">
        <v>0</v>
      </c>
      <c r="Y13" s="10"/>
      <c r="Z13" t="str">
        <f>"RUNNING_COST_"&amp;IF(PROPERTIES[[#This Row],[ENGINE_CLASS]]="MAGLEV","ELECTRIC",PROPERTIES[[#This Row],[ENGINE_CLASS]])</f>
        <v>RUNNING_COST_DIESEL</v>
      </c>
      <c r="AA13" s="10" t="s">
        <v>994</v>
      </c>
      <c r="AB13" s="10" t="s">
        <v>995</v>
      </c>
      <c r="AC13" s="10" t="str">
        <f>SUBSTITUTE(SUBSTITUTE(PROPERTIES[[#This Row],[PURCHASECOST_VALUE]], "PURCHASECOST_", ""), "_VALUE", "")</f>
        <v>DIESELRAILBUS</v>
      </c>
      <c r="AD13" s="2" t="b">
        <v>0</v>
      </c>
      <c r="AV13"/>
      <c r="AW13"/>
      <c r="AX13"/>
    </row>
    <row r="14" spans="1:50">
      <c r="A14" s="2" t="s">
        <v>37</v>
      </c>
      <c r="B14">
        <v>1934</v>
      </c>
      <c r="C14">
        <v>0</v>
      </c>
      <c r="D14" t="s">
        <v>1873</v>
      </c>
      <c r="E14" t="str">
        <f>_xlfn.XLOOKUP(PROPERTIES[[#This Row],[COUNTRY]],COUNTRIES[COUNTRY_DESCRIPTION],COUNTRIES[COUNTRY_LABEL],"")</f>
        <v>GB</v>
      </c>
      <c r="F14" t="s">
        <v>35</v>
      </c>
      <c r="G14" t="s">
        <v>18</v>
      </c>
      <c r="H14">
        <v>69</v>
      </c>
      <c r="I14">
        <v>6</v>
      </c>
      <c r="J14">
        <v>6</v>
      </c>
      <c r="K14" s="2" t="s">
        <v>24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4">
        <v>24</v>
      </c>
      <c r="P14">
        <v>130</v>
      </c>
      <c r="Q14">
        <v>101</v>
      </c>
      <c r="R14" s="31">
        <v>0</v>
      </c>
      <c r="S14" s="30">
        <f>IFERROR(PROPERTIES[[#This Row],[TE_STARTING_KN]]/(PROPERTIES[[#This Row],[WEIGHT]]*9.81),0)</f>
        <v>0</v>
      </c>
      <c r="T14" s="30">
        <v>0.27</v>
      </c>
      <c r="U14" s="27">
        <f>ROUND(IF(IFERROR(PROPERTIES[[#This Row],[TE_COEFFICIENT_CALC]],0)=0,PROPERTIES[[#This Row],[TE_COEFFICIENT_MANUAL]],PROPERTIES[[#This Row],[TE_COEFFICIENT_CALC]]),3)</f>
        <v>0.27</v>
      </c>
      <c r="V14" s="6">
        <v>15</v>
      </c>
      <c r="W14" s="10">
        <v>0</v>
      </c>
      <c r="X14" s="10">
        <v>0</v>
      </c>
      <c r="Y14" s="10"/>
      <c r="Z14" t="str">
        <f>"RUNNING_COST_"&amp;IF(PROPERTIES[[#This Row],[ENGINE_CLASS]]="MAGLEV","ELECTRIC",PROPERTIES[[#This Row],[ENGINE_CLASS]])</f>
        <v>RUNNING_COST_DIESEL</v>
      </c>
      <c r="AA14" s="10" t="s">
        <v>994</v>
      </c>
      <c r="AB14" s="10" t="s">
        <v>995</v>
      </c>
      <c r="AC14" s="10" t="str">
        <f>SUBSTITUTE(SUBSTITUTE(PROPERTIES[[#This Row],[PURCHASECOST_VALUE]], "PURCHASECOST_", ""), "_VALUE", "")</f>
        <v>DIESELRAILBUS</v>
      </c>
      <c r="AD14" s="2" t="b">
        <v>0</v>
      </c>
      <c r="AV14"/>
      <c r="AW14"/>
      <c r="AX14"/>
    </row>
    <row r="15" spans="1:50">
      <c r="A15" s="2" t="s">
        <v>38</v>
      </c>
      <c r="B15">
        <v>1935</v>
      </c>
      <c r="C15">
        <v>0</v>
      </c>
      <c r="D15" t="s">
        <v>1809</v>
      </c>
      <c r="E15" t="str">
        <f>_xlfn.XLOOKUP(PROPERTIES[[#This Row],[COUNTRY]],COUNTRIES[COUNTRY_DESCRIPTION],COUNTRIES[COUNTRY_LABEL],"")</f>
        <v>AT</v>
      </c>
      <c r="F15" t="s">
        <v>35</v>
      </c>
      <c r="G15" t="s">
        <v>18</v>
      </c>
      <c r="H15">
        <v>78</v>
      </c>
      <c r="I15">
        <v>8</v>
      </c>
      <c r="J15">
        <v>8</v>
      </c>
      <c r="K15" s="2" t="s">
        <v>24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4">
        <v>59</v>
      </c>
      <c r="P15">
        <v>210</v>
      </c>
      <c r="Q15">
        <v>110</v>
      </c>
      <c r="R15" s="31">
        <v>50</v>
      </c>
      <c r="S15" s="30">
        <f>IFERROR(PROPERTIES[[#This Row],[TE_STARTING_KN]]/(PROPERTIES[[#This Row],[WEIGHT]]*9.81),0)</f>
        <v>8.6387117952970841E-2</v>
      </c>
      <c r="T15" s="30">
        <v>0.08</v>
      </c>
      <c r="U15" s="27">
        <f>ROUND(IF(IFERROR(PROPERTIES[[#This Row],[TE_COEFFICIENT_CALC]],0)=0,PROPERTIES[[#This Row],[TE_COEFFICIENT_MANUAL]],PROPERTIES[[#This Row],[TE_COEFFICIENT_CALC]]),3)</f>
        <v>8.5999999999999993E-2</v>
      </c>
      <c r="V15" s="6">
        <v>15</v>
      </c>
      <c r="W15" s="10">
        <v>0</v>
      </c>
      <c r="X15" s="10">
        <v>0</v>
      </c>
      <c r="Y15" s="10"/>
      <c r="Z15" t="str">
        <f>"RUNNING_COST_"&amp;IF(PROPERTIES[[#This Row],[ENGINE_CLASS]]="MAGLEV","ELECTRIC",PROPERTIES[[#This Row],[ENGINE_CLASS]])</f>
        <v>RUNNING_COST_DIESEL</v>
      </c>
      <c r="AA15" s="10" t="s">
        <v>994</v>
      </c>
      <c r="AB15" s="10" t="s">
        <v>995</v>
      </c>
      <c r="AC15" s="10" t="str">
        <f>SUBSTITUTE(SUBSTITUTE(PROPERTIES[[#This Row],[PURCHASECOST_VALUE]], "PURCHASECOST_", ""), "_VALUE", "")</f>
        <v>DIESELRAILBUS</v>
      </c>
      <c r="AD15" s="2" t="b">
        <v>0</v>
      </c>
      <c r="AV15"/>
      <c r="AW15"/>
      <c r="AX15"/>
    </row>
    <row r="16" spans="1:50">
      <c r="A16" s="2" t="s">
        <v>39</v>
      </c>
      <c r="B16">
        <v>1940</v>
      </c>
      <c r="C16">
        <v>0</v>
      </c>
      <c r="D16" t="s">
        <v>1967</v>
      </c>
      <c r="E16" t="str">
        <f>_xlfn.XLOOKUP(PROPERTIES[[#This Row],[COUNTRY]],COUNTRIES[COUNTRY_DESCRIPTION],COUNTRIES[COUNTRY_LABEL],"")</f>
        <v>NZ</v>
      </c>
      <c r="F16" t="s">
        <v>35</v>
      </c>
      <c r="G16" t="s">
        <v>18</v>
      </c>
      <c r="H16">
        <v>50</v>
      </c>
      <c r="I16">
        <v>8</v>
      </c>
      <c r="J16">
        <v>8</v>
      </c>
      <c r="K16" s="2" t="s">
        <v>24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4">
        <v>30</v>
      </c>
      <c r="P16">
        <f>114*2</f>
        <v>228</v>
      </c>
      <c r="Q16">
        <v>100</v>
      </c>
      <c r="R16" s="31">
        <v>0</v>
      </c>
      <c r="S16" s="30">
        <f>IFERROR(PROPERTIES[[#This Row],[TE_STARTING_KN]]/(PROPERTIES[[#This Row],[WEIGHT]]*9.81),0)</f>
        <v>0</v>
      </c>
      <c r="T16" s="30">
        <v>0.2</v>
      </c>
      <c r="U16" s="27">
        <f>ROUND(IF(IFERROR(PROPERTIES[[#This Row],[TE_COEFFICIENT_CALC]],0)=0,PROPERTIES[[#This Row],[TE_COEFFICIENT_MANUAL]],PROPERTIES[[#This Row],[TE_COEFFICIENT_CALC]]),3)</f>
        <v>0.2</v>
      </c>
      <c r="V16" s="6">
        <v>15</v>
      </c>
      <c r="W16" s="10">
        <v>0</v>
      </c>
      <c r="X16" s="10">
        <v>0</v>
      </c>
      <c r="Y16" s="10"/>
      <c r="Z16" t="str">
        <f>"RUNNING_COST_"&amp;IF(PROPERTIES[[#This Row],[ENGINE_CLASS]]="MAGLEV","ELECTRIC",PROPERTIES[[#This Row],[ENGINE_CLASS]])</f>
        <v>RUNNING_COST_DIESEL</v>
      </c>
      <c r="AA16" s="10" t="s">
        <v>994</v>
      </c>
      <c r="AB16" s="10" t="s">
        <v>995</v>
      </c>
      <c r="AC16" s="10" t="str">
        <f>SUBSTITUTE(SUBSTITUTE(PROPERTIES[[#This Row],[PURCHASECOST_VALUE]], "PURCHASECOST_", ""), "_VALUE", "")</f>
        <v>DIESELRAILBUS</v>
      </c>
      <c r="AD16" s="2" t="b">
        <v>0</v>
      </c>
      <c r="AV16"/>
      <c r="AW16"/>
      <c r="AX16"/>
    </row>
    <row r="17" spans="1:50">
      <c r="A17" s="2" t="s">
        <v>40</v>
      </c>
      <c r="B17">
        <v>1948</v>
      </c>
      <c r="C17">
        <v>0</v>
      </c>
      <c r="D17" t="s">
        <v>1980</v>
      </c>
      <c r="E17" t="str">
        <f>_xlfn.XLOOKUP(PROPERTIES[[#This Row],[COUNTRY]],COUNTRIES[COUNTRY_DESCRIPTION],COUNTRIES[COUNTRY_LABEL],"")</f>
        <v>PT</v>
      </c>
      <c r="F17" t="s">
        <v>35</v>
      </c>
      <c r="G17" t="s">
        <v>18</v>
      </c>
      <c r="H17">
        <v>70</v>
      </c>
      <c r="I17">
        <v>8</v>
      </c>
      <c r="J17">
        <v>8</v>
      </c>
      <c r="K17" s="2" t="s">
        <v>24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4">
        <v>34</v>
      </c>
      <c r="P17">
        <v>350</v>
      </c>
      <c r="Q17">
        <v>100</v>
      </c>
      <c r="R17" s="31">
        <v>0</v>
      </c>
      <c r="S17" s="30">
        <f>IFERROR(PROPERTIES[[#This Row],[TE_STARTING_KN]]/(PROPERTIES[[#This Row],[WEIGHT]]*9.81),0)</f>
        <v>0</v>
      </c>
      <c r="T17" s="30">
        <v>0.12</v>
      </c>
      <c r="U17" s="27">
        <f>ROUND(IF(IFERROR(PROPERTIES[[#This Row],[TE_COEFFICIENT_CALC]],0)=0,PROPERTIES[[#This Row],[TE_COEFFICIENT_MANUAL]],PROPERTIES[[#This Row],[TE_COEFFICIENT_CALC]]),3)</f>
        <v>0.12</v>
      </c>
      <c r="V17" s="6">
        <v>15</v>
      </c>
      <c r="W17" s="10">
        <v>0</v>
      </c>
      <c r="X17" s="10">
        <v>0</v>
      </c>
      <c r="Y17" s="10"/>
      <c r="Z17" t="str">
        <f>"RUNNING_COST_"&amp;IF(PROPERTIES[[#This Row],[ENGINE_CLASS]]="MAGLEV","ELECTRIC",PROPERTIES[[#This Row],[ENGINE_CLASS]])</f>
        <v>RUNNING_COST_DIESEL</v>
      </c>
      <c r="AA17" s="10" t="s">
        <v>994</v>
      </c>
      <c r="AB17" s="10" t="s">
        <v>995</v>
      </c>
      <c r="AC17" s="10" t="str">
        <f>SUBSTITUTE(SUBSTITUTE(PROPERTIES[[#This Row],[PURCHASECOST_VALUE]], "PURCHASECOST_", ""), "_VALUE", "")</f>
        <v>DIESELRAILBUS</v>
      </c>
      <c r="AD17" s="2" t="b">
        <v>0</v>
      </c>
      <c r="AV17"/>
      <c r="AW17"/>
      <c r="AX17"/>
    </row>
    <row r="18" spans="1:50">
      <c r="A18" s="2" t="s">
        <v>41</v>
      </c>
      <c r="B18">
        <v>1949</v>
      </c>
      <c r="C18">
        <v>0</v>
      </c>
      <c r="D18" t="s">
        <v>2029</v>
      </c>
      <c r="E18" t="str">
        <f>_xlfn.XLOOKUP(PROPERTIES[[#This Row],[COUNTRY]],COUNTRIES[COUNTRY_DESCRIPTION],COUNTRIES[COUNTRY_LABEL],"")</f>
        <v>US</v>
      </c>
      <c r="F18" t="s">
        <v>35</v>
      </c>
      <c r="G18" t="s">
        <v>18</v>
      </c>
      <c r="H18">
        <v>90</v>
      </c>
      <c r="I18">
        <v>8</v>
      </c>
      <c r="J18">
        <v>8</v>
      </c>
      <c r="K18" s="2" t="s">
        <v>24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4">
        <v>49</v>
      </c>
      <c r="P18">
        <v>550</v>
      </c>
      <c r="Q18">
        <v>136</v>
      </c>
      <c r="R18" s="31">
        <v>0</v>
      </c>
      <c r="S18" s="30">
        <f>IFERROR(PROPERTIES[[#This Row],[TE_STARTING_KN]]/(PROPERTIES[[#This Row],[WEIGHT]]*9.81),0)</f>
        <v>0</v>
      </c>
      <c r="T18" s="30">
        <v>0.1</v>
      </c>
      <c r="U18" s="27">
        <f>ROUND(IF(IFERROR(PROPERTIES[[#This Row],[TE_COEFFICIENT_CALC]],0)=0,PROPERTIES[[#This Row],[TE_COEFFICIENT_MANUAL]],PROPERTIES[[#This Row],[TE_COEFFICIENT_CALC]]),3)</f>
        <v>0.1</v>
      </c>
      <c r="V18" s="6">
        <v>15</v>
      </c>
      <c r="W18" s="10">
        <v>0</v>
      </c>
      <c r="X18" s="10">
        <v>0</v>
      </c>
      <c r="Y18" s="10"/>
      <c r="Z18" t="str">
        <f>"RUNNING_COST_"&amp;IF(PROPERTIES[[#This Row],[ENGINE_CLASS]]="MAGLEV","ELECTRIC",PROPERTIES[[#This Row],[ENGINE_CLASS]])</f>
        <v>RUNNING_COST_DIESEL</v>
      </c>
      <c r="AA18" s="10" t="s">
        <v>994</v>
      </c>
      <c r="AB18" s="10" t="s">
        <v>995</v>
      </c>
      <c r="AC18" s="10" t="str">
        <f>SUBSTITUTE(SUBSTITUTE(PROPERTIES[[#This Row],[PURCHASECOST_VALUE]], "PURCHASECOST_", ""), "_VALUE", "")</f>
        <v>DIESELRAILBUS</v>
      </c>
      <c r="AD18" s="2" t="b">
        <v>0</v>
      </c>
      <c r="AV18"/>
      <c r="AW18"/>
      <c r="AX18"/>
    </row>
    <row r="19" spans="1:50">
      <c r="A19" s="2" t="s">
        <v>42</v>
      </c>
      <c r="B19">
        <v>1953</v>
      </c>
      <c r="C19">
        <v>0</v>
      </c>
      <c r="D19" t="s">
        <v>2046</v>
      </c>
      <c r="E19" t="str">
        <f>_xlfn.XLOOKUP(PROPERTIES[[#This Row],[COUNTRY]],COUNTRIES[COUNTRY_DESCRIPTION],COUNTRIES[COUNTRY_LABEL],"")</f>
        <v>GDR</v>
      </c>
      <c r="F19" t="s">
        <v>35</v>
      </c>
      <c r="G19" t="s">
        <v>18</v>
      </c>
      <c r="H19">
        <v>56</v>
      </c>
      <c r="I19">
        <v>6</v>
      </c>
      <c r="J19">
        <v>6</v>
      </c>
      <c r="K19" s="2" t="s">
        <v>24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4">
        <v>21</v>
      </c>
      <c r="P19">
        <v>300</v>
      </c>
      <c r="Q19">
        <v>90</v>
      </c>
      <c r="R19" s="31">
        <v>0</v>
      </c>
      <c r="S19" s="30">
        <f>IFERROR(PROPERTIES[[#This Row],[TE_STARTING_KN]]/(PROPERTIES[[#This Row],[WEIGHT]]*9.81),0)</f>
        <v>0</v>
      </c>
      <c r="T19" s="30">
        <v>0.2</v>
      </c>
      <c r="U19" s="27">
        <f>ROUND(IF(IFERROR(PROPERTIES[[#This Row],[TE_COEFFICIENT_CALC]],0)=0,PROPERTIES[[#This Row],[TE_COEFFICIENT_MANUAL]],PROPERTIES[[#This Row],[TE_COEFFICIENT_CALC]]),3)</f>
        <v>0.2</v>
      </c>
      <c r="V19" s="6">
        <v>15</v>
      </c>
      <c r="W19" s="10">
        <v>0</v>
      </c>
      <c r="X19" s="10">
        <v>0</v>
      </c>
      <c r="Y19" s="10"/>
      <c r="Z19" t="str">
        <f>"RUNNING_COST_"&amp;IF(PROPERTIES[[#This Row],[ENGINE_CLASS]]="MAGLEV","ELECTRIC",PROPERTIES[[#This Row],[ENGINE_CLASS]])</f>
        <v>RUNNING_COST_DIESEL</v>
      </c>
      <c r="AA19" s="10" t="s">
        <v>994</v>
      </c>
      <c r="AB19" s="10" t="s">
        <v>995</v>
      </c>
      <c r="AC19" s="10" t="str">
        <f>SUBSTITUTE(SUBSTITUTE(PROPERTIES[[#This Row],[PURCHASECOST_VALUE]], "PURCHASECOST_", ""), "_VALUE", "")</f>
        <v>DIESELRAILBUS</v>
      </c>
      <c r="AD19" s="2" t="b">
        <v>0</v>
      </c>
      <c r="AV19"/>
      <c r="AW19"/>
      <c r="AX19"/>
    </row>
    <row r="20" spans="1:50">
      <c r="A20" s="2" t="s">
        <v>43</v>
      </c>
      <c r="B20">
        <v>1959</v>
      </c>
      <c r="C20">
        <v>0</v>
      </c>
      <c r="D20" t="s">
        <v>2046</v>
      </c>
      <c r="E20" t="str">
        <f>_xlfn.XLOOKUP(PROPERTIES[[#This Row],[COUNTRY]],COUNTRIES[COUNTRY_DESCRIPTION],COUNTRIES[COUNTRY_LABEL],"")</f>
        <v>GDR</v>
      </c>
      <c r="F20" t="s">
        <v>35</v>
      </c>
      <c r="G20" t="s">
        <v>18</v>
      </c>
      <c r="H20">
        <v>108</v>
      </c>
      <c r="I20">
        <v>8</v>
      </c>
      <c r="J20">
        <v>8</v>
      </c>
      <c r="K20" s="2" t="s">
        <v>24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4">
        <v>39</v>
      </c>
      <c r="P20">
        <v>440</v>
      </c>
      <c r="Q20">
        <v>70</v>
      </c>
      <c r="R20" s="31">
        <v>0</v>
      </c>
      <c r="S20" s="30">
        <f>IFERROR(PROPERTIES[[#This Row],[TE_STARTING_KN]]/(PROPERTIES[[#This Row],[WEIGHT]]*9.81),0)</f>
        <v>0</v>
      </c>
      <c r="T20" s="30">
        <v>0.25</v>
      </c>
      <c r="U20" s="27">
        <f>ROUND(IF(IFERROR(PROPERTIES[[#This Row],[TE_COEFFICIENT_CALC]],0)=0,PROPERTIES[[#This Row],[TE_COEFFICIENT_MANUAL]],PROPERTIES[[#This Row],[TE_COEFFICIENT_CALC]]),3)</f>
        <v>0.25</v>
      </c>
      <c r="V20" s="6">
        <v>15</v>
      </c>
      <c r="W20" s="10">
        <v>0</v>
      </c>
      <c r="X20" s="10">
        <v>0</v>
      </c>
      <c r="Y20" s="10"/>
      <c r="Z20" t="str">
        <f>"RUNNING_COST_"&amp;IF(PROPERTIES[[#This Row],[ENGINE_CLASS]]="MAGLEV","ELECTRIC",PROPERTIES[[#This Row],[ENGINE_CLASS]])</f>
        <v>RUNNING_COST_DIESEL</v>
      </c>
      <c r="AA20" s="10" t="s">
        <v>994</v>
      </c>
      <c r="AB20" s="10" t="s">
        <v>995</v>
      </c>
      <c r="AC20" s="10" t="str">
        <f>SUBSTITUTE(SUBSTITUTE(PROPERTIES[[#This Row],[PURCHASECOST_VALUE]], "PURCHASECOST_", ""), "_VALUE", "")</f>
        <v>DIESELRAILBUS</v>
      </c>
      <c r="AD20" s="2" t="b">
        <v>0</v>
      </c>
      <c r="AV20"/>
      <c r="AW20"/>
      <c r="AX20"/>
    </row>
    <row r="21" spans="1:50">
      <c r="A21" s="2" t="s">
        <v>44</v>
      </c>
      <c r="B21">
        <v>1954</v>
      </c>
      <c r="C21">
        <v>0</v>
      </c>
      <c r="D21" t="s">
        <v>1962</v>
      </c>
      <c r="E21" t="str">
        <f>_xlfn.XLOOKUP(PROPERTIES[[#This Row],[COUNTRY]],COUNTRIES[COUNTRY_DESCRIPTION],COUNTRIES[COUNTRY_LABEL],"")</f>
        <v>NL</v>
      </c>
      <c r="F21" t="s">
        <v>35</v>
      </c>
      <c r="G21" t="s">
        <v>18</v>
      </c>
      <c r="H21">
        <v>28</v>
      </c>
      <c r="I21">
        <v>8</v>
      </c>
      <c r="J21">
        <v>8</v>
      </c>
      <c r="K21" s="2" t="s">
        <v>24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4">
        <v>58</v>
      </c>
      <c r="P21">
        <v>285</v>
      </c>
      <c r="Q21">
        <v>125</v>
      </c>
      <c r="R21" s="31">
        <v>0</v>
      </c>
      <c r="S21" s="30">
        <f>IFERROR(PROPERTIES[[#This Row],[TE_STARTING_KN]]/(PROPERTIES[[#This Row],[WEIGHT]]*9.81),0)</f>
        <v>0</v>
      </c>
      <c r="T21" s="30">
        <v>0.12</v>
      </c>
      <c r="U21" s="27">
        <f>ROUND(IF(IFERROR(PROPERTIES[[#This Row],[TE_COEFFICIENT_CALC]],0)=0,PROPERTIES[[#This Row],[TE_COEFFICIENT_MANUAL]],PROPERTIES[[#This Row],[TE_COEFFICIENT_CALC]]),3)</f>
        <v>0.12</v>
      </c>
      <c r="V21" s="6">
        <v>15</v>
      </c>
      <c r="W21" s="10">
        <v>0</v>
      </c>
      <c r="X21" s="10">
        <v>0</v>
      </c>
      <c r="Y21" s="10"/>
      <c r="Z21" t="str">
        <f>"RUNNING_COST_"&amp;IF(PROPERTIES[[#This Row],[ENGINE_CLASS]]="MAGLEV","ELECTRIC",PROPERTIES[[#This Row],[ENGINE_CLASS]])</f>
        <v>RUNNING_COST_DIESEL</v>
      </c>
      <c r="AA21" s="10" t="s">
        <v>994</v>
      </c>
      <c r="AB21" s="10" t="s">
        <v>995</v>
      </c>
      <c r="AC21" s="10" t="str">
        <f>SUBSTITUTE(SUBSTITUTE(PROPERTIES[[#This Row],[PURCHASECOST_VALUE]], "PURCHASECOST_", ""), "_VALUE", "")</f>
        <v>DIESELRAILBUS</v>
      </c>
      <c r="AD21" s="2" t="b">
        <v>0</v>
      </c>
      <c r="AV21"/>
      <c r="AW21"/>
      <c r="AX21"/>
    </row>
    <row r="22" spans="1:50">
      <c r="A22" s="2" t="s">
        <v>45</v>
      </c>
      <c r="B22">
        <v>1984</v>
      </c>
      <c r="C22">
        <v>0</v>
      </c>
      <c r="D22" t="s">
        <v>1962</v>
      </c>
      <c r="E22" t="str">
        <f>_xlfn.XLOOKUP(PROPERTIES[[#This Row],[COUNTRY]],COUNTRIES[COUNTRY_DESCRIPTION],COUNTRIES[COUNTRY_LABEL],"")</f>
        <v>NL</v>
      </c>
      <c r="F22" t="s">
        <v>35</v>
      </c>
      <c r="G22" t="s">
        <v>18</v>
      </c>
      <c r="H22">
        <v>56</v>
      </c>
      <c r="I22">
        <v>8</v>
      </c>
      <c r="J22">
        <v>8</v>
      </c>
      <c r="K22" s="2" t="s">
        <v>24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4">
        <v>37</v>
      </c>
      <c r="P22">
        <v>285</v>
      </c>
      <c r="Q22">
        <v>100</v>
      </c>
      <c r="R22" s="31">
        <v>0</v>
      </c>
      <c r="S22" s="30">
        <f>IFERROR(PROPERTIES[[#This Row],[TE_STARTING_KN]]/(PROPERTIES[[#This Row],[WEIGHT]]*9.81),0)</f>
        <v>0</v>
      </c>
      <c r="T22" s="30">
        <v>0.23</v>
      </c>
      <c r="U22" s="27">
        <f>ROUND(IF(IFERROR(PROPERTIES[[#This Row],[TE_COEFFICIENT_CALC]],0)=0,PROPERTIES[[#This Row],[TE_COEFFICIENT_MANUAL]],PROPERTIES[[#This Row],[TE_COEFFICIENT_CALC]]),3)</f>
        <v>0.23</v>
      </c>
      <c r="V22" s="6">
        <v>15</v>
      </c>
      <c r="W22" s="10">
        <v>0</v>
      </c>
      <c r="X22" s="10">
        <v>0</v>
      </c>
      <c r="Y22" s="10"/>
      <c r="Z22" t="str">
        <f>"RUNNING_COST_"&amp;IF(PROPERTIES[[#This Row],[ENGINE_CLASS]]="MAGLEV","ELECTRIC",PROPERTIES[[#This Row],[ENGINE_CLASS]])</f>
        <v>RUNNING_COST_DIESEL</v>
      </c>
      <c r="AA22" s="10" t="s">
        <v>994</v>
      </c>
      <c r="AB22" s="10" t="s">
        <v>995</v>
      </c>
      <c r="AC22" s="10" t="str">
        <f>SUBSTITUTE(SUBSTITUTE(PROPERTIES[[#This Row],[PURCHASECOST_VALUE]], "PURCHASECOST_", ""), "_VALUE", "")</f>
        <v>DIESELRAILBUS</v>
      </c>
      <c r="AD22" s="2" t="b">
        <v>0</v>
      </c>
      <c r="AV22"/>
      <c r="AW22"/>
      <c r="AX22"/>
    </row>
    <row r="23" spans="1:50">
      <c r="A23" s="2" t="s">
        <v>46</v>
      </c>
      <c r="B23">
        <v>1987</v>
      </c>
      <c r="C23">
        <v>0</v>
      </c>
      <c r="D23" t="s">
        <v>1809</v>
      </c>
      <c r="E23" t="str">
        <f>_xlfn.XLOOKUP(PROPERTIES[[#This Row],[COUNTRY]],COUNTRIES[COUNTRY_DESCRIPTION],COUNTRIES[COUNTRY_LABEL],"")</f>
        <v>AT</v>
      </c>
      <c r="F23" t="s">
        <v>35</v>
      </c>
      <c r="G23" t="s">
        <v>18</v>
      </c>
      <c r="H23">
        <v>62</v>
      </c>
      <c r="I23">
        <v>8</v>
      </c>
      <c r="J23">
        <v>8</v>
      </c>
      <c r="K23" s="2" t="s">
        <v>24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4">
        <v>44</v>
      </c>
      <c r="P23">
        <v>562</v>
      </c>
      <c r="Q23">
        <v>120</v>
      </c>
      <c r="R23" s="31">
        <v>0</v>
      </c>
      <c r="S23" s="30">
        <f>IFERROR(PROPERTIES[[#This Row],[TE_STARTING_KN]]/(PROPERTIES[[#This Row],[WEIGHT]]*9.81),0)</f>
        <v>0</v>
      </c>
      <c r="T23" s="30">
        <v>0.11</v>
      </c>
      <c r="U23" s="27">
        <f>ROUND(IF(IFERROR(PROPERTIES[[#This Row],[TE_COEFFICIENT_CALC]],0)=0,PROPERTIES[[#This Row],[TE_COEFFICIENT_MANUAL]],PROPERTIES[[#This Row],[TE_COEFFICIENT_CALC]]),3)</f>
        <v>0.11</v>
      </c>
      <c r="V23" s="6">
        <v>15</v>
      </c>
      <c r="W23" s="10">
        <v>0</v>
      </c>
      <c r="X23" s="10">
        <v>0</v>
      </c>
      <c r="Y23" s="10"/>
      <c r="Z23" t="str">
        <f>"RUNNING_COST_"&amp;IF(PROPERTIES[[#This Row],[ENGINE_CLASS]]="MAGLEV","ELECTRIC",PROPERTIES[[#This Row],[ENGINE_CLASS]])</f>
        <v>RUNNING_COST_DIESEL</v>
      </c>
      <c r="AA23" s="10" t="s">
        <v>994</v>
      </c>
      <c r="AB23" s="10" t="s">
        <v>995</v>
      </c>
      <c r="AC23" s="10" t="str">
        <f>SUBSTITUTE(SUBSTITUTE(PROPERTIES[[#This Row],[PURCHASECOST_VALUE]], "PURCHASECOST_", ""), "_VALUE", "")</f>
        <v>DIESELRAILBUS</v>
      </c>
      <c r="AD23" s="2" t="b">
        <v>0</v>
      </c>
      <c r="AV23"/>
      <c r="AW23"/>
      <c r="AX23"/>
    </row>
    <row r="24" spans="1:50">
      <c r="A24" s="2" t="s">
        <v>47</v>
      </c>
      <c r="B24">
        <v>1991</v>
      </c>
      <c r="C24">
        <v>0</v>
      </c>
      <c r="D24" t="s">
        <v>1873</v>
      </c>
      <c r="E24" t="str">
        <f>_xlfn.XLOOKUP(PROPERTIES[[#This Row],[COUNTRY]],COUNTRIES[COUNTRY_DESCRIPTION],COUNTRIES[COUNTRY_LABEL],"")</f>
        <v>GB</v>
      </c>
      <c r="F24" t="s">
        <v>35</v>
      </c>
      <c r="G24" t="s">
        <v>18</v>
      </c>
      <c r="H24">
        <v>75</v>
      </c>
      <c r="I24">
        <v>8</v>
      </c>
      <c r="J24">
        <v>8</v>
      </c>
      <c r="K24" s="2" t="s">
        <v>24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4">
        <v>42</v>
      </c>
      <c r="P24">
        <v>285</v>
      </c>
      <c r="Q24">
        <v>120</v>
      </c>
      <c r="R24" s="31">
        <v>0</v>
      </c>
      <c r="S24" s="30">
        <f>IFERROR(PROPERTIES[[#This Row],[TE_STARTING_KN]]/(PROPERTIES[[#This Row],[WEIGHT]]*9.81),0)</f>
        <v>0</v>
      </c>
      <c r="T24" s="30">
        <v>0.1</v>
      </c>
      <c r="U24" s="27">
        <f>ROUND(IF(IFERROR(PROPERTIES[[#This Row],[TE_COEFFICIENT_CALC]],0)=0,PROPERTIES[[#This Row],[TE_COEFFICIENT_MANUAL]],PROPERTIES[[#This Row],[TE_COEFFICIENT_CALC]]),3)</f>
        <v>0.1</v>
      </c>
      <c r="V24" s="6">
        <v>15</v>
      </c>
      <c r="W24" s="10">
        <v>0</v>
      </c>
      <c r="X24" s="10">
        <v>0</v>
      </c>
      <c r="Y24" s="10"/>
      <c r="Z24" t="str">
        <f>"RUNNING_COST_"&amp;IF(PROPERTIES[[#This Row],[ENGINE_CLASS]]="MAGLEV","ELECTRIC",PROPERTIES[[#This Row],[ENGINE_CLASS]])</f>
        <v>RUNNING_COST_DIESEL</v>
      </c>
      <c r="AA24" s="10" t="s">
        <v>994</v>
      </c>
      <c r="AB24" s="10" t="s">
        <v>995</v>
      </c>
      <c r="AC24" s="10" t="str">
        <f>SUBSTITUTE(SUBSTITUTE(PROPERTIES[[#This Row],[PURCHASECOST_VALUE]], "PURCHASECOST_", ""), "_VALUE", "")</f>
        <v>DIESELRAILBUS</v>
      </c>
      <c r="AD24" s="2" t="b">
        <v>0</v>
      </c>
      <c r="AV24"/>
      <c r="AW24"/>
      <c r="AX24"/>
    </row>
    <row r="25" spans="1:50">
      <c r="A25" s="2" t="s">
        <v>48</v>
      </c>
      <c r="B25">
        <v>1996</v>
      </c>
      <c r="C25">
        <v>0</v>
      </c>
      <c r="D25" t="s">
        <v>1853</v>
      </c>
      <c r="E25" t="str">
        <f>_xlfn.XLOOKUP(PROPERTIES[[#This Row],[COUNTRY]],COUNTRIES[COUNTRY_DESCRIPTION],COUNTRIES[COUNTRY_LABEL],"")</f>
        <v>CZ</v>
      </c>
      <c r="F25" t="s">
        <v>35</v>
      </c>
      <c r="G25" t="s">
        <v>18</v>
      </c>
      <c r="H25">
        <v>95</v>
      </c>
      <c r="I25">
        <v>7</v>
      </c>
      <c r="J25">
        <v>7</v>
      </c>
      <c r="K25" s="2" t="s">
        <v>24</v>
      </c>
      <c r="L25">
        <f>_xlfn.XLOOKUP("LOADINGSPEEDDEF_"&amp;PROPERTIES[[#This Row],[LOADINGSPEED]],LOADINGSPEEDDEF[TYPE],LOADINGSPEEDDEF[SPEED])</f>
        <v>40</v>
      </c>
      <c r="M25" t="s">
        <v>21</v>
      </c>
      <c r="N25">
        <v>1</v>
      </c>
      <c r="O25" s="34">
        <v>20</v>
      </c>
      <c r="P25">
        <v>210</v>
      </c>
      <c r="Q25">
        <v>80</v>
      </c>
      <c r="R25" s="31">
        <v>0</v>
      </c>
      <c r="S25" s="30">
        <f>IFERROR(PROPERTIES[[#This Row],[TE_STARTING_KN]]/(PROPERTIES[[#This Row],[WEIGHT]]*9.81),0)</f>
        <v>0</v>
      </c>
      <c r="T25" s="30">
        <v>0.15</v>
      </c>
      <c r="U25" s="27">
        <f>ROUND(IF(IFERROR(PROPERTIES[[#This Row],[TE_COEFFICIENT_CALC]],0)=0,PROPERTIES[[#This Row],[TE_COEFFICIENT_MANUAL]],PROPERTIES[[#This Row],[TE_COEFFICIENT_CALC]]),3)</f>
        <v>0.15</v>
      </c>
      <c r="V25" s="6">
        <v>15</v>
      </c>
      <c r="W25" s="10">
        <v>0</v>
      </c>
      <c r="X25" s="10">
        <v>0</v>
      </c>
      <c r="Y25" s="10"/>
      <c r="Z25" t="str">
        <f>"RUNNING_COST_"&amp;IF(PROPERTIES[[#This Row],[ENGINE_CLASS]]="MAGLEV","ELECTRIC",PROPERTIES[[#This Row],[ENGINE_CLASS]])</f>
        <v>RUNNING_COST_DIESEL</v>
      </c>
      <c r="AA25" s="10" t="s">
        <v>994</v>
      </c>
      <c r="AB25" s="10" t="s">
        <v>995</v>
      </c>
      <c r="AC25" s="10" t="str">
        <f>SUBSTITUTE(SUBSTITUTE(PROPERTIES[[#This Row],[PURCHASECOST_VALUE]], "PURCHASECOST_", ""), "_VALUE", "")</f>
        <v>DIESELRAILBUS</v>
      </c>
      <c r="AD25" s="2" t="b">
        <v>0</v>
      </c>
      <c r="AV25"/>
      <c r="AW25"/>
      <c r="AX25"/>
    </row>
    <row r="26" spans="1:50">
      <c r="A26" s="2" t="s">
        <v>49</v>
      </c>
      <c r="B26">
        <v>1996</v>
      </c>
      <c r="C26">
        <v>0</v>
      </c>
      <c r="D26" t="s">
        <v>1854</v>
      </c>
      <c r="E26" t="str">
        <f>_xlfn.XLOOKUP(PROPERTIES[[#This Row],[COUNTRY]],COUNTRIES[COUNTRY_DESCRIPTION],COUNTRIES[COUNTRY_LABEL],"")</f>
        <v>DE</v>
      </c>
      <c r="F26" t="s">
        <v>35</v>
      </c>
      <c r="G26" t="s">
        <v>18</v>
      </c>
      <c r="H26">
        <v>110</v>
      </c>
      <c r="I26">
        <v>7</v>
      </c>
      <c r="J26">
        <v>7</v>
      </c>
      <c r="K26" s="2" t="s">
        <v>24</v>
      </c>
      <c r="L26">
        <f>_xlfn.XLOOKUP("LOADINGSPEEDDEF_"&amp;PROPERTIES[[#This Row],[LOADINGSPEED]],LOADINGSPEEDDEF[TYPE],LOADINGSPEEDDEF[SPEED])</f>
        <v>40</v>
      </c>
      <c r="M26" t="s">
        <v>21</v>
      </c>
      <c r="N26">
        <v>1</v>
      </c>
      <c r="O26" s="34">
        <v>34</v>
      </c>
      <c r="P26">
        <v>335</v>
      </c>
      <c r="Q26">
        <v>100</v>
      </c>
      <c r="R26" s="31">
        <v>0</v>
      </c>
      <c r="S26" s="30">
        <f>IFERROR(PROPERTIES[[#This Row],[TE_STARTING_KN]]/(PROPERTIES[[#This Row],[WEIGHT]]*9.81),0)</f>
        <v>0</v>
      </c>
      <c r="T26" s="30">
        <v>0.21</v>
      </c>
      <c r="U26" s="27">
        <f>ROUND(IF(IFERROR(PROPERTIES[[#This Row],[TE_COEFFICIENT_CALC]],0)=0,PROPERTIES[[#This Row],[TE_COEFFICIENT_MANUAL]],PROPERTIES[[#This Row],[TE_COEFFICIENT_CALC]]),3)</f>
        <v>0.21</v>
      </c>
      <c r="V26" s="6">
        <v>15</v>
      </c>
      <c r="W26" s="10">
        <v>0</v>
      </c>
      <c r="X26" s="10">
        <v>0</v>
      </c>
      <c r="Y26" s="10"/>
      <c r="Z26" t="str">
        <f>"RUNNING_COST_"&amp;IF(PROPERTIES[[#This Row],[ENGINE_CLASS]]="MAGLEV","ELECTRIC",PROPERTIES[[#This Row],[ENGINE_CLASS]])</f>
        <v>RUNNING_COST_DIESEL</v>
      </c>
      <c r="AA26" s="10" t="s">
        <v>994</v>
      </c>
      <c r="AB26" s="10" t="s">
        <v>995</v>
      </c>
      <c r="AC26" s="10" t="str">
        <f>SUBSTITUTE(SUBSTITUTE(PROPERTIES[[#This Row],[PURCHASECOST_VALUE]], "PURCHASECOST_", ""), "_VALUE", "")</f>
        <v>DIESELRAILBUS</v>
      </c>
      <c r="AD26" s="2" t="b">
        <v>0</v>
      </c>
      <c r="AV26"/>
      <c r="AW26"/>
      <c r="AX26"/>
    </row>
    <row r="27" spans="1:50">
      <c r="A27" s="2" t="s">
        <v>50</v>
      </c>
      <c r="B27">
        <v>1997</v>
      </c>
      <c r="C27">
        <v>0</v>
      </c>
      <c r="D27" t="s">
        <v>1929</v>
      </c>
      <c r="E27" t="str">
        <f>_xlfn.XLOOKUP(PROPERTIES[[#This Row],[COUNTRY]],COUNTRIES[COUNTRY_DESCRIPTION],COUNTRIES[COUNTRY_LABEL],"")</f>
        <v>LT</v>
      </c>
      <c r="F27" t="s">
        <v>35</v>
      </c>
      <c r="G27" t="s">
        <v>18</v>
      </c>
      <c r="H27">
        <v>76</v>
      </c>
      <c r="I27">
        <v>8</v>
      </c>
      <c r="J27">
        <v>8</v>
      </c>
      <c r="K27" s="2" t="s">
        <v>24</v>
      </c>
      <c r="L27">
        <f>_xlfn.XLOOKUP("LOADINGSPEEDDEF_"&amp;PROPERTIES[[#This Row],[LOADINGSPEED]],LOADINGSPEEDDEF[TYPE],LOADINGSPEEDDEF[SPEED])</f>
        <v>40</v>
      </c>
      <c r="M27" t="s">
        <v>21</v>
      </c>
      <c r="N27">
        <v>1</v>
      </c>
      <c r="O27" s="34">
        <v>32</v>
      </c>
      <c r="P27">
        <v>400</v>
      </c>
      <c r="Q27">
        <v>120</v>
      </c>
      <c r="R27" s="31">
        <v>0</v>
      </c>
      <c r="S27" s="30">
        <f>IFERROR(PROPERTIES[[#This Row],[TE_STARTING_KN]]/(PROPERTIES[[#This Row],[WEIGHT]]*9.81),0)</f>
        <v>0</v>
      </c>
      <c r="T27" s="30">
        <v>0.12</v>
      </c>
      <c r="U27" s="27">
        <f>ROUND(IF(IFERROR(PROPERTIES[[#This Row],[TE_COEFFICIENT_CALC]],0)=0,PROPERTIES[[#This Row],[TE_COEFFICIENT_MANUAL]],PROPERTIES[[#This Row],[TE_COEFFICIENT_CALC]]),3)</f>
        <v>0.12</v>
      </c>
      <c r="V27" s="6">
        <v>15</v>
      </c>
      <c r="W27" s="10">
        <v>0</v>
      </c>
      <c r="X27" s="10">
        <v>0</v>
      </c>
      <c r="Y27" s="10"/>
      <c r="Z27" t="str">
        <f>"RUNNING_COST_"&amp;IF(PROPERTIES[[#This Row],[ENGINE_CLASS]]="MAGLEV","ELECTRIC",PROPERTIES[[#This Row],[ENGINE_CLASS]])</f>
        <v>RUNNING_COST_DIESEL</v>
      </c>
      <c r="AA27" s="10" t="s">
        <v>994</v>
      </c>
      <c r="AB27" s="10" t="s">
        <v>995</v>
      </c>
      <c r="AC27" s="10" t="str">
        <f>SUBSTITUTE(SUBSTITUTE(PROPERTIES[[#This Row],[PURCHASECOST_VALUE]], "PURCHASECOST_", ""), "_VALUE", "")</f>
        <v>DIESELRAILBUS</v>
      </c>
      <c r="AD27" s="2" t="b">
        <v>0</v>
      </c>
      <c r="AV27"/>
      <c r="AW27"/>
      <c r="AX27"/>
    </row>
    <row r="28" spans="1:50">
      <c r="A28" s="2" t="s">
        <v>51</v>
      </c>
      <c r="B28">
        <v>1902</v>
      </c>
      <c r="C28">
        <v>0</v>
      </c>
      <c r="D28" t="s">
        <v>1809</v>
      </c>
      <c r="E28" t="str">
        <f>_xlfn.XLOOKUP(PROPERTIES[[#This Row],[COUNTRY]],COUNTRIES[COUNTRY_DESCRIPTION],COUNTRIES[COUNTRY_LABEL],"")</f>
        <v>AT</v>
      </c>
      <c r="F28" t="s">
        <v>35</v>
      </c>
      <c r="G28" t="s">
        <v>18</v>
      </c>
      <c r="H28">
        <v>16</v>
      </c>
      <c r="I28">
        <v>4</v>
      </c>
      <c r="J28">
        <v>4</v>
      </c>
      <c r="K28" s="2" t="s">
        <v>24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4">
        <v>13</v>
      </c>
      <c r="P28">
        <v>55</v>
      </c>
      <c r="Q28">
        <v>35</v>
      </c>
      <c r="R28" s="31">
        <v>0</v>
      </c>
      <c r="S28" s="30">
        <f>IFERROR(PROPERTIES[[#This Row],[TE_STARTING_KN]]/(PROPERTIES[[#This Row],[WEIGHT]]*9.81),0)</f>
        <v>0</v>
      </c>
      <c r="T28" s="30">
        <v>0.34</v>
      </c>
      <c r="U28" s="27">
        <f>ROUND(IF(IFERROR(PROPERTIES[[#This Row],[TE_COEFFICIENT_CALC]],0)=0,PROPERTIES[[#This Row],[TE_COEFFICIENT_MANUAL]],PROPERTIES[[#This Row],[TE_COEFFICIENT_CALC]]),3)</f>
        <v>0.34</v>
      </c>
      <c r="V28" s="6">
        <v>15</v>
      </c>
      <c r="W28" s="10">
        <v>0</v>
      </c>
      <c r="X28" s="10">
        <v>0</v>
      </c>
      <c r="Y28" s="10"/>
      <c r="Z28" t="str">
        <f>"RUNNING_COST_"&amp;IF(PROPERTIES[[#This Row],[ENGINE_CLASS]]="MAGLEV","ELECTRIC",PROPERTIES[[#This Row],[ENGINE_CLASS]])</f>
        <v>RUNNING_COST_DIESEL</v>
      </c>
      <c r="AA28" s="10" t="s">
        <v>994</v>
      </c>
      <c r="AB28" s="10" t="s">
        <v>995</v>
      </c>
      <c r="AC28" s="10" t="str">
        <f>SUBSTITUTE(SUBSTITUTE(PROPERTIES[[#This Row],[PURCHASECOST_VALUE]], "PURCHASECOST_", ""), "_VALUE", "")</f>
        <v>DIESELRAILBUS</v>
      </c>
      <c r="AD28" s="2" t="b">
        <v>0</v>
      </c>
      <c r="AV28"/>
      <c r="AW28"/>
      <c r="AX28"/>
    </row>
    <row r="29" spans="1:50">
      <c r="A29" s="2" t="s">
        <v>52</v>
      </c>
      <c r="B29">
        <v>1909</v>
      </c>
      <c r="C29">
        <v>0</v>
      </c>
      <c r="D29" t="s">
        <v>2029</v>
      </c>
      <c r="E29" t="str">
        <f>_xlfn.XLOOKUP(PROPERTIES[[#This Row],[COUNTRY]],COUNTRIES[COUNTRY_DESCRIPTION],COUNTRIES[COUNTRY_LABEL],"")</f>
        <v>US</v>
      </c>
      <c r="F29" t="s">
        <v>35</v>
      </c>
      <c r="G29" t="s">
        <v>18</v>
      </c>
      <c r="H29">
        <v>84</v>
      </c>
      <c r="I29">
        <v>8</v>
      </c>
      <c r="J29">
        <v>8</v>
      </c>
      <c r="K29" s="2" t="s">
        <v>24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4">
        <v>30</v>
      </c>
      <c r="P29">
        <v>200</v>
      </c>
      <c r="Q29">
        <v>52</v>
      </c>
      <c r="R29" s="31">
        <v>0</v>
      </c>
      <c r="S29" s="30">
        <f>IFERROR(PROPERTIES[[#This Row],[TE_STARTING_KN]]/(PROPERTIES[[#This Row],[WEIGHT]]*9.81),0)</f>
        <v>0</v>
      </c>
      <c r="T29" s="30">
        <v>0.34</v>
      </c>
      <c r="U29" s="27">
        <f>ROUND(IF(IFERROR(PROPERTIES[[#This Row],[TE_COEFFICIENT_CALC]],0)=0,PROPERTIES[[#This Row],[TE_COEFFICIENT_MANUAL]],PROPERTIES[[#This Row],[TE_COEFFICIENT_CALC]]),3)</f>
        <v>0.34</v>
      </c>
      <c r="V29" s="6">
        <v>15</v>
      </c>
      <c r="W29" s="10">
        <v>0</v>
      </c>
      <c r="X29" s="10">
        <v>0</v>
      </c>
      <c r="Y29" s="10"/>
      <c r="Z29" t="str">
        <f>"RUNNING_COST_"&amp;IF(PROPERTIES[[#This Row],[ENGINE_CLASS]]="MAGLEV","ELECTRIC",PROPERTIES[[#This Row],[ENGINE_CLASS]])</f>
        <v>RUNNING_COST_DIESEL</v>
      </c>
      <c r="AA29" s="10" t="s">
        <v>994</v>
      </c>
      <c r="AB29" s="10" t="s">
        <v>995</v>
      </c>
      <c r="AC29" s="10" t="str">
        <f>SUBSTITUTE(SUBSTITUTE(PROPERTIES[[#This Row],[PURCHASECOST_VALUE]], "PURCHASECOST_", ""), "_VALUE", "")</f>
        <v>DIESELRAILBUS</v>
      </c>
      <c r="AD29" s="2" t="b">
        <v>0</v>
      </c>
      <c r="AV29"/>
      <c r="AW29"/>
      <c r="AX29"/>
    </row>
    <row r="30" spans="1:50">
      <c r="A30" s="2" t="s">
        <v>53</v>
      </c>
      <c r="B30">
        <v>1914</v>
      </c>
      <c r="C30">
        <v>0</v>
      </c>
      <c r="D30" t="s">
        <v>1854</v>
      </c>
      <c r="E30" t="str">
        <f>_xlfn.XLOOKUP(PROPERTIES[[#This Row],[COUNTRY]],COUNTRIES[COUNTRY_DESCRIPTION],COUNTRIES[COUNTRY_LABEL],"")</f>
        <v>DE</v>
      </c>
      <c r="F30" t="s">
        <v>35</v>
      </c>
      <c r="G30" t="s">
        <v>18</v>
      </c>
      <c r="H30">
        <v>79</v>
      </c>
      <c r="I30">
        <v>8</v>
      </c>
      <c r="J30">
        <v>4</v>
      </c>
      <c r="K30" s="2" t="s">
        <v>24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4">
        <v>64</v>
      </c>
      <c r="P30">
        <v>200</v>
      </c>
      <c r="Q30">
        <v>70</v>
      </c>
      <c r="R30" s="31">
        <v>0</v>
      </c>
      <c r="S30" s="30">
        <f>IFERROR(PROPERTIES[[#This Row],[TE_STARTING_KN]]/(PROPERTIES[[#This Row],[WEIGHT]]*9.81),0)</f>
        <v>0</v>
      </c>
      <c r="T30" s="30">
        <v>0.34</v>
      </c>
      <c r="U30" s="27">
        <f>ROUND(IF(IFERROR(PROPERTIES[[#This Row],[TE_COEFFICIENT_CALC]],0)=0,PROPERTIES[[#This Row],[TE_COEFFICIENT_MANUAL]],PROPERTIES[[#This Row],[TE_COEFFICIENT_CALC]]),3)</f>
        <v>0.34</v>
      </c>
      <c r="V30" s="6">
        <v>15</v>
      </c>
      <c r="W30" s="10">
        <v>0</v>
      </c>
      <c r="X30" s="10">
        <v>2</v>
      </c>
      <c r="Y30" s="10"/>
      <c r="Z30" t="str">
        <f>"RUNNING_COST_"&amp;IF(PROPERTIES[[#This Row],[ENGINE_CLASS]]="MAGLEV","ELECTRIC",PROPERTIES[[#This Row],[ENGINE_CLASS]])</f>
        <v>RUNNING_COST_DIESEL</v>
      </c>
      <c r="AA30" s="10" t="s">
        <v>994</v>
      </c>
      <c r="AB30" s="10" t="s">
        <v>995</v>
      </c>
      <c r="AC30" s="10" t="str">
        <f>SUBSTITUTE(SUBSTITUTE(PROPERTIES[[#This Row],[PURCHASECOST_VALUE]], "PURCHASECOST_", ""), "_VALUE", "")</f>
        <v>DIESELRAILBUS</v>
      </c>
      <c r="AD30" s="2" t="b">
        <v>0</v>
      </c>
      <c r="AV30"/>
      <c r="AW30"/>
      <c r="AX30"/>
    </row>
    <row r="31" spans="1:50">
      <c r="A31" s="2" t="s">
        <v>54</v>
      </c>
      <c r="B31">
        <v>1921</v>
      </c>
      <c r="C31">
        <v>0</v>
      </c>
      <c r="D31" t="s">
        <v>1873</v>
      </c>
      <c r="E31" t="str">
        <f>_xlfn.XLOOKUP(PROPERTIES[[#This Row],[COUNTRY]],COUNTRIES[COUNTRY_DESCRIPTION],COUNTRIES[COUNTRY_LABEL],"")</f>
        <v>GB</v>
      </c>
      <c r="F31" t="s">
        <v>35</v>
      </c>
      <c r="G31" t="s">
        <v>18</v>
      </c>
      <c r="H31">
        <v>42</v>
      </c>
      <c r="I31">
        <v>4</v>
      </c>
      <c r="J31">
        <v>4</v>
      </c>
      <c r="K31" s="2" t="s">
        <v>24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4">
        <v>10</v>
      </c>
      <c r="P31">
        <v>35</v>
      </c>
      <c r="Q31">
        <v>40</v>
      </c>
      <c r="R31" s="31">
        <v>0</v>
      </c>
      <c r="S31" s="30">
        <f>IFERROR(PROPERTIES[[#This Row],[TE_STARTING_KN]]/(PROPERTIES[[#This Row],[WEIGHT]]*9.81),0)</f>
        <v>0</v>
      </c>
      <c r="T31" s="30">
        <v>0.21</v>
      </c>
      <c r="U31" s="27">
        <f>ROUND(IF(IFERROR(PROPERTIES[[#This Row],[TE_COEFFICIENT_CALC]],0)=0,PROPERTIES[[#This Row],[TE_COEFFICIENT_MANUAL]],PROPERTIES[[#This Row],[TE_COEFFICIENT_CALC]]),3)</f>
        <v>0.21</v>
      </c>
      <c r="V31" s="6">
        <v>15</v>
      </c>
      <c r="W31" s="10">
        <v>0</v>
      </c>
      <c r="X31" s="10">
        <v>0</v>
      </c>
      <c r="Y31" s="10"/>
      <c r="Z31" t="str">
        <f>"RUNNING_COST_"&amp;IF(PROPERTIES[[#This Row],[ENGINE_CLASS]]="MAGLEV","ELECTRIC",PROPERTIES[[#This Row],[ENGINE_CLASS]])</f>
        <v>RUNNING_COST_DIESEL</v>
      </c>
      <c r="AA31" s="10" t="s">
        <v>994</v>
      </c>
      <c r="AB31" s="10" t="s">
        <v>995</v>
      </c>
      <c r="AC31" s="10" t="str">
        <f>SUBSTITUTE(SUBSTITUTE(PROPERTIES[[#This Row],[PURCHASECOST_VALUE]], "PURCHASECOST_", ""), "_VALUE", "")</f>
        <v>DIESELRAILBUS</v>
      </c>
      <c r="AD31" s="2" t="b">
        <v>0</v>
      </c>
      <c r="AV31"/>
      <c r="AW31"/>
      <c r="AX31"/>
    </row>
    <row r="32" spans="1:50">
      <c r="A32" s="2" t="s">
        <v>55</v>
      </c>
      <c r="B32">
        <v>1922</v>
      </c>
      <c r="C32">
        <v>0</v>
      </c>
      <c r="D32" t="s">
        <v>1854</v>
      </c>
      <c r="E32" t="str">
        <f>_xlfn.XLOOKUP(PROPERTIES[[#This Row],[COUNTRY]],COUNTRIES[COUNTRY_DESCRIPTION],COUNTRIES[COUNTRY_LABEL],"")</f>
        <v>DE</v>
      </c>
      <c r="F32" t="s">
        <v>35</v>
      </c>
      <c r="G32" t="s">
        <v>18</v>
      </c>
      <c r="H32">
        <v>38</v>
      </c>
      <c r="I32">
        <v>5</v>
      </c>
      <c r="J32">
        <v>5</v>
      </c>
      <c r="K32" s="2" t="s">
        <v>24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4">
        <v>11</v>
      </c>
      <c r="P32">
        <v>75</v>
      </c>
      <c r="Q32">
        <v>40</v>
      </c>
      <c r="R32" s="31">
        <v>0</v>
      </c>
      <c r="S32" s="30">
        <f>IFERROR(PROPERTIES[[#This Row],[TE_STARTING_KN]]/(PROPERTIES[[#This Row],[WEIGHT]]*9.81),0)</f>
        <v>0</v>
      </c>
      <c r="T32" s="30">
        <v>0.34</v>
      </c>
      <c r="U32" s="27">
        <f>ROUND(IF(IFERROR(PROPERTIES[[#This Row],[TE_COEFFICIENT_CALC]],0)=0,PROPERTIES[[#This Row],[TE_COEFFICIENT_MANUAL]],PROPERTIES[[#This Row],[TE_COEFFICIENT_CALC]]),3)</f>
        <v>0.34</v>
      </c>
      <c r="V32" s="6">
        <v>15</v>
      </c>
      <c r="W32" s="10">
        <v>0</v>
      </c>
      <c r="X32" s="10">
        <v>0</v>
      </c>
      <c r="Y32" s="10"/>
      <c r="Z32" t="str">
        <f>"RUNNING_COST_"&amp;IF(PROPERTIES[[#This Row],[ENGINE_CLASS]]="MAGLEV","ELECTRIC",PROPERTIES[[#This Row],[ENGINE_CLASS]])</f>
        <v>RUNNING_COST_DIESEL</v>
      </c>
      <c r="AA32" s="10" t="s">
        <v>994</v>
      </c>
      <c r="AB32" s="10" t="s">
        <v>995</v>
      </c>
      <c r="AC32" s="10" t="str">
        <f>SUBSTITUTE(SUBSTITUTE(PROPERTIES[[#This Row],[PURCHASECOST_VALUE]], "PURCHASECOST_", ""), "_VALUE", "")</f>
        <v>DIESELRAILBUS</v>
      </c>
      <c r="AD32" s="2" t="b">
        <v>0</v>
      </c>
      <c r="AV32"/>
      <c r="AW32"/>
      <c r="AX32"/>
    </row>
    <row r="33" spans="1:50">
      <c r="A33" s="2" t="s">
        <v>56</v>
      </c>
      <c r="B33">
        <v>1928</v>
      </c>
      <c r="C33">
        <v>0</v>
      </c>
      <c r="D33" t="s">
        <v>1810</v>
      </c>
      <c r="E33" t="str">
        <f>_xlfn.XLOOKUP(PROPERTIES[[#This Row],[COUNTRY]],COUNTRIES[COUNTRY_DESCRIPTION],COUNTRIES[COUNTRY_LABEL],"")</f>
        <v>AU</v>
      </c>
      <c r="F33" t="s">
        <v>35</v>
      </c>
      <c r="G33" t="s">
        <v>18</v>
      </c>
      <c r="H33">
        <v>40</v>
      </c>
      <c r="I33">
        <v>7</v>
      </c>
      <c r="J33">
        <v>7</v>
      </c>
      <c r="K33" s="2" t="s">
        <v>24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4">
        <v>43</v>
      </c>
      <c r="P33">
        <v>255</v>
      </c>
      <c r="Q33">
        <v>100</v>
      </c>
      <c r="R33" s="31">
        <v>0</v>
      </c>
      <c r="S33" s="30">
        <f>IFERROR(PROPERTIES[[#This Row],[TE_STARTING_KN]]/(PROPERTIES[[#This Row],[WEIGHT]]*9.81),0)</f>
        <v>0</v>
      </c>
      <c r="T33" s="30">
        <v>0.34</v>
      </c>
      <c r="U33" s="27">
        <f>ROUND(IF(IFERROR(PROPERTIES[[#This Row],[TE_COEFFICIENT_CALC]],0)=0,PROPERTIES[[#This Row],[TE_COEFFICIENT_MANUAL]],PROPERTIES[[#This Row],[TE_COEFFICIENT_CALC]]),3)</f>
        <v>0.34</v>
      </c>
      <c r="V33" s="6">
        <v>15</v>
      </c>
      <c r="W33" s="10">
        <v>0</v>
      </c>
      <c r="X33" s="10">
        <v>0</v>
      </c>
      <c r="Y33" s="10"/>
      <c r="Z33" t="str">
        <f>"RUNNING_COST_"&amp;IF(PROPERTIES[[#This Row],[ENGINE_CLASS]]="MAGLEV","ELECTRIC",PROPERTIES[[#This Row],[ENGINE_CLASS]])</f>
        <v>RUNNING_COST_DIESEL</v>
      </c>
      <c r="AA33" s="10" t="s">
        <v>994</v>
      </c>
      <c r="AB33" s="10" t="s">
        <v>995</v>
      </c>
      <c r="AC33" s="10" t="str">
        <f>SUBSTITUTE(SUBSTITUTE(PROPERTIES[[#This Row],[PURCHASECOST_VALUE]], "PURCHASECOST_", ""), "_VALUE", "")</f>
        <v>DIESELRAILBUS</v>
      </c>
      <c r="AD33" s="2" t="b">
        <v>0</v>
      </c>
      <c r="AV33"/>
      <c r="AW33"/>
      <c r="AX33"/>
    </row>
    <row r="34" spans="1:50">
      <c r="A34" s="2" t="s">
        <v>57</v>
      </c>
      <c r="B34">
        <v>1930</v>
      </c>
      <c r="C34">
        <v>0</v>
      </c>
      <c r="D34" t="s">
        <v>1853</v>
      </c>
      <c r="E34" t="str">
        <f>_xlfn.XLOOKUP(PROPERTIES[[#This Row],[COUNTRY]],COUNTRIES[COUNTRY_DESCRIPTION],COUNTRIES[COUNTRY_LABEL],"")</f>
        <v>CZ</v>
      </c>
      <c r="F34" t="s">
        <v>35</v>
      </c>
      <c r="G34" t="s">
        <v>18</v>
      </c>
      <c r="H34">
        <v>38</v>
      </c>
      <c r="I34">
        <v>5</v>
      </c>
      <c r="J34">
        <v>5</v>
      </c>
      <c r="K34" s="2" t="s">
        <v>24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4">
        <v>13</v>
      </c>
      <c r="P34">
        <v>120</v>
      </c>
      <c r="Q34">
        <v>60</v>
      </c>
      <c r="R34" s="31">
        <v>0</v>
      </c>
      <c r="S34" s="30">
        <f>IFERROR(PROPERTIES[[#This Row],[TE_STARTING_KN]]/(PROPERTIES[[#This Row],[WEIGHT]]*9.81),0)</f>
        <v>0</v>
      </c>
      <c r="T34" s="30">
        <v>0.15</v>
      </c>
      <c r="U34" s="27">
        <f>ROUND(IF(IFERROR(PROPERTIES[[#This Row],[TE_COEFFICIENT_CALC]],0)=0,PROPERTIES[[#This Row],[TE_COEFFICIENT_MANUAL]],PROPERTIES[[#This Row],[TE_COEFFICIENT_CALC]]),3)</f>
        <v>0.15</v>
      </c>
      <c r="V34" s="6">
        <v>15</v>
      </c>
      <c r="W34" s="10">
        <v>0</v>
      </c>
      <c r="X34" s="10">
        <v>0</v>
      </c>
      <c r="Y34" s="10"/>
      <c r="Z34" t="str">
        <f>"RUNNING_COST_"&amp;IF(PROPERTIES[[#This Row],[ENGINE_CLASS]]="MAGLEV","ELECTRIC",PROPERTIES[[#This Row],[ENGINE_CLASS]])</f>
        <v>RUNNING_COST_DIESEL</v>
      </c>
      <c r="AA34" s="10" t="s">
        <v>994</v>
      </c>
      <c r="AB34" s="10" t="s">
        <v>995</v>
      </c>
      <c r="AC34" s="10" t="str">
        <f>SUBSTITUTE(SUBSTITUTE(PROPERTIES[[#This Row],[PURCHASECOST_VALUE]], "PURCHASECOST_", ""), "_VALUE", "")</f>
        <v>DIESELRAILBUS</v>
      </c>
      <c r="AD34" s="2" t="b">
        <v>0</v>
      </c>
      <c r="AV34"/>
      <c r="AW34"/>
      <c r="AX34"/>
    </row>
    <row r="35" spans="1:50">
      <c r="A35" s="2" t="s">
        <v>58</v>
      </c>
      <c r="B35">
        <v>1930</v>
      </c>
      <c r="C35">
        <v>0</v>
      </c>
      <c r="D35" t="s">
        <v>1854</v>
      </c>
      <c r="E35" t="str">
        <f>_xlfn.XLOOKUP(PROPERTIES[[#This Row],[COUNTRY]],COUNTRIES[COUNTRY_DESCRIPTION],COUNTRIES[COUNTRY_LABEL],"")</f>
        <v>DE</v>
      </c>
      <c r="F35" t="s">
        <v>35</v>
      </c>
      <c r="G35" t="s">
        <v>18</v>
      </c>
      <c r="H35">
        <v>40</v>
      </c>
      <c r="I35">
        <v>8</v>
      </c>
      <c r="J35">
        <v>8</v>
      </c>
      <c r="K35" s="2" t="s">
        <v>24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4">
        <v>20</v>
      </c>
      <c r="P35">
        <v>600</v>
      </c>
      <c r="Q35">
        <v>230</v>
      </c>
      <c r="R35" s="31">
        <v>0</v>
      </c>
      <c r="S35" s="30">
        <f>IFERROR(PROPERTIES[[#This Row],[TE_STARTING_KN]]/(PROPERTIES[[#This Row],[WEIGHT]]*9.81),0)</f>
        <v>0</v>
      </c>
      <c r="T35" s="30">
        <v>0.39</v>
      </c>
      <c r="U35" s="27">
        <f>ROUND(IF(IFERROR(PROPERTIES[[#This Row],[TE_COEFFICIENT_CALC]],0)=0,PROPERTIES[[#This Row],[TE_COEFFICIENT_MANUAL]],PROPERTIES[[#This Row],[TE_COEFFICIENT_CALC]]),3)</f>
        <v>0.39</v>
      </c>
      <c r="V35" s="6">
        <v>15</v>
      </c>
      <c r="W35" s="10">
        <v>0</v>
      </c>
      <c r="X35" s="10">
        <v>0</v>
      </c>
      <c r="Y35" s="10"/>
      <c r="Z35" t="str">
        <f>"RUNNING_COST_"&amp;IF(PROPERTIES[[#This Row],[ENGINE_CLASS]]="MAGLEV","ELECTRIC",PROPERTIES[[#This Row],[ENGINE_CLASS]])</f>
        <v>RUNNING_COST_DIESEL</v>
      </c>
      <c r="AA35" s="10" t="s">
        <v>994</v>
      </c>
      <c r="AB35" s="10" t="s">
        <v>995</v>
      </c>
      <c r="AC35" s="10" t="str">
        <f>SUBSTITUTE(SUBSTITUTE(PROPERTIES[[#This Row],[PURCHASECOST_VALUE]], "PURCHASECOST_", ""), "_VALUE", "")</f>
        <v>DIESELRAILBUS</v>
      </c>
      <c r="AD35" s="2" t="b">
        <v>0</v>
      </c>
      <c r="AV35"/>
      <c r="AW35"/>
      <c r="AX35"/>
    </row>
    <row r="36" spans="1:50">
      <c r="A36" s="2" t="s">
        <v>59</v>
      </c>
      <c r="B36">
        <v>1935</v>
      </c>
      <c r="C36">
        <v>0</v>
      </c>
      <c r="D36" t="s">
        <v>1856</v>
      </c>
      <c r="E36" t="str">
        <f>_xlfn.XLOOKUP(PROPERTIES[[#This Row],[COUNTRY]],COUNTRIES[COUNTRY_DESCRIPTION],COUNTRIES[COUNTRY_LABEL],"")</f>
        <v>DK</v>
      </c>
      <c r="F36" t="s">
        <v>35</v>
      </c>
      <c r="G36" t="s">
        <v>18</v>
      </c>
      <c r="H36">
        <v>52</v>
      </c>
      <c r="I36">
        <v>8</v>
      </c>
      <c r="J36">
        <v>8</v>
      </c>
      <c r="K36" s="2" t="s">
        <v>24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4">
        <v>65</v>
      </c>
      <c r="P36">
        <v>500</v>
      </c>
      <c r="Q36">
        <v>120</v>
      </c>
      <c r="R36" s="31">
        <v>0</v>
      </c>
      <c r="S36" s="30">
        <f>IFERROR(PROPERTIES[[#This Row],[TE_STARTING_KN]]/(PROPERTIES[[#This Row],[WEIGHT]]*9.81),0)</f>
        <v>0</v>
      </c>
      <c r="T36" s="30">
        <v>0.31</v>
      </c>
      <c r="U36" s="27">
        <f>ROUND(IF(IFERROR(PROPERTIES[[#This Row],[TE_COEFFICIENT_CALC]],0)=0,PROPERTIES[[#This Row],[TE_COEFFICIENT_MANUAL]],PROPERTIES[[#This Row],[TE_COEFFICIENT_CALC]]),3)</f>
        <v>0.31</v>
      </c>
      <c r="V36" s="6">
        <v>15</v>
      </c>
      <c r="W36" s="10">
        <v>0</v>
      </c>
      <c r="X36" s="10">
        <v>0</v>
      </c>
      <c r="Y36" s="10"/>
      <c r="Z36" t="str">
        <f>"RUNNING_COST_"&amp;IF(PROPERTIES[[#This Row],[ENGINE_CLASS]]="MAGLEV","ELECTRIC",PROPERTIES[[#This Row],[ENGINE_CLASS]])</f>
        <v>RUNNING_COST_DIESEL</v>
      </c>
      <c r="AA36" s="10" t="s">
        <v>994</v>
      </c>
      <c r="AB36" s="10" t="s">
        <v>995</v>
      </c>
      <c r="AC36" s="10" t="str">
        <f>SUBSTITUTE(SUBSTITUTE(PROPERTIES[[#This Row],[PURCHASECOST_VALUE]], "PURCHASECOST_", ""), "_VALUE", "")</f>
        <v>DIESELRAILBUS</v>
      </c>
      <c r="AD36" s="2" t="b">
        <v>0</v>
      </c>
      <c r="AV36"/>
      <c r="AW36"/>
      <c r="AX36"/>
    </row>
    <row r="37" spans="1:50">
      <c r="A37" s="2" t="s">
        <v>60</v>
      </c>
      <c r="B37">
        <v>1935</v>
      </c>
      <c r="C37">
        <v>0</v>
      </c>
      <c r="D37" t="s">
        <v>1963</v>
      </c>
      <c r="E37" t="str">
        <f>_xlfn.XLOOKUP(PROPERTIES[[#This Row],[COUNTRY]],COUNTRIES[COUNTRY_DESCRIPTION],COUNTRIES[COUNTRY_LABEL],"")</f>
        <v>NO</v>
      </c>
      <c r="F37" t="s">
        <v>35</v>
      </c>
      <c r="G37" t="s">
        <v>18</v>
      </c>
      <c r="H37">
        <v>40</v>
      </c>
      <c r="I37">
        <v>6</v>
      </c>
      <c r="J37">
        <v>6</v>
      </c>
      <c r="K37" s="2" t="s">
        <v>24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4">
        <v>10</v>
      </c>
      <c r="P37">
        <v>120</v>
      </c>
      <c r="Q37">
        <v>100</v>
      </c>
      <c r="R37" s="31">
        <v>0</v>
      </c>
      <c r="S37" s="30">
        <f>IFERROR(PROPERTIES[[#This Row],[TE_STARTING_KN]]/(PROPERTIES[[#This Row],[WEIGHT]]*9.81),0)</f>
        <v>0</v>
      </c>
      <c r="T37" s="30">
        <v>0.41</v>
      </c>
      <c r="U37" s="27">
        <f>ROUND(IF(IFERROR(PROPERTIES[[#This Row],[TE_COEFFICIENT_CALC]],0)=0,PROPERTIES[[#This Row],[TE_COEFFICIENT_MANUAL]],PROPERTIES[[#This Row],[TE_COEFFICIENT_CALC]]),3)</f>
        <v>0.41</v>
      </c>
      <c r="V37" s="6">
        <v>15</v>
      </c>
      <c r="W37" s="10">
        <v>0</v>
      </c>
      <c r="X37" s="10">
        <v>0</v>
      </c>
      <c r="Y37" s="10"/>
      <c r="Z37" t="str">
        <f>"RUNNING_COST_"&amp;IF(PROPERTIES[[#This Row],[ENGINE_CLASS]]="MAGLEV","ELECTRIC",PROPERTIES[[#This Row],[ENGINE_CLASS]])</f>
        <v>RUNNING_COST_DIESEL</v>
      </c>
      <c r="AA37" s="10" t="s">
        <v>994</v>
      </c>
      <c r="AB37" s="10" t="s">
        <v>995</v>
      </c>
      <c r="AC37" s="10" t="str">
        <f>SUBSTITUTE(SUBSTITUTE(PROPERTIES[[#This Row],[PURCHASECOST_VALUE]], "PURCHASECOST_", ""), "_VALUE", "")</f>
        <v>DIESELRAILBUS</v>
      </c>
      <c r="AD37" s="2" t="b">
        <v>0</v>
      </c>
      <c r="AV37"/>
      <c r="AW37"/>
      <c r="AX37"/>
    </row>
    <row r="38" spans="1:50">
      <c r="A38" s="2" t="s">
        <v>61</v>
      </c>
      <c r="B38">
        <v>1936</v>
      </c>
      <c r="C38">
        <v>0</v>
      </c>
      <c r="D38" t="s">
        <v>1853</v>
      </c>
      <c r="E38" t="str">
        <f>_xlfn.XLOOKUP(PROPERTIES[[#This Row],[COUNTRY]],COUNTRIES[COUNTRY_DESCRIPTION],COUNTRIES[COUNTRY_LABEL],"")</f>
        <v>CZ</v>
      </c>
      <c r="F38" t="s">
        <v>35</v>
      </c>
      <c r="G38" t="s">
        <v>18</v>
      </c>
      <c r="H38">
        <v>72</v>
      </c>
      <c r="I38">
        <v>7</v>
      </c>
      <c r="J38">
        <v>7</v>
      </c>
      <c r="K38" s="2" t="s">
        <v>24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4">
        <v>36</v>
      </c>
      <c r="P38">
        <v>330</v>
      </c>
      <c r="Q38">
        <v>130</v>
      </c>
      <c r="R38" s="31">
        <v>0</v>
      </c>
      <c r="S38" s="30">
        <f>IFERROR(PROPERTIES[[#This Row],[TE_STARTING_KN]]/(PROPERTIES[[#This Row],[WEIGHT]]*9.81),0)</f>
        <v>0</v>
      </c>
      <c r="T38" s="30">
        <v>0.33</v>
      </c>
      <c r="U38" s="27">
        <f>ROUND(IF(IFERROR(PROPERTIES[[#This Row],[TE_COEFFICIENT_CALC]],0)=0,PROPERTIES[[#This Row],[TE_COEFFICIENT_MANUAL]],PROPERTIES[[#This Row],[TE_COEFFICIENT_CALC]]),3)</f>
        <v>0.33</v>
      </c>
      <c r="V38" s="6">
        <v>15</v>
      </c>
      <c r="W38" s="10">
        <v>0</v>
      </c>
      <c r="X38" s="10">
        <v>0</v>
      </c>
      <c r="Y38" s="10"/>
      <c r="Z38" t="str">
        <f>"RUNNING_COST_"&amp;IF(PROPERTIES[[#This Row],[ENGINE_CLASS]]="MAGLEV","ELECTRIC",PROPERTIES[[#This Row],[ENGINE_CLASS]])</f>
        <v>RUNNING_COST_DIESEL</v>
      </c>
      <c r="AA38" s="10" t="s">
        <v>994</v>
      </c>
      <c r="AB38" s="10" t="s">
        <v>995</v>
      </c>
      <c r="AC38" s="10" t="str">
        <f>SUBSTITUTE(SUBSTITUTE(PROPERTIES[[#This Row],[PURCHASECOST_VALUE]], "PURCHASECOST_", ""), "_VALUE", "")</f>
        <v>DIESELRAILBUS</v>
      </c>
      <c r="AD38" s="2" t="b">
        <v>0</v>
      </c>
      <c r="AV38"/>
      <c r="AW38"/>
      <c r="AX38"/>
    </row>
    <row r="39" spans="1:50">
      <c r="A39" s="2" t="s">
        <v>62</v>
      </c>
      <c r="B39">
        <v>1937</v>
      </c>
      <c r="C39">
        <v>0</v>
      </c>
      <c r="D39" t="s">
        <v>1962</v>
      </c>
      <c r="E39" t="str">
        <f>_xlfn.XLOOKUP(PROPERTIES[[#This Row],[COUNTRY]],COUNTRIES[COUNTRY_DESCRIPTION],COUNTRIES[COUNTRY_LABEL],"")</f>
        <v>NL</v>
      </c>
      <c r="F39" t="s">
        <v>35</v>
      </c>
      <c r="G39" t="s">
        <v>18</v>
      </c>
      <c r="H39">
        <f>15+56+8+8</f>
        <v>87</v>
      </c>
      <c r="I39">
        <v>8</v>
      </c>
      <c r="J39">
        <v>8</v>
      </c>
      <c r="K39" s="2" t="s">
        <v>24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4">
        <v>53</v>
      </c>
      <c r="P39">
        <v>294</v>
      </c>
      <c r="Q39">
        <v>105</v>
      </c>
      <c r="R39" s="31">
        <v>0</v>
      </c>
      <c r="S39" s="30">
        <f>IFERROR(PROPERTIES[[#This Row],[TE_STARTING_KN]]/(PROPERTIES[[#This Row],[WEIGHT]]*9.81),0)</f>
        <v>0</v>
      </c>
      <c r="T39" s="30">
        <v>0.34</v>
      </c>
      <c r="U39" s="27">
        <f>ROUND(IF(IFERROR(PROPERTIES[[#This Row],[TE_COEFFICIENT_CALC]],0)=0,PROPERTIES[[#This Row],[TE_COEFFICIENT_MANUAL]],PROPERTIES[[#This Row],[TE_COEFFICIENT_CALC]]),3)</f>
        <v>0.34</v>
      </c>
      <c r="V39" s="6">
        <v>15</v>
      </c>
      <c r="W39" s="10">
        <v>0</v>
      </c>
      <c r="X39" s="10">
        <v>0</v>
      </c>
      <c r="Y39" s="10"/>
      <c r="Z39" t="str">
        <f>"RUNNING_COST_"&amp;IF(PROPERTIES[[#This Row],[ENGINE_CLASS]]="MAGLEV","ELECTRIC",PROPERTIES[[#This Row],[ENGINE_CLASS]])</f>
        <v>RUNNING_COST_DIESEL</v>
      </c>
      <c r="AA39" s="10" t="s">
        <v>994</v>
      </c>
      <c r="AB39" s="10" t="s">
        <v>995</v>
      </c>
      <c r="AC39" s="10" t="str">
        <f>SUBSTITUTE(SUBSTITUTE(PROPERTIES[[#This Row],[PURCHASECOST_VALUE]], "PURCHASECOST_", ""), "_VALUE", "")</f>
        <v>DIESELRAILBUS</v>
      </c>
      <c r="AD39" s="2" t="b">
        <v>0</v>
      </c>
      <c r="AV39"/>
      <c r="AW39"/>
      <c r="AX39"/>
    </row>
    <row r="40" spans="1:50">
      <c r="A40" s="2" t="s">
        <v>63</v>
      </c>
      <c r="B40">
        <v>1938</v>
      </c>
      <c r="C40">
        <v>0</v>
      </c>
      <c r="D40" t="s">
        <v>1810</v>
      </c>
      <c r="E40" t="str">
        <f>_xlfn.XLOOKUP(PROPERTIES[[#This Row],[COUNTRY]],COUNTRIES[COUNTRY_DESCRIPTION],COUNTRIES[COUNTRY_LABEL],"")</f>
        <v>AU</v>
      </c>
      <c r="F40" t="s">
        <v>35</v>
      </c>
      <c r="G40" t="s">
        <v>18</v>
      </c>
      <c r="H40">
        <v>56</v>
      </c>
      <c r="I40">
        <v>7</v>
      </c>
      <c r="J40">
        <v>7</v>
      </c>
      <c r="K40" s="2" t="s">
        <v>24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4">
        <v>48</v>
      </c>
      <c r="P40">
        <v>300</v>
      </c>
      <c r="Q40">
        <v>100</v>
      </c>
      <c r="R40" s="31">
        <v>0</v>
      </c>
      <c r="S40" s="30">
        <f>IFERROR(PROPERTIES[[#This Row],[TE_STARTING_KN]]/(PROPERTIES[[#This Row],[WEIGHT]]*9.81),0)</f>
        <v>0</v>
      </c>
      <c r="T40" s="30">
        <v>0.34</v>
      </c>
      <c r="U40" s="27">
        <f>ROUND(IF(IFERROR(PROPERTIES[[#This Row],[TE_COEFFICIENT_CALC]],0)=0,PROPERTIES[[#This Row],[TE_COEFFICIENT_MANUAL]],PROPERTIES[[#This Row],[TE_COEFFICIENT_CALC]]),3)</f>
        <v>0.34</v>
      </c>
      <c r="V40" s="6">
        <v>15</v>
      </c>
      <c r="W40" s="10">
        <v>0</v>
      </c>
      <c r="X40" s="10">
        <v>0</v>
      </c>
      <c r="Y40" s="10"/>
      <c r="Z40" t="str">
        <f>"RUNNING_COST_"&amp;IF(PROPERTIES[[#This Row],[ENGINE_CLASS]]="MAGLEV","ELECTRIC",PROPERTIES[[#This Row],[ENGINE_CLASS]])</f>
        <v>RUNNING_COST_DIESEL</v>
      </c>
      <c r="AA40" s="10" t="s">
        <v>994</v>
      </c>
      <c r="AB40" s="10" t="s">
        <v>995</v>
      </c>
      <c r="AC40" s="10" t="str">
        <f>SUBSTITUTE(SUBSTITUTE(PROPERTIES[[#This Row],[PURCHASECOST_VALUE]], "PURCHASECOST_", ""), "_VALUE", "")</f>
        <v>DIESELRAILBUS</v>
      </c>
      <c r="AD40" s="2" t="b">
        <v>0</v>
      </c>
      <c r="AV40"/>
      <c r="AW40"/>
      <c r="AX40"/>
    </row>
    <row r="41" spans="1:50">
      <c r="A41" s="2" t="s">
        <v>64</v>
      </c>
      <c r="B41">
        <v>1941</v>
      </c>
      <c r="C41">
        <v>0</v>
      </c>
      <c r="D41" t="s">
        <v>1980</v>
      </c>
      <c r="E41" t="str">
        <f>_xlfn.XLOOKUP(PROPERTIES[[#This Row],[COUNTRY]],COUNTRIES[COUNTRY_DESCRIPTION],COUNTRIES[COUNTRY_LABEL],"")</f>
        <v>PT</v>
      </c>
      <c r="F41" t="s">
        <v>35</v>
      </c>
      <c r="G41" t="s">
        <v>18</v>
      </c>
      <c r="H41">
        <v>25</v>
      </c>
      <c r="I41">
        <v>5</v>
      </c>
      <c r="J41">
        <v>5</v>
      </c>
      <c r="K41" s="2" t="s">
        <v>24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4">
        <v>8</v>
      </c>
      <c r="P41">
        <v>90</v>
      </c>
      <c r="Q41">
        <v>89</v>
      </c>
      <c r="R41" s="31">
        <v>0</v>
      </c>
      <c r="S41" s="30">
        <f>IFERROR(PROPERTIES[[#This Row],[TE_STARTING_KN]]/(PROPERTIES[[#This Row],[WEIGHT]]*9.81),0)</f>
        <v>0</v>
      </c>
      <c r="T41" s="30">
        <v>0.2</v>
      </c>
      <c r="U41" s="27">
        <f>ROUND(IF(IFERROR(PROPERTIES[[#This Row],[TE_COEFFICIENT_CALC]],0)=0,PROPERTIES[[#This Row],[TE_COEFFICIENT_MANUAL]],PROPERTIES[[#This Row],[TE_COEFFICIENT_CALC]]),3)</f>
        <v>0.2</v>
      </c>
      <c r="V41" s="6">
        <v>15</v>
      </c>
      <c r="W41" s="10">
        <v>0</v>
      </c>
      <c r="X41" s="10">
        <v>0</v>
      </c>
      <c r="Y41" s="10"/>
      <c r="Z41" t="str">
        <f>"RUNNING_COST_"&amp;IF(PROPERTIES[[#This Row],[ENGINE_CLASS]]="MAGLEV","ELECTRIC",PROPERTIES[[#This Row],[ENGINE_CLASS]])</f>
        <v>RUNNING_COST_DIESEL</v>
      </c>
      <c r="AA41" s="10" t="s">
        <v>994</v>
      </c>
      <c r="AB41" s="10" t="s">
        <v>995</v>
      </c>
      <c r="AC41" s="10" t="str">
        <f>SUBSTITUTE(SUBSTITUTE(PROPERTIES[[#This Row],[PURCHASECOST_VALUE]], "PURCHASECOST_", ""), "_VALUE", "")</f>
        <v>DIESELRAILBUS</v>
      </c>
      <c r="AD41" s="2" t="b">
        <v>0</v>
      </c>
      <c r="AV41"/>
      <c r="AW41"/>
      <c r="AX41"/>
    </row>
    <row r="42" spans="1:50">
      <c r="A42" s="2" t="s">
        <v>65</v>
      </c>
      <c r="B42">
        <v>1954</v>
      </c>
      <c r="C42">
        <v>0</v>
      </c>
      <c r="D42" t="s">
        <v>1817</v>
      </c>
      <c r="E42" t="str">
        <f>_xlfn.XLOOKUP(PROPERTIES[[#This Row],[COUNTRY]],COUNTRIES[COUNTRY_DESCRIPTION],COUNTRIES[COUNTRY_LABEL],"")</f>
        <v>BE</v>
      </c>
      <c r="F42" t="s">
        <v>35</v>
      </c>
      <c r="G42" t="s">
        <v>18</v>
      </c>
      <c r="H42">
        <v>99</v>
      </c>
      <c r="I42">
        <v>7</v>
      </c>
      <c r="J42">
        <v>7</v>
      </c>
      <c r="K42" s="2" t="s">
        <v>24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4">
        <v>54</v>
      </c>
      <c r="P42">
        <v>400</v>
      </c>
      <c r="Q42">
        <v>90</v>
      </c>
      <c r="R42" s="31">
        <v>0</v>
      </c>
      <c r="S42" s="30">
        <f>IFERROR(PROPERTIES[[#This Row],[TE_STARTING_KN]]/(PROPERTIES[[#This Row],[WEIGHT]]*9.81),0)</f>
        <v>0</v>
      </c>
      <c r="T42" s="30">
        <v>0.34</v>
      </c>
      <c r="U42" s="27">
        <f>ROUND(IF(IFERROR(PROPERTIES[[#This Row],[TE_COEFFICIENT_CALC]],0)=0,PROPERTIES[[#This Row],[TE_COEFFICIENT_MANUAL]],PROPERTIES[[#This Row],[TE_COEFFICIENT_CALC]]),3)</f>
        <v>0.34</v>
      </c>
      <c r="V42" s="6">
        <v>15</v>
      </c>
      <c r="W42" s="10">
        <v>0</v>
      </c>
      <c r="X42" s="10">
        <v>0</v>
      </c>
      <c r="Y42" s="10"/>
      <c r="Z42" t="str">
        <f>"RUNNING_COST_"&amp;IF(PROPERTIES[[#This Row],[ENGINE_CLASS]]="MAGLEV","ELECTRIC",PROPERTIES[[#This Row],[ENGINE_CLASS]])</f>
        <v>RUNNING_COST_DIESEL</v>
      </c>
      <c r="AA42" s="10" t="s">
        <v>994</v>
      </c>
      <c r="AB42" s="10" t="s">
        <v>995</v>
      </c>
      <c r="AC42" s="10" t="str">
        <f>SUBSTITUTE(SUBSTITUTE(PROPERTIES[[#This Row],[PURCHASECOST_VALUE]], "PURCHASECOST_", ""), "_VALUE", "")</f>
        <v>DIESELRAILBUS</v>
      </c>
      <c r="AD42" s="2" t="b">
        <v>0</v>
      </c>
      <c r="AV42"/>
      <c r="AW42"/>
      <c r="AX42"/>
    </row>
    <row r="43" spans="1:50">
      <c r="A43" s="2" t="s">
        <v>66</v>
      </c>
      <c r="B43">
        <v>1960</v>
      </c>
      <c r="C43">
        <v>0</v>
      </c>
      <c r="D43" t="s">
        <v>1819</v>
      </c>
      <c r="E43" t="str">
        <f>_xlfn.XLOOKUP(PROPERTIES[[#This Row],[COUNTRY]],COUNTRIES[COUNTRY_DESCRIPTION],COUNTRIES[COUNTRY_LABEL],"")</f>
        <v>BG</v>
      </c>
      <c r="F43" t="s">
        <v>35</v>
      </c>
      <c r="G43" t="s">
        <v>18</v>
      </c>
      <c r="H43">
        <v>37</v>
      </c>
      <c r="I43">
        <v>8</v>
      </c>
      <c r="J43">
        <v>8</v>
      </c>
      <c r="K43" s="2" t="s">
        <v>24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4">
        <v>53</v>
      </c>
      <c r="P43">
        <f>2*265</f>
        <v>530</v>
      </c>
      <c r="Q43">
        <v>125</v>
      </c>
      <c r="R43" s="31">
        <v>0</v>
      </c>
      <c r="S43" s="30">
        <f>IFERROR(PROPERTIES[[#This Row],[TE_STARTING_KN]]/(PROPERTIES[[#This Row],[WEIGHT]]*9.81),0)</f>
        <v>0</v>
      </c>
      <c r="T43" s="30">
        <v>0.2</v>
      </c>
      <c r="U43" s="27">
        <f>ROUND(IF(IFERROR(PROPERTIES[[#This Row],[TE_COEFFICIENT_CALC]],0)=0,PROPERTIES[[#This Row],[TE_COEFFICIENT_MANUAL]],PROPERTIES[[#This Row],[TE_COEFFICIENT_CALC]]),3)</f>
        <v>0.2</v>
      </c>
      <c r="V43" s="6">
        <v>15</v>
      </c>
      <c r="W43" s="10">
        <v>0</v>
      </c>
      <c r="X43" s="10">
        <v>0</v>
      </c>
      <c r="Y43" s="10"/>
      <c r="Z43" t="str">
        <f>"RUNNING_COST_"&amp;IF(PROPERTIES[[#This Row],[ENGINE_CLASS]]="MAGLEV","ELECTRIC",PROPERTIES[[#This Row],[ENGINE_CLASS]])</f>
        <v>RUNNING_COST_DIESEL</v>
      </c>
      <c r="AA43" s="10" t="s">
        <v>994</v>
      </c>
      <c r="AB43" s="10" t="s">
        <v>995</v>
      </c>
      <c r="AC43" s="10" t="str">
        <f>SUBSTITUTE(SUBSTITUTE(PROPERTIES[[#This Row],[PURCHASECOST_VALUE]], "PURCHASECOST_", ""), "_VALUE", "")</f>
        <v>DIESELRAILBUS</v>
      </c>
      <c r="AD43" s="2" t="b">
        <v>0</v>
      </c>
      <c r="AV43"/>
      <c r="AW43"/>
      <c r="AX43"/>
    </row>
    <row r="44" spans="1:50">
      <c r="A44" s="2" t="s">
        <v>67</v>
      </c>
      <c r="B44">
        <v>1962</v>
      </c>
      <c r="C44">
        <v>0</v>
      </c>
      <c r="D44" t="s">
        <v>1885</v>
      </c>
      <c r="E44" t="str">
        <f>_xlfn.XLOOKUP(PROPERTIES[[#This Row],[COUNTRY]],COUNTRIES[COUNTRY_DESCRIPTION],COUNTRIES[COUNTRY_LABEL],"")</f>
        <v>GR</v>
      </c>
      <c r="F44" t="s">
        <v>35</v>
      </c>
      <c r="G44" t="s">
        <v>18</v>
      </c>
      <c r="H44">
        <v>68</v>
      </c>
      <c r="I44">
        <v>8</v>
      </c>
      <c r="J44">
        <v>8</v>
      </c>
      <c r="K44" s="2" t="s">
        <v>24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4">
        <v>48</v>
      </c>
      <c r="P44">
        <v>790</v>
      </c>
      <c r="Q44">
        <v>105</v>
      </c>
      <c r="R44" s="31">
        <v>0</v>
      </c>
      <c r="S44" s="30">
        <f>IFERROR(PROPERTIES[[#This Row],[TE_STARTING_KN]]/(PROPERTIES[[#This Row],[WEIGHT]]*9.81),0)</f>
        <v>0</v>
      </c>
      <c r="T44" s="30">
        <v>0.19</v>
      </c>
      <c r="U44" s="27">
        <f>ROUND(IF(IFERROR(PROPERTIES[[#This Row],[TE_COEFFICIENT_CALC]],0)=0,PROPERTIES[[#This Row],[TE_COEFFICIENT_MANUAL]],PROPERTIES[[#This Row],[TE_COEFFICIENT_CALC]]),3)</f>
        <v>0.19</v>
      </c>
      <c r="V44" s="6">
        <v>15</v>
      </c>
      <c r="W44" s="10">
        <v>0</v>
      </c>
      <c r="X44" s="10">
        <v>0</v>
      </c>
      <c r="Y44" s="10"/>
      <c r="Z44" t="str">
        <f>"RUNNING_COST_"&amp;IF(PROPERTIES[[#This Row],[ENGINE_CLASS]]="MAGLEV","ELECTRIC",PROPERTIES[[#This Row],[ENGINE_CLASS]])</f>
        <v>RUNNING_COST_DIESEL</v>
      </c>
      <c r="AA44" s="10" t="s">
        <v>994</v>
      </c>
      <c r="AB44" s="10" t="s">
        <v>995</v>
      </c>
      <c r="AC44" s="10" t="str">
        <f>SUBSTITUTE(SUBSTITUTE(PROPERTIES[[#This Row],[PURCHASECOST_VALUE]], "PURCHASECOST_", ""), "_VALUE", "")</f>
        <v>DIESELRAILBUS</v>
      </c>
      <c r="AD44" s="2" t="b">
        <v>0</v>
      </c>
      <c r="AV44"/>
      <c r="AW44"/>
      <c r="AX44"/>
    </row>
    <row r="45" spans="1:50">
      <c r="A45" s="2" t="s">
        <v>68</v>
      </c>
      <c r="B45">
        <v>1975</v>
      </c>
      <c r="C45">
        <v>0</v>
      </c>
      <c r="D45" t="s">
        <v>2019</v>
      </c>
      <c r="E45" t="str">
        <f>_xlfn.XLOOKUP(PROPERTIES[[#This Row],[COUNTRY]],COUNTRIES[COUNTRY_DESCRIPTION],COUNTRIES[COUNTRY_LABEL],"")</f>
        <v>TN</v>
      </c>
      <c r="F45" t="s">
        <v>35</v>
      </c>
      <c r="G45" t="s">
        <v>18</v>
      </c>
      <c r="H45">
        <v>54</v>
      </c>
      <c r="I45">
        <v>8</v>
      </c>
      <c r="J45">
        <v>8</v>
      </c>
      <c r="K45" s="2" t="s">
        <v>24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4">
        <v>60</v>
      </c>
      <c r="P45">
        <v>1045</v>
      </c>
      <c r="Q45">
        <v>130</v>
      </c>
      <c r="R45" s="31">
        <v>0</v>
      </c>
      <c r="S45" s="30">
        <f>IFERROR(PROPERTIES[[#This Row],[TE_STARTING_KN]]/(PROPERTIES[[#This Row],[WEIGHT]]*9.81),0)</f>
        <v>0</v>
      </c>
      <c r="T45" s="30">
        <v>0.38</v>
      </c>
      <c r="U45" s="27">
        <f>ROUND(IF(IFERROR(PROPERTIES[[#This Row],[TE_COEFFICIENT_CALC]],0)=0,PROPERTIES[[#This Row],[TE_COEFFICIENT_MANUAL]],PROPERTIES[[#This Row],[TE_COEFFICIENT_CALC]]),3)</f>
        <v>0.38</v>
      </c>
      <c r="V45" s="6">
        <v>15</v>
      </c>
      <c r="W45" s="10">
        <v>0</v>
      </c>
      <c r="X45" s="10">
        <v>0</v>
      </c>
      <c r="Y45" s="10"/>
      <c r="Z45" t="str">
        <f>"RUNNING_COST_"&amp;IF(PROPERTIES[[#This Row],[ENGINE_CLASS]]="MAGLEV","ELECTRIC",PROPERTIES[[#This Row],[ENGINE_CLASS]])</f>
        <v>RUNNING_COST_DIESEL</v>
      </c>
      <c r="AA45" s="10" t="s">
        <v>994</v>
      </c>
      <c r="AB45" s="10" t="s">
        <v>995</v>
      </c>
      <c r="AC45" s="10" t="str">
        <f>SUBSTITUTE(SUBSTITUTE(PROPERTIES[[#This Row],[PURCHASECOST_VALUE]], "PURCHASECOST_", ""), "_VALUE", "")</f>
        <v>DIESELRAILBUS</v>
      </c>
      <c r="AD45" s="2" t="b">
        <v>0</v>
      </c>
      <c r="AV45"/>
      <c r="AW45"/>
      <c r="AX45"/>
    </row>
    <row r="46" spans="1:50">
      <c r="A46" s="2" t="s">
        <v>69</v>
      </c>
      <c r="B46">
        <v>1979</v>
      </c>
      <c r="C46">
        <v>0</v>
      </c>
      <c r="D46" t="s">
        <v>2029</v>
      </c>
      <c r="E46" t="str">
        <f>_xlfn.XLOOKUP(PROPERTIES[[#This Row],[COUNTRY]],COUNTRIES[COUNTRY_DESCRIPTION],COUNTRIES[COUNTRY_LABEL],"")</f>
        <v>US</v>
      </c>
      <c r="F46" t="s">
        <v>35</v>
      </c>
      <c r="G46" t="s">
        <v>18</v>
      </c>
      <c r="H46">
        <v>86</v>
      </c>
      <c r="I46">
        <v>8</v>
      </c>
      <c r="J46">
        <v>8</v>
      </c>
      <c r="K46" s="2" t="s">
        <v>24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4">
        <v>58</v>
      </c>
      <c r="P46">
        <v>360</v>
      </c>
      <c r="Q46">
        <v>130</v>
      </c>
      <c r="R46" s="31">
        <v>0</v>
      </c>
      <c r="S46" s="30">
        <f>IFERROR(PROPERTIES[[#This Row],[TE_STARTING_KN]]/(PROPERTIES[[#This Row],[WEIGHT]]*9.81),0)</f>
        <v>0</v>
      </c>
      <c r="T46" s="30">
        <v>0.26</v>
      </c>
      <c r="U46" s="27">
        <f>ROUND(IF(IFERROR(PROPERTIES[[#This Row],[TE_COEFFICIENT_CALC]],0)=0,PROPERTIES[[#This Row],[TE_COEFFICIENT_MANUAL]],PROPERTIES[[#This Row],[TE_COEFFICIENT_CALC]]),3)</f>
        <v>0.26</v>
      </c>
      <c r="V46" s="6">
        <v>15</v>
      </c>
      <c r="W46" s="10">
        <v>0</v>
      </c>
      <c r="X46" s="10">
        <v>0</v>
      </c>
      <c r="Y46" s="10"/>
      <c r="Z46" t="str">
        <f>"RUNNING_COST_"&amp;IF(PROPERTIES[[#This Row],[ENGINE_CLASS]]="MAGLEV","ELECTRIC",PROPERTIES[[#This Row],[ENGINE_CLASS]])</f>
        <v>RUNNING_COST_DIESEL</v>
      </c>
      <c r="AA46" s="10" t="s">
        <v>994</v>
      </c>
      <c r="AB46" s="10" t="s">
        <v>995</v>
      </c>
      <c r="AC46" s="10" t="str">
        <f>SUBSTITUTE(SUBSTITUTE(PROPERTIES[[#This Row],[PURCHASECOST_VALUE]], "PURCHASECOST_", ""), "_VALUE", "")</f>
        <v>DIESELRAILBUS</v>
      </c>
      <c r="AD46" s="2" t="b">
        <v>0</v>
      </c>
      <c r="AV46"/>
      <c r="AW46"/>
      <c r="AX46"/>
    </row>
    <row r="47" spans="1:50">
      <c r="A47" s="2" t="s">
        <v>70</v>
      </c>
      <c r="B47">
        <v>2005</v>
      </c>
      <c r="C47">
        <v>0</v>
      </c>
      <c r="D47" t="s">
        <v>1867</v>
      </c>
      <c r="E47" t="str">
        <f>_xlfn.XLOOKUP(PROPERTIES[[#This Row],[COUNTRY]],COUNTRIES[COUNTRY_DESCRIPTION],COUNTRIES[COUNTRY_LABEL],"")</f>
        <v>FI</v>
      </c>
      <c r="F47" t="s">
        <v>35</v>
      </c>
      <c r="G47" t="s">
        <v>18</v>
      </c>
      <c r="H47">
        <v>63</v>
      </c>
      <c r="I47">
        <v>8</v>
      </c>
      <c r="J47">
        <v>8</v>
      </c>
      <c r="K47" s="2" t="s">
        <v>24</v>
      </c>
      <c r="L47">
        <f>_xlfn.XLOOKUP("LOADINGSPEEDDEF_"&amp;PROPERTIES[[#This Row],[LOADINGSPEED]],LOADINGSPEEDDEF[TYPE],LOADINGSPEEDDEF[SPEED])</f>
        <v>40</v>
      </c>
      <c r="M47" t="s">
        <v>21</v>
      </c>
      <c r="N47">
        <v>1</v>
      </c>
      <c r="O47" s="34">
        <v>48</v>
      </c>
      <c r="P47">
        <v>404</v>
      </c>
      <c r="Q47">
        <v>120</v>
      </c>
      <c r="R47" s="31">
        <v>0</v>
      </c>
      <c r="S47" s="30">
        <f>IFERROR(PROPERTIES[[#This Row],[TE_STARTING_KN]]/(PROPERTIES[[#This Row],[WEIGHT]]*9.81),0)</f>
        <v>0</v>
      </c>
      <c r="T47" s="30">
        <v>0.35</v>
      </c>
      <c r="U47" s="27">
        <f>ROUND(IF(IFERROR(PROPERTIES[[#This Row],[TE_COEFFICIENT_CALC]],0)=0,PROPERTIES[[#This Row],[TE_COEFFICIENT_MANUAL]],PROPERTIES[[#This Row],[TE_COEFFICIENT_CALC]]),3)</f>
        <v>0.35</v>
      </c>
      <c r="V47" s="6">
        <v>15</v>
      </c>
      <c r="W47" s="10">
        <v>0</v>
      </c>
      <c r="X47" s="10">
        <v>0</v>
      </c>
      <c r="Y47" s="10"/>
      <c r="Z47" t="str">
        <f>"RUNNING_COST_"&amp;IF(PROPERTIES[[#This Row],[ENGINE_CLASS]]="MAGLEV","ELECTRIC",PROPERTIES[[#This Row],[ENGINE_CLASS]])</f>
        <v>RUNNING_COST_DIESEL</v>
      </c>
      <c r="AA47" s="10" t="s">
        <v>994</v>
      </c>
      <c r="AB47" s="10" t="s">
        <v>995</v>
      </c>
      <c r="AC47" s="10" t="str">
        <f>SUBSTITUTE(SUBSTITUTE(PROPERTIES[[#This Row],[PURCHASECOST_VALUE]], "PURCHASECOST_", ""), "_VALUE", "")</f>
        <v>DIESELRAILBUS</v>
      </c>
      <c r="AD47" s="2" t="b">
        <v>0</v>
      </c>
      <c r="AV47"/>
      <c r="AW47"/>
      <c r="AX47"/>
    </row>
    <row r="48" spans="1:50">
      <c r="A48" s="2" t="s">
        <v>71</v>
      </c>
      <c r="B48">
        <v>2011</v>
      </c>
      <c r="C48">
        <v>0</v>
      </c>
      <c r="D48" t="s">
        <v>1853</v>
      </c>
      <c r="E48" t="str">
        <f>_xlfn.XLOOKUP(PROPERTIES[[#This Row],[COUNTRY]],COUNTRIES[COUNTRY_DESCRIPTION],COUNTRIES[COUNTRY_LABEL],"")</f>
        <v>CZ</v>
      </c>
      <c r="F48" t="s">
        <v>35</v>
      </c>
      <c r="G48" t="s">
        <v>18</v>
      </c>
      <c r="H48">
        <v>140</v>
      </c>
      <c r="I48">
        <v>8</v>
      </c>
      <c r="J48">
        <v>8</v>
      </c>
      <c r="K48" s="2" t="s">
        <v>24</v>
      </c>
      <c r="L48">
        <f>_xlfn.XLOOKUP("LOADINGSPEEDDEF_"&amp;PROPERTIES[[#This Row],[LOADINGSPEED]],LOADINGSPEEDDEF[TYPE],LOADINGSPEEDDEF[SPEED])</f>
        <v>40</v>
      </c>
      <c r="M48" t="s">
        <v>21</v>
      </c>
      <c r="N48">
        <v>1</v>
      </c>
      <c r="O48" s="34">
        <v>40</v>
      </c>
      <c r="P48">
        <v>710</v>
      </c>
      <c r="Q48">
        <v>120</v>
      </c>
      <c r="R48" s="31">
        <v>100</v>
      </c>
      <c r="S48" s="30">
        <f>IFERROR(PROPERTIES[[#This Row],[TE_STARTING_KN]]/(PROPERTIES[[#This Row],[WEIGHT]]*9.81),0)</f>
        <v>0.254841997961264</v>
      </c>
      <c r="T48" s="30">
        <v>0.37</v>
      </c>
      <c r="U48" s="27">
        <f>ROUND(IF(IFERROR(PROPERTIES[[#This Row],[TE_COEFFICIENT_CALC]],0)=0,PROPERTIES[[#This Row],[TE_COEFFICIENT_MANUAL]],PROPERTIES[[#This Row],[TE_COEFFICIENT_CALC]]),3)</f>
        <v>0.255</v>
      </c>
      <c r="V48" s="6">
        <v>15</v>
      </c>
      <c r="W48" s="10">
        <v>0</v>
      </c>
      <c r="X48" s="10">
        <v>0</v>
      </c>
      <c r="Y48" s="10"/>
      <c r="Z48" t="str">
        <f>"RUNNING_COST_"&amp;IF(PROPERTIES[[#This Row],[ENGINE_CLASS]]="MAGLEV","ELECTRIC",PROPERTIES[[#This Row],[ENGINE_CLASS]])</f>
        <v>RUNNING_COST_DIESEL</v>
      </c>
      <c r="AA48" s="10" t="s">
        <v>994</v>
      </c>
      <c r="AB48" s="10" t="s">
        <v>995</v>
      </c>
      <c r="AC48" s="10" t="str">
        <f>SUBSTITUTE(SUBSTITUTE(PROPERTIES[[#This Row],[PURCHASECOST_VALUE]], "PURCHASECOST_", ""), "_VALUE", "")</f>
        <v>DIESELRAILBUS</v>
      </c>
      <c r="AD48" s="2" t="b">
        <v>0</v>
      </c>
      <c r="AV48"/>
      <c r="AW48"/>
      <c r="AX48"/>
    </row>
    <row r="49" spans="1:50">
      <c r="A49" s="2" t="s">
        <v>72</v>
      </c>
      <c r="B49">
        <v>1956</v>
      </c>
      <c r="C49">
        <v>0</v>
      </c>
      <c r="D49" t="s">
        <v>1906</v>
      </c>
      <c r="E49" t="str">
        <f>_xlfn.XLOOKUP(PROPERTIES[[#This Row],[COUNTRY]],COUNTRIES[COUNTRY_DESCRIPTION],COUNTRIES[COUNTRY_LABEL],"")</f>
        <v>IT</v>
      </c>
      <c r="F49" t="s">
        <v>35</v>
      </c>
      <c r="G49" t="s">
        <v>18</v>
      </c>
      <c r="H49">
        <v>68</v>
      </c>
      <c r="I49">
        <v>8</v>
      </c>
      <c r="J49">
        <v>8</v>
      </c>
      <c r="K49" s="2" t="s">
        <v>24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4">
        <v>36</v>
      </c>
      <c r="P49">
        <v>335</v>
      </c>
      <c r="Q49">
        <v>130</v>
      </c>
      <c r="R49" s="31">
        <v>0</v>
      </c>
      <c r="S49" s="30">
        <f>IFERROR(PROPERTIES[[#This Row],[TE_STARTING_KN]]/(PROPERTIES[[#This Row],[WEIGHT]]*9.81),0)</f>
        <v>0</v>
      </c>
      <c r="T49" s="30">
        <v>0.23</v>
      </c>
      <c r="U49" s="27">
        <f>ROUND(IF(IFERROR(PROPERTIES[[#This Row],[TE_COEFFICIENT_CALC]],0)=0,PROPERTIES[[#This Row],[TE_COEFFICIENT_MANUAL]],PROPERTIES[[#This Row],[TE_COEFFICIENT_CALC]]),3)</f>
        <v>0.23</v>
      </c>
      <c r="V49" s="6">
        <v>25</v>
      </c>
      <c r="W49" s="10">
        <v>0</v>
      </c>
      <c r="X49" s="10">
        <v>0</v>
      </c>
      <c r="Y49" s="10"/>
      <c r="Z49" t="str">
        <f>"RUNNING_COST_"&amp;IF(PROPERTIES[[#This Row],[ENGINE_CLASS]]="MAGLEV","ELECTRIC",PROPERTIES[[#This Row],[ENGINE_CLASS]])</f>
        <v>RUNNING_COST_DIESEL</v>
      </c>
      <c r="AA49" s="10" t="s">
        <v>994</v>
      </c>
      <c r="AB49" s="10" t="s">
        <v>995</v>
      </c>
      <c r="AC49" s="10" t="str">
        <f>SUBSTITUTE(SUBSTITUTE(PROPERTIES[[#This Row],[PURCHASECOST_VALUE]], "PURCHASECOST_", ""), "_VALUE", "")</f>
        <v>DIESELRAILBUS</v>
      </c>
      <c r="AD49" s="2" t="b">
        <v>0</v>
      </c>
      <c r="AV49"/>
      <c r="AW49"/>
      <c r="AX49"/>
    </row>
    <row r="50" spans="1:50">
      <c r="A50" s="2" t="s">
        <v>73</v>
      </c>
      <c r="B50">
        <v>1903</v>
      </c>
      <c r="C50">
        <v>0</v>
      </c>
      <c r="D50" t="s">
        <v>1853</v>
      </c>
      <c r="E50" t="str">
        <f>_xlfn.XLOOKUP(PROPERTIES[[#This Row],[COUNTRY]],COUNTRIES[COUNTRY_DESCRIPTION],COUNTRIES[COUNTRY_LABEL],"")</f>
        <v>CZ</v>
      </c>
      <c r="F50" t="s">
        <v>74</v>
      </c>
      <c r="G50" t="s">
        <v>18</v>
      </c>
      <c r="H50">
        <v>40</v>
      </c>
      <c r="I50">
        <v>7</v>
      </c>
      <c r="J50">
        <v>7</v>
      </c>
      <c r="K50" s="2" t="s">
        <v>24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4">
        <v>23</v>
      </c>
      <c r="P50">
        <v>150</v>
      </c>
      <c r="Q50">
        <v>35</v>
      </c>
      <c r="R50" s="31">
        <v>0</v>
      </c>
      <c r="S50" s="30">
        <f>IFERROR(PROPERTIES[[#This Row],[TE_STARTING_KN]]/(PROPERTIES[[#This Row],[WEIGHT]]*9.81),0)</f>
        <v>0</v>
      </c>
      <c r="T50" s="30">
        <v>0.33</v>
      </c>
      <c r="U50" s="27">
        <f>ROUND(IF(IFERROR(PROPERTIES[[#This Row],[TE_COEFFICIENT_CALC]],0)=0,PROPERTIES[[#This Row],[TE_COEFFICIENT_MANUAL]],PROPERTIES[[#This Row],[TE_COEFFICIENT_CALC]]),3)</f>
        <v>0.33</v>
      </c>
      <c r="V50" s="6">
        <v>15</v>
      </c>
      <c r="W50" s="10">
        <v>0</v>
      </c>
      <c r="X50" s="10">
        <v>0</v>
      </c>
      <c r="Y50" s="10"/>
      <c r="Z50" t="str">
        <f>"RUNNING_COST_"&amp;IF(PROPERTIES[[#This Row],[ENGINE_CLASS]]="MAGLEV","ELECTRIC",PROPERTIES[[#This Row],[ENGINE_CLASS]])</f>
        <v>RUNNING_COST_ELECTRIC</v>
      </c>
      <c r="AA50" s="10" t="s">
        <v>996</v>
      </c>
      <c r="AB50" s="10" t="s">
        <v>997</v>
      </c>
      <c r="AC50" s="10" t="str">
        <f>SUBSTITUTE(SUBSTITUTE(PROPERTIES[[#This Row],[PURCHASECOST_VALUE]], "PURCHASECOST_", ""), "_VALUE", "")</f>
        <v>ELECTRICRAILBUS</v>
      </c>
      <c r="AD50" s="2" t="b">
        <v>0</v>
      </c>
      <c r="AV50"/>
      <c r="AW50"/>
      <c r="AX50"/>
    </row>
    <row r="51" spans="1:50">
      <c r="A51" s="2" t="s">
        <v>75</v>
      </c>
      <c r="B51">
        <v>1960</v>
      </c>
      <c r="C51">
        <v>0</v>
      </c>
      <c r="D51" t="s">
        <v>1872</v>
      </c>
      <c r="E51" t="str">
        <f>_xlfn.XLOOKUP(PROPERTIES[[#This Row],[COUNTRY]],COUNTRIES[COUNTRY_DESCRIPTION],COUNTRIES[COUNTRY_LABEL],"")</f>
        <v>FR</v>
      </c>
      <c r="F51" t="s">
        <v>74</v>
      </c>
      <c r="G51" t="s">
        <v>18</v>
      </c>
      <c r="H51">
        <v>70</v>
      </c>
      <c r="I51">
        <v>8</v>
      </c>
      <c r="J51">
        <v>8</v>
      </c>
      <c r="K51" s="2" t="s">
        <v>24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4">
        <v>55</v>
      </c>
      <c r="P51">
        <v>1260</v>
      </c>
      <c r="Q51">
        <v>130</v>
      </c>
      <c r="R51" s="31">
        <v>0</v>
      </c>
      <c r="S51" s="30">
        <f>IFERROR(PROPERTIES[[#This Row],[TE_STARTING_KN]]/(PROPERTIES[[#This Row],[WEIGHT]]*9.81),0)</f>
        <v>0</v>
      </c>
      <c r="T51" s="30">
        <v>0.21</v>
      </c>
      <c r="U51" s="27">
        <f>ROUND(IF(IFERROR(PROPERTIES[[#This Row],[TE_COEFFICIENT_CALC]],0)=0,PROPERTIES[[#This Row],[TE_COEFFICIENT_MANUAL]],PROPERTIES[[#This Row],[TE_COEFFICIENT_CALC]]),3)</f>
        <v>0.21</v>
      </c>
      <c r="V51" s="6">
        <v>15</v>
      </c>
      <c r="W51" s="10">
        <v>0</v>
      </c>
      <c r="X51" s="10">
        <v>0</v>
      </c>
      <c r="Y51" s="10"/>
      <c r="Z51" t="str">
        <f>"RUNNING_COST_"&amp;IF(PROPERTIES[[#This Row],[ENGINE_CLASS]]="MAGLEV","ELECTRIC",PROPERTIES[[#This Row],[ENGINE_CLASS]])</f>
        <v>RUNNING_COST_ELECTRIC</v>
      </c>
      <c r="AA51" s="10" t="s">
        <v>996</v>
      </c>
      <c r="AB51" s="10" t="s">
        <v>997</v>
      </c>
      <c r="AC51" s="10" t="str">
        <f>SUBSTITUTE(SUBSTITUTE(PROPERTIES[[#This Row],[PURCHASECOST_VALUE]], "PURCHASECOST_", ""), "_VALUE", "")</f>
        <v>ELECTRICRAILBUS</v>
      </c>
      <c r="AD51" s="2" t="b">
        <v>0</v>
      </c>
      <c r="AV51"/>
      <c r="AW51"/>
      <c r="AX51"/>
    </row>
    <row r="52" spans="1:50">
      <c r="A52" s="2" t="s">
        <v>76</v>
      </c>
      <c r="B52">
        <v>1930</v>
      </c>
      <c r="C52">
        <v>0</v>
      </c>
      <c r="D52" t="s">
        <v>1854</v>
      </c>
      <c r="E52" t="str">
        <f>_xlfn.XLOOKUP(PROPERTIES[[#This Row],[COUNTRY]],COUNTRIES[COUNTRY_DESCRIPTION],COUNTRIES[COUNTRY_LABEL],"")</f>
        <v>DE</v>
      </c>
      <c r="F52" t="s">
        <v>74</v>
      </c>
      <c r="G52" t="s">
        <v>18</v>
      </c>
      <c r="H52">
        <v>50</v>
      </c>
      <c r="I52">
        <v>4</v>
      </c>
      <c r="J52">
        <v>4</v>
      </c>
      <c r="K52" s="2" t="s">
        <v>24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4">
        <v>23</v>
      </c>
      <c r="P52">
        <v>175</v>
      </c>
      <c r="Q52">
        <v>50</v>
      </c>
      <c r="R52" s="31">
        <v>0</v>
      </c>
      <c r="S52" s="30">
        <f>IFERROR(PROPERTIES[[#This Row],[TE_STARTING_KN]]/(PROPERTIES[[#This Row],[WEIGHT]]*9.81),0)</f>
        <v>0</v>
      </c>
      <c r="T52" s="30">
        <v>0.08</v>
      </c>
      <c r="U52" s="27">
        <f>ROUND(IF(IFERROR(PROPERTIES[[#This Row],[TE_COEFFICIENT_CALC]],0)=0,PROPERTIES[[#This Row],[TE_COEFFICIENT_MANUAL]],PROPERTIES[[#This Row],[TE_COEFFICIENT_CALC]]),3)</f>
        <v>0.08</v>
      </c>
      <c r="V52" s="6">
        <v>15</v>
      </c>
      <c r="W52" s="10">
        <v>0</v>
      </c>
      <c r="X52" s="10">
        <v>0</v>
      </c>
      <c r="Y52" s="10"/>
      <c r="Z52" t="str">
        <f>"RUNNING_COST_"&amp;IF(PROPERTIES[[#This Row],[ENGINE_CLASS]]="MAGLEV","ELECTRIC",PROPERTIES[[#This Row],[ENGINE_CLASS]])</f>
        <v>RUNNING_COST_ELECTRIC</v>
      </c>
      <c r="AA52" s="10" t="s">
        <v>996</v>
      </c>
      <c r="AB52" s="10" t="s">
        <v>997</v>
      </c>
      <c r="AC52" s="10" t="str">
        <f>SUBSTITUTE(SUBSTITUTE(PROPERTIES[[#This Row],[PURCHASECOST_VALUE]], "PURCHASECOST_", ""), "_VALUE", "")</f>
        <v>ELECTRICRAILBUS</v>
      </c>
      <c r="AD52" s="2" t="b">
        <v>0</v>
      </c>
      <c r="AV52"/>
      <c r="AW52"/>
      <c r="AX52"/>
    </row>
    <row r="53" spans="1:50">
      <c r="A53" s="2" t="s">
        <v>77</v>
      </c>
      <c r="B53">
        <v>1982</v>
      </c>
      <c r="C53">
        <v>0</v>
      </c>
      <c r="D53" t="s">
        <v>2046</v>
      </c>
      <c r="E53" t="str">
        <f>_xlfn.XLOOKUP(PROPERTIES[[#This Row],[COUNTRY]],COUNTRIES[COUNTRY_DESCRIPTION],COUNTRIES[COUNTRY_LABEL],"")</f>
        <v>GDR</v>
      </c>
      <c r="F53" t="s">
        <v>74</v>
      </c>
      <c r="G53" t="s">
        <v>18</v>
      </c>
      <c r="H53">
        <f>(24+84)/2</f>
        <v>54</v>
      </c>
      <c r="I53">
        <v>5</v>
      </c>
      <c r="J53">
        <v>5</v>
      </c>
      <c r="K53" s="2" t="s">
        <v>24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4">
        <v>28</v>
      </c>
      <c r="P53">
        <v>285</v>
      </c>
      <c r="Q53">
        <v>50</v>
      </c>
      <c r="R53" s="31">
        <v>60</v>
      </c>
      <c r="S53" s="30">
        <f>IFERROR(PROPERTIES[[#This Row],[TE_STARTING_KN]]/(PROPERTIES[[#This Row],[WEIGHT]]*9.81),0)</f>
        <v>0.218435998252512</v>
      </c>
      <c r="T53" s="30">
        <v>0.13</v>
      </c>
      <c r="U53" s="27">
        <f>ROUND(IF(IFERROR(PROPERTIES[[#This Row],[TE_COEFFICIENT_CALC]],0)=0,PROPERTIES[[#This Row],[TE_COEFFICIENT_MANUAL]],PROPERTIES[[#This Row],[TE_COEFFICIENT_CALC]]),3)</f>
        <v>0.218</v>
      </c>
      <c r="V53" s="6">
        <v>15</v>
      </c>
      <c r="W53" s="10">
        <v>0</v>
      </c>
      <c r="X53" s="10">
        <v>0</v>
      </c>
      <c r="Y53" s="10"/>
      <c r="Z53" t="str">
        <f>"RUNNING_COST_"&amp;IF(PROPERTIES[[#This Row],[ENGINE_CLASS]]="MAGLEV","ELECTRIC",PROPERTIES[[#This Row],[ENGINE_CLASS]])</f>
        <v>RUNNING_COST_ELECTRIC</v>
      </c>
      <c r="AA53" s="10" t="s">
        <v>996</v>
      </c>
      <c r="AB53" s="10" t="s">
        <v>997</v>
      </c>
      <c r="AC53" s="10" t="str">
        <f>SUBSTITUTE(SUBSTITUTE(PROPERTIES[[#This Row],[PURCHASECOST_VALUE]], "PURCHASECOST_", ""), "_VALUE", "")</f>
        <v>ELECTRICRAILBUS</v>
      </c>
      <c r="AD53" s="2" t="b">
        <v>0</v>
      </c>
      <c r="AV53"/>
      <c r="AW53"/>
      <c r="AX53"/>
    </row>
    <row r="54" spans="1:50">
      <c r="A54" s="2" t="s">
        <v>78</v>
      </c>
      <c r="B54">
        <v>1930</v>
      </c>
      <c r="C54">
        <v>0</v>
      </c>
      <c r="D54" t="s">
        <v>1998</v>
      </c>
      <c r="E54" t="str">
        <f>_xlfn.XLOOKUP(PROPERTIES[[#This Row],[COUNTRY]],COUNTRIES[COUNTRY_DESCRIPTION],COUNTRIES[COUNTRY_LABEL],"")</f>
        <v>SK</v>
      </c>
      <c r="F54" t="s">
        <v>74</v>
      </c>
      <c r="G54" t="s">
        <v>18</v>
      </c>
      <c r="H54">
        <v>48</v>
      </c>
      <c r="I54">
        <v>7</v>
      </c>
      <c r="J54">
        <v>7</v>
      </c>
      <c r="K54" s="2" t="s">
        <v>24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4">
        <v>45</v>
      </c>
      <c r="P54">
        <v>240</v>
      </c>
      <c r="Q54">
        <v>40</v>
      </c>
      <c r="R54" s="31">
        <v>0</v>
      </c>
      <c r="S54" s="30">
        <f>IFERROR(PROPERTIES[[#This Row],[TE_STARTING_KN]]/(PROPERTIES[[#This Row],[WEIGHT]]*9.81),0)</f>
        <v>0</v>
      </c>
      <c r="T54" s="30">
        <v>0.2</v>
      </c>
      <c r="U54" s="27">
        <f>ROUND(IF(IFERROR(PROPERTIES[[#This Row],[TE_COEFFICIENT_CALC]],0)=0,PROPERTIES[[#This Row],[TE_COEFFICIENT_MANUAL]],PROPERTIES[[#This Row],[TE_COEFFICIENT_CALC]]),3)</f>
        <v>0.2</v>
      </c>
      <c r="V54" s="6">
        <v>15</v>
      </c>
      <c r="W54" s="10">
        <v>0</v>
      </c>
      <c r="X54" s="10">
        <v>0</v>
      </c>
      <c r="Y54" s="10"/>
      <c r="Z54" t="str">
        <f>"RUNNING_COST_"&amp;IF(PROPERTIES[[#This Row],[ENGINE_CLASS]]="MAGLEV","ELECTRIC",PROPERTIES[[#This Row],[ENGINE_CLASS]])</f>
        <v>RUNNING_COST_ELECTRIC</v>
      </c>
      <c r="AA54" s="10" t="s">
        <v>996</v>
      </c>
      <c r="AB54" s="10" t="s">
        <v>997</v>
      </c>
      <c r="AC54" s="10" t="str">
        <f>SUBSTITUTE(SUBSTITUTE(PROPERTIES[[#This Row],[PURCHASECOST_VALUE]], "PURCHASECOST_", ""), "_VALUE", "")</f>
        <v>ELECTRICRAILBUS</v>
      </c>
      <c r="AD54" s="2" t="b">
        <v>0</v>
      </c>
      <c r="AV54"/>
      <c r="AW54"/>
      <c r="AX54"/>
    </row>
    <row r="55" spans="1:50">
      <c r="A55" s="2" t="s">
        <v>79</v>
      </c>
      <c r="B55">
        <v>1949</v>
      </c>
      <c r="C55">
        <v>0</v>
      </c>
      <c r="D55" t="s">
        <v>1906</v>
      </c>
      <c r="E55" t="str">
        <f>_xlfn.XLOOKUP(PROPERTIES[[#This Row],[COUNTRY]],COUNTRIES[COUNTRY_DESCRIPTION],COUNTRIES[COUNTRY_LABEL],"")</f>
        <v>IT</v>
      </c>
      <c r="F55" t="s">
        <v>74</v>
      </c>
      <c r="G55" t="s">
        <v>18</v>
      </c>
      <c r="H55">
        <v>84</v>
      </c>
      <c r="I55">
        <v>8</v>
      </c>
      <c r="J55">
        <v>8</v>
      </c>
      <c r="K55" s="2" t="s">
        <v>24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4">
        <v>58</v>
      </c>
      <c r="P55">
        <v>800</v>
      </c>
      <c r="Q55">
        <v>150</v>
      </c>
      <c r="R55" s="31">
        <v>0</v>
      </c>
      <c r="S55" s="30">
        <f>IFERROR(PROPERTIES[[#This Row],[TE_STARTING_KN]]/(PROPERTIES[[#This Row],[WEIGHT]]*9.81),0)</f>
        <v>0</v>
      </c>
      <c r="T55" s="30">
        <v>0.21</v>
      </c>
      <c r="U55" s="27">
        <f>ROUND(IF(IFERROR(PROPERTIES[[#This Row],[TE_COEFFICIENT_CALC]],0)=0,PROPERTIES[[#This Row],[TE_COEFFICIENT_MANUAL]],PROPERTIES[[#This Row],[TE_COEFFICIENT_CALC]]),3)</f>
        <v>0.21</v>
      </c>
      <c r="V55" s="6">
        <v>15</v>
      </c>
      <c r="W55" s="10">
        <v>0</v>
      </c>
      <c r="X55" s="10">
        <v>0</v>
      </c>
      <c r="Y55" s="10"/>
      <c r="Z55" t="str">
        <f>"RUNNING_COST_"&amp;IF(PROPERTIES[[#This Row],[ENGINE_CLASS]]="MAGLEV","ELECTRIC",PROPERTIES[[#This Row],[ENGINE_CLASS]])</f>
        <v>RUNNING_COST_ELECTRIC</v>
      </c>
      <c r="AA55" s="10" t="s">
        <v>996</v>
      </c>
      <c r="AB55" s="10" t="s">
        <v>997</v>
      </c>
      <c r="AC55" s="10" t="str">
        <f>SUBSTITUTE(SUBSTITUTE(PROPERTIES[[#This Row],[PURCHASECOST_VALUE]], "PURCHASECOST_", ""), "_VALUE", "")</f>
        <v>ELECTRICRAILBUS</v>
      </c>
      <c r="AD55" s="2" t="b">
        <v>0</v>
      </c>
      <c r="AV55"/>
      <c r="AW55"/>
      <c r="AX55"/>
    </row>
    <row r="56" spans="1:50">
      <c r="A56" s="2" t="s">
        <v>80</v>
      </c>
      <c r="B56">
        <v>1981</v>
      </c>
      <c r="C56">
        <v>0</v>
      </c>
      <c r="D56" t="s">
        <v>1906</v>
      </c>
      <c r="E56" t="str">
        <f>_xlfn.XLOOKUP(PROPERTIES[[#This Row],[COUNTRY]],COUNTRIES[COUNTRY_DESCRIPTION],COUNTRIES[COUNTRY_LABEL],"")</f>
        <v>IT</v>
      </c>
      <c r="F56" t="s">
        <v>74</v>
      </c>
      <c r="G56" t="s">
        <v>18</v>
      </c>
      <c r="H56">
        <v>80</v>
      </c>
      <c r="I56">
        <v>7</v>
      </c>
      <c r="J56">
        <v>7</v>
      </c>
      <c r="K56" s="2" t="s">
        <v>24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4">
        <v>49</v>
      </c>
      <c r="P56">
        <v>770</v>
      </c>
      <c r="Q56">
        <v>110</v>
      </c>
      <c r="R56" s="31">
        <v>0</v>
      </c>
      <c r="S56" s="30">
        <f>IFERROR(PROPERTIES[[#This Row],[TE_STARTING_KN]]/(PROPERTIES[[#This Row],[WEIGHT]]*9.81),0)</f>
        <v>0</v>
      </c>
      <c r="T56" s="30">
        <v>0.17</v>
      </c>
      <c r="U56" s="27">
        <f>ROUND(IF(IFERROR(PROPERTIES[[#This Row],[TE_COEFFICIENT_CALC]],0)=0,PROPERTIES[[#This Row],[TE_COEFFICIENT_MANUAL]],PROPERTIES[[#This Row],[TE_COEFFICIENT_CALC]]),3)</f>
        <v>0.17</v>
      </c>
      <c r="V56" s="6">
        <v>15</v>
      </c>
      <c r="W56" s="10">
        <v>0</v>
      </c>
      <c r="X56" s="10">
        <v>0</v>
      </c>
      <c r="Y56" s="10"/>
      <c r="Z56" t="str">
        <f>"RUNNING_COST_"&amp;IF(PROPERTIES[[#This Row],[ENGINE_CLASS]]="MAGLEV","ELECTRIC",PROPERTIES[[#This Row],[ENGINE_CLASS]])</f>
        <v>RUNNING_COST_ELECTRIC</v>
      </c>
      <c r="AA56" s="10" t="s">
        <v>996</v>
      </c>
      <c r="AB56" s="10" t="s">
        <v>997</v>
      </c>
      <c r="AC56" s="10" t="str">
        <f>SUBSTITUTE(SUBSTITUTE(PROPERTIES[[#This Row],[PURCHASECOST_VALUE]], "PURCHASECOST_", ""), "_VALUE", "")</f>
        <v>ELECTRICRAILBUS</v>
      </c>
      <c r="AD56" s="2" t="b">
        <v>0</v>
      </c>
      <c r="AV56"/>
      <c r="AW56"/>
      <c r="AX56"/>
    </row>
    <row r="57" spans="1:50">
      <c r="A57" s="2" t="s">
        <v>81</v>
      </c>
      <c r="B57">
        <v>1950</v>
      </c>
      <c r="C57">
        <v>0</v>
      </c>
      <c r="D57" t="s">
        <v>1906</v>
      </c>
      <c r="E57" t="str">
        <f>_xlfn.XLOOKUP(PROPERTIES[[#This Row],[COUNTRY]],COUNTRIES[COUNTRY_DESCRIPTION],COUNTRIES[COUNTRY_LABEL],"")</f>
        <v>IT</v>
      </c>
      <c r="F57" t="s">
        <v>74</v>
      </c>
      <c r="G57" t="s">
        <v>18</v>
      </c>
      <c r="H57">
        <v>54</v>
      </c>
      <c r="I57">
        <v>8</v>
      </c>
      <c r="J57">
        <v>8</v>
      </c>
      <c r="K57" s="2" t="s">
        <v>24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4">
        <v>66</v>
      </c>
      <c r="P57">
        <v>965</v>
      </c>
      <c r="Q57">
        <v>110</v>
      </c>
      <c r="R57" s="31">
        <v>0</v>
      </c>
      <c r="S57" s="30">
        <f>IFERROR(PROPERTIES[[#This Row],[TE_STARTING_KN]]/(PROPERTIES[[#This Row],[WEIGHT]]*9.81),0)</f>
        <v>0</v>
      </c>
      <c r="T57" s="30">
        <v>0.08</v>
      </c>
      <c r="U57" s="27">
        <f>ROUND(IF(IFERROR(PROPERTIES[[#This Row],[TE_COEFFICIENT_CALC]],0)=0,PROPERTIES[[#This Row],[TE_COEFFICIENT_MANUAL]],PROPERTIES[[#This Row],[TE_COEFFICIENT_CALC]]),3)</f>
        <v>0.08</v>
      </c>
      <c r="V57" s="6">
        <v>15</v>
      </c>
      <c r="W57" s="10">
        <v>0</v>
      </c>
      <c r="X57" s="10">
        <v>0</v>
      </c>
      <c r="Y57" s="10"/>
      <c r="Z57" t="str">
        <f>"RUNNING_COST_"&amp;IF(PROPERTIES[[#This Row],[ENGINE_CLASS]]="MAGLEV","ELECTRIC",PROPERTIES[[#This Row],[ENGINE_CLASS]])</f>
        <v>RUNNING_COST_ELECTRIC</v>
      </c>
      <c r="AA57" s="10" t="s">
        <v>996</v>
      </c>
      <c r="AB57" s="10" t="s">
        <v>997</v>
      </c>
      <c r="AC57" s="10" t="str">
        <f>SUBSTITUTE(SUBSTITUTE(PROPERTIES[[#This Row],[PURCHASECOST_VALUE]], "PURCHASECOST_", ""), "_VALUE", "")</f>
        <v>ELECTRICRAILBUS</v>
      </c>
      <c r="AD57" s="2" t="b">
        <v>0</v>
      </c>
      <c r="AV57"/>
      <c r="AW57"/>
      <c r="AX57"/>
    </row>
    <row r="58" spans="1:50">
      <c r="A58" s="2" t="s">
        <v>82</v>
      </c>
      <c r="B58">
        <v>1927</v>
      </c>
      <c r="C58">
        <v>0</v>
      </c>
      <c r="D58" t="s">
        <v>1933</v>
      </c>
      <c r="E58" t="str">
        <f>_xlfn.XLOOKUP(PROPERTIES[[#This Row],[COUNTRY]],COUNTRIES[COUNTRY_DESCRIPTION],COUNTRIES[COUNTRY_LABEL],"")</f>
        <v>MA</v>
      </c>
      <c r="F58" t="s">
        <v>74</v>
      </c>
      <c r="G58" t="s">
        <v>18</v>
      </c>
      <c r="H58">
        <v>44</v>
      </c>
      <c r="I58">
        <v>8</v>
      </c>
      <c r="J58">
        <v>8</v>
      </c>
      <c r="K58" s="2" t="s">
        <v>24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4">
        <v>40</v>
      </c>
      <c r="P58">
        <v>480</v>
      </c>
      <c r="Q58">
        <v>85</v>
      </c>
      <c r="R58" s="31">
        <v>0</v>
      </c>
      <c r="S58" s="30">
        <f>IFERROR(PROPERTIES[[#This Row],[TE_STARTING_KN]]/(PROPERTIES[[#This Row],[WEIGHT]]*9.81),0)</f>
        <v>0</v>
      </c>
      <c r="T58" s="30">
        <v>0.13</v>
      </c>
      <c r="U58" s="27">
        <f>ROUND(IF(IFERROR(PROPERTIES[[#This Row],[TE_COEFFICIENT_CALC]],0)=0,PROPERTIES[[#This Row],[TE_COEFFICIENT_MANUAL]],PROPERTIES[[#This Row],[TE_COEFFICIENT_CALC]]),3)</f>
        <v>0.13</v>
      </c>
      <c r="V58" s="6">
        <v>15</v>
      </c>
      <c r="W58" s="10">
        <v>0</v>
      </c>
      <c r="X58" s="10">
        <v>0</v>
      </c>
      <c r="Y58" s="10"/>
      <c r="Z58" t="str">
        <f>"RUNNING_COST_"&amp;IF(PROPERTIES[[#This Row],[ENGINE_CLASS]]="MAGLEV","ELECTRIC",PROPERTIES[[#This Row],[ENGINE_CLASS]])</f>
        <v>RUNNING_COST_ELECTRIC</v>
      </c>
      <c r="AA58" s="10" t="s">
        <v>996</v>
      </c>
      <c r="AB58" s="10" t="s">
        <v>997</v>
      </c>
      <c r="AC58" s="10" t="str">
        <f>SUBSTITUTE(SUBSTITUTE(PROPERTIES[[#This Row],[PURCHASECOST_VALUE]], "PURCHASECOST_", ""), "_VALUE", "")</f>
        <v>ELECTRICRAILBUS</v>
      </c>
      <c r="AD58" s="2" t="b">
        <v>0</v>
      </c>
      <c r="AV58"/>
      <c r="AW58"/>
      <c r="AX58"/>
    </row>
    <row r="59" spans="1:50">
      <c r="A59" s="2" t="s">
        <v>83</v>
      </c>
      <c r="B59">
        <v>2005</v>
      </c>
      <c r="C59">
        <v>0</v>
      </c>
      <c r="D59" t="s">
        <v>1975</v>
      </c>
      <c r="E59" t="str">
        <f>_xlfn.XLOOKUP(PROPERTIES[[#This Row],[COUNTRY]],COUNTRIES[COUNTRY_DESCRIPTION],COUNTRIES[COUNTRY_LABEL],"")</f>
        <v>PL</v>
      </c>
      <c r="F59" t="s">
        <v>74</v>
      </c>
      <c r="G59" t="s">
        <v>18</v>
      </c>
      <c r="H59">
        <v>140</v>
      </c>
      <c r="I59">
        <v>8</v>
      </c>
      <c r="J59">
        <v>8</v>
      </c>
      <c r="K59" s="2" t="s">
        <v>24</v>
      </c>
      <c r="L59">
        <f>_xlfn.XLOOKUP("LOADINGSPEEDDEF_"&amp;PROPERTIES[[#This Row],[LOADINGSPEED]],LOADINGSPEEDDEF[TYPE],LOADINGSPEEDDEF[SPEED])</f>
        <v>40</v>
      </c>
      <c r="M59" t="s">
        <v>21</v>
      </c>
      <c r="N59">
        <v>1</v>
      </c>
      <c r="O59" s="34">
        <v>53</v>
      </c>
      <c r="P59">
        <v>750</v>
      </c>
      <c r="Q59">
        <v>120</v>
      </c>
      <c r="R59" s="31">
        <v>0</v>
      </c>
      <c r="S59" s="30">
        <f>IFERROR(PROPERTIES[[#This Row],[TE_STARTING_KN]]/(PROPERTIES[[#This Row],[WEIGHT]]*9.81),0)</f>
        <v>0</v>
      </c>
      <c r="T59" s="30">
        <v>0.08</v>
      </c>
      <c r="U59" s="27">
        <f>ROUND(IF(IFERROR(PROPERTIES[[#This Row],[TE_COEFFICIENT_CALC]],0)=0,PROPERTIES[[#This Row],[TE_COEFFICIENT_MANUAL]],PROPERTIES[[#This Row],[TE_COEFFICIENT_CALC]]),3)</f>
        <v>0.08</v>
      </c>
      <c r="V59" s="6">
        <v>15</v>
      </c>
      <c r="W59" s="10">
        <v>0</v>
      </c>
      <c r="X59" s="10">
        <v>0</v>
      </c>
      <c r="Y59" s="10"/>
      <c r="Z59" t="str">
        <f>"RUNNING_COST_"&amp;IF(PROPERTIES[[#This Row],[ENGINE_CLASS]]="MAGLEV","ELECTRIC",PROPERTIES[[#This Row],[ENGINE_CLASS]])</f>
        <v>RUNNING_COST_ELECTRIC</v>
      </c>
      <c r="AA59" s="10" t="s">
        <v>996</v>
      </c>
      <c r="AB59" s="10" t="s">
        <v>997</v>
      </c>
      <c r="AC59" s="10" t="str">
        <f>SUBSTITUTE(SUBSTITUTE(PROPERTIES[[#This Row],[PURCHASECOST_VALUE]], "PURCHASECOST_", ""), "_VALUE", "")</f>
        <v>ELECTRICRAILBUS</v>
      </c>
      <c r="AD59" s="2" t="b">
        <v>0</v>
      </c>
      <c r="AV59"/>
      <c r="AW59"/>
      <c r="AX59"/>
    </row>
    <row r="60" spans="1:50">
      <c r="A60" s="2" t="s">
        <v>84</v>
      </c>
      <c r="B60">
        <v>1989</v>
      </c>
      <c r="C60">
        <v>0</v>
      </c>
      <c r="D60" t="s">
        <v>1809</v>
      </c>
      <c r="E60" t="str">
        <f>_xlfn.XLOOKUP(PROPERTIES[[#This Row],[COUNTRY]],COUNTRIES[COUNTRY_DESCRIPTION],COUNTRIES[COUNTRY_LABEL],"")</f>
        <v>AT</v>
      </c>
      <c r="F60" t="s">
        <v>74</v>
      </c>
      <c r="G60" t="s">
        <v>18</v>
      </c>
      <c r="H60">
        <f>64+62</f>
        <v>126</v>
      </c>
      <c r="I60">
        <v>8</v>
      </c>
      <c r="J60">
        <v>8</v>
      </c>
      <c r="K60" s="2" t="s">
        <v>24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4">
        <v>42</v>
      </c>
      <c r="P60">
        <v>643</v>
      </c>
      <c r="Q60">
        <v>120</v>
      </c>
      <c r="R60" s="31">
        <v>0</v>
      </c>
      <c r="S60" s="30">
        <f>IFERROR(PROPERTIES[[#This Row],[TE_STARTING_KN]]/(PROPERTIES[[#This Row],[WEIGHT]]*9.81),0)</f>
        <v>0</v>
      </c>
      <c r="T60" s="30">
        <v>0.21</v>
      </c>
      <c r="U60" s="27">
        <f>ROUND(IF(IFERROR(PROPERTIES[[#This Row],[TE_COEFFICIENT_CALC]],0)=0,PROPERTIES[[#This Row],[TE_COEFFICIENT_MANUAL]],PROPERTIES[[#This Row],[TE_COEFFICIENT_CALC]]),3)</f>
        <v>0.21</v>
      </c>
      <c r="V60" s="6">
        <v>15</v>
      </c>
      <c r="W60" s="10">
        <v>0</v>
      </c>
      <c r="X60" s="10">
        <v>0</v>
      </c>
      <c r="Y60" s="10"/>
      <c r="Z60" t="str">
        <f>"RUNNING_COST_"&amp;IF(PROPERTIES[[#This Row],[ENGINE_CLASS]]="MAGLEV","ELECTRIC",PROPERTIES[[#This Row],[ENGINE_CLASS]])</f>
        <v>RUNNING_COST_ELECTRIC</v>
      </c>
      <c r="AA60" s="10" t="s">
        <v>996</v>
      </c>
      <c r="AB60" s="10" t="s">
        <v>997</v>
      </c>
      <c r="AC60" s="10" t="str">
        <f>SUBSTITUTE(SUBSTITUTE(PROPERTIES[[#This Row],[PURCHASECOST_VALUE]], "PURCHASECOST_", ""), "_VALUE", "")</f>
        <v>ELECTRICRAILBUS</v>
      </c>
      <c r="AD60" s="2" t="b">
        <v>0</v>
      </c>
      <c r="AV60"/>
      <c r="AW60"/>
      <c r="AX60"/>
    </row>
    <row r="61" spans="1:50">
      <c r="A61" s="2" t="s">
        <v>85</v>
      </c>
      <c r="B61">
        <v>2001</v>
      </c>
      <c r="C61">
        <v>0</v>
      </c>
      <c r="D61" t="s">
        <v>1809</v>
      </c>
      <c r="E61" t="str">
        <f>_xlfn.XLOOKUP(PROPERTIES[[#This Row],[COUNTRY]],COUNTRIES[COUNTRY_DESCRIPTION],COUNTRIES[COUNTRY_LABEL],"")</f>
        <v>AT</v>
      </c>
      <c r="F61" t="s">
        <v>74</v>
      </c>
      <c r="G61" t="s">
        <v>18</v>
      </c>
      <c r="H61">
        <v>150</v>
      </c>
      <c r="I61">
        <v>8</v>
      </c>
      <c r="J61">
        <v>8</v>
      </c>
      <c r="K61" s="2" t="s">
        <v>24</v>
      </c>
      <c r="L61">
        <f>_xlfn.XLOOKUP("LOADINGSPEEDDEF_"&amp;PROPERTIES[[#This Row],[LOADINGSPEED]],LOADINGSPEEDDEF[TYPE],LOADINGSPEEDDEF[SPEED])</f>
        <v>40</v>
      </c>
      <c r="M61" t="s">
        <v>21</v>
      </c>
      <c r="N61">
        <v>1</v>
      </c>
      <c r="O61" s="34">
        <v>52</v>
      </c>
      <c r="P61">
        <v>1475</v>
      </c>
      <c r="Q61">
        <v>90</v>
      </c>
      <c r="R61" s="31">
        <v>0</v>
      </c>
      <c r="S61" s="30">
        <f>IFERROR(PROPERTIES[[#This Row],[TE_STARTING_KN]]/(PROPERTIES[[#This Row],[WEIGHT]]*9.81),0)</f>
        <v>0</v>
      </c>
      <c r="T61" s="30">
        <v>0.28999999999999998</v>
      </c>
      <c r="U61" s="27">
        <f>ROUND(IF(IFERROR(PROPERTIES[[#This Row],[TE_COEFFICIENT_CALC]],0)=0,PROPERTIES[[#This Row],[TE_COEFFICIENT_MANUAL]],PROPERTIES[[#This Row],[TE_COEFFICIENT_CALC]]),3)</f>
        <v>0.28999999999999998</v>
      </c>
      <c r="V61" s="6">
        <v>15</v>
      </c>
      <c r="W61" s="10">
        <v>0</v>
      </c>
      <c r="X61" s="10">
        <v>0</v>
      </c>
      <c r="Y61" s="10"/>
      <c r="Z61" t="str">
        <f>"RUNNING_COST_"&amp;IF(PROPERTIES[[#This Row],[ENGINE_CLASS]]="MAGLEV","ELECTRIC",PROPERTIES[[#This Row],[ENGINE_CLASS]])</f>
        <v>RUNNING_COST_ELECTRIC</v>
      </c>
      <c r="AA61" s="10" t="s">
        <v>996</v>
      </c>
      <c r="AB61" s="10" t="s">
        <v>997</v>
      </c>
      <c r="AC61" s="10" t="str">
        <f>SUBSTITUTE(SUBSTITUTE(PROPERTIES[[#This Row],[PURCHASECOST_VALUE]], "PURCHASECOST_", ""), "_VALUE", "")</f>
        <v>ELECTRICRAILBUS</v>
      </c>
      <c r="AD61" s="2" t="b">
        <v>0</v>
      </c>
      <c r="AV61"/>
      <c r="AW61"/>
      <c r="AX61"/>
    </row>
    <row r="62" spans="1:50">
      <c r="A62" s="2" t="s">
        <v>86</v>
      </c>
      <c r="B62">
        <v>1927</v>
      </c>
      <c r="C62">
        <v>0</v>
      </c>
      <c r="D62" t="s">
        <v>1854</v>
      </c>
      <c r="E62" t="str">
        <f>_xlfn.XLOOKUP(PROPERTIES[[#This Row],[COUNTRY]],COUNTRIES[COUNTRY_DESCRIPTION],COUNTRIES[COUNTRY_LABEL],"")</f>
        <v>DE</v>
      </c>
      <c r="F62" t="s">
        <v>74</v>
      </c>
      <c r="G62" t="s">
        <v>18</v>
      </c>
      <c r="H62">
        <v>75</v>
      </c>
      <c r="I62">
        <v>8</v>
      </c>
      <c r="J62">
        <v>8</v>
      </c>
      <c r="K62" s="2" t="s">
        <v>24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4">
        <v>61</v>
      </c>
      <c r="P62">
        <v>740</v>
      </c>
      <c r="Q62">
        <v>75</v>
      </c>
      <c r="R62" s="31">
        <v>0</v>
      </c>
      <c r="S62" s="30">
        <f>IFERROR(PROPERTIES[[#This Row],[TE_STARTING_KN]]/(PROPERTIES[[#This Row],[WEIGHT]]*9.81),0)</f>
        <v>0</v>
      </c>
      <c r="T62" s="30">
        <v>0.16</v>
      </c>
      <c r="U62" s="27">
        <f>ROUND(IF(IFERROR(PROPERTIES[[#This Row],[TE_COEFFICIENT_CALC]],0)=0,PROPERTIES[[#This Row],[TE_COEFFICIENT_MANUAL]],PROPERTIES[[#This Row],[TE_COEFFICIENT_CALC]]),3)</f>
        <v>0.16</v>
      </c>
      <c r="V62" s="6">
        <v>15</v>
      </c>
      <c r="W62" s="10">
        <v>0</v>
      </c>
      <c r="X62" s="10">
        <v>0</v>
      </c>
      <c r="Y62" s="10"/>
      <c r="Z62" t="str">
        <f>"RUNNING_COST_"&amp;IF(PROPERTIES[[#This Row],[ENGINE_CLASS]]="MAGLEV","ELECTRIC",PROPERTIES[[#This Row],[ENGINE_CLASS]])</f>
        <v>RUNNING_COST_ELECTRIC</v>
      </c>
      <c r="AA62" s="10" t="s">
        <v>996</v>
      </c>
      <c r="AB62" s="10" t="s">
        <v>997</v>
      </c>
      <c r="AC62" s="10" t="str">
        <f>SUBSTITUTE(SUBSTITUTE(PROPERTIES[[#This Row],[PURCHASECOST_VALUE]], "PURCHASECOST_", ""), "_VALUE", "")</f>
        <v>ELECTRICRAILBUS</v>
      </c>
      <c r="AD62" s="2" t="b">
        <v>0</v>
      </c>
      <c r="AV62"/>
      <c r="AW62"/>
      <c r="AX62"/>
    </row>
    <row r="63" spans="1:50">
      <c r="A63" s="2" t="s">
        <v>87</v>
      </c>
      <c r="B63">
        <v>1955</v>
      </c>
      <c r="C63">
        <v>0</v>
      </c>
      <c r="D63" t="s">
        <v>1993</v>
      </c>
      <c r="E63" t="str">
        <f>_xlfn.XLOOKUP(PROPERTIES[[#This Row],[COUNTRY]],COUNTRIES[COUNTRY_DESCRIPTION],COUNTRIES[COUNTRY_LABEL],"")</f>
        <v>SE</v>
      </c>
      <c r="F63" t="s">
        <v>74</v>
      </c>
      <c r="G63" t="s">
        <v>18</v>
      </c>
      <c r="H63">
        <v>90</v>
      </c>
      <c r="I63">
        <v>6</v>
      </c>
      <c r="J63">
        <v>6</v>
      </c>
      <c r="K63" s="2" t="s">
        <v>24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4">
        <v>21</v>
      </c>
      <c r="P63">
        <v>230</v>
      </c>
      <c r="Q63">
        <v>110</v>
      </c>
      <c r="R63" s="31">
        <v>15</v>
      </c>
      <c r="S63" s="30">
        <f>IFERROR(PROPERTIES[[#This Row],[TE_STARTING_KN]]/(PROPERTIES[[#This Row],[WEIGHT]]*9.81),0)</f>
        <v>7.2811999417503992E-2</v>
      </c>
      <c r="T63" s="30">
        <v>0.34</v>
      </c>
      <c r="U63" s="27">
        <f>ROUND(IF(IFERROR(PROPERTIES[[#This Row],[TE_COEFFICIENT_CALC]],0)=0,PROPERTIES[[#This Row],[TE_COEFFICIENT_MANUAL]],PROPERTIES[[#This Row],[TE_COEFFICIENT_CALC]]),3)</f>
        <v>7.2999999999999995E-2</v>
      </c>
      <c r="V63" s="6">
        <v>15</v>
      </c>
      <c r="W63" s="10">
        <v>0</v>
      </c>
      <c r="X63" s="10">
        <v>0</v>
      </c>
      <c r="Y63" s="10"/>
      <c r="Z63" t="str">
        <f>"RUNNING_COST_"&amp;IF(PROPERTIES[[#This Row],[ENGINE_CLASS]]="MAGLEV","ELECTRIC",PROPERTIES[[#This Row],[ENGINE_CLASS]])</f>
        <v>RUNNING_COST_ELECTRIC</v>
      </c>
      <c r="AA63" s="10" t="s">
        <v>996</v>
      </c>
      <c r="AB63" s="10" t="s">
        <v>997</v>
      </c>
      <c r="AC63" s="10" t="str">
        <f>SUBSTITUTE(SUBSTITUTE(PROPERTIES[[#This Row],[PURCHASECOST_VALUE]], "PURCHASECOST_", ""), "_VALUE", "")</f>
        <v>ELECTRICRAILBUS</v>
      </c>
      <c r="AD63" s="2" t="b">
        <v>0</v>
      </c>
      <c r="AV63"/>
      <c r="AW63"/>
      <c r="AX63"/>
    </row>
    <row r="64" spans="1:50">
      <c r="A64" s="2" t="s">
        <v>88</v>
      </c>
      <c r="B64">
        <v>1963</v>
      </c>
      <c r="C64">
        <v>0</v>
      </c>
      <c r="D64" t="s">
        <v>2029</v>
      </c>
      <c r="E64" t="str">
        <f>_xlfn.XLOOKUP(PROPERTIES[[#This Row],[COUNTRY]],COUNTRIES[COUNTRY_DESCRIPTION],COUNTRIES[COUNTRY_LABEL],"")</f>
        <v>US</v>
      </c>
      <c r="F64" t="s">
        <v>74</v>
      </c>
      <c r="G64" t="s">
        <v>18</v>
      </c>
      <c r="H64">
        <v>124</v>
      </c>
      <c r="I64">
        <v>8</v>
      </c>
      <c r="J64">
        <v>8</v>
      </c>
      <c r="K64" s="2" t="s">
        <v>24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4">
        <v>46</v>
      </c>
      <c r="P64">
        <v>550</v>
      </c>
      <c r="Q64">
        <v>137</v>
      </c>
      <c r="R64" s="31">
        <v>0</v>
      </c>
      <c r="S64" s="30">
        <f>IFERROR(PROPERTIES[[#This Row],[TE_STARTING_KN]]/(PROPERTIES[[#This Row],[WEIGHT]]*9.81),0)</f>
        <v>0</v>
      </c>
      <c r="T64" s="30">
        <v>0.18</v>
      </c>
      <c r="U64" s="27">
        <f>ROUND(IF(IFERROR(PROPERTIES[[#This Row],[TE_COEFFICIENT_CALC]],0)=0,PROPERTIES[[#This Row],[TE_COEFFICIENT_MANUAL]],PROPERTIES[[#This Row],[TE_COEFFICIENT_CALC]]),3)</f>
        <v>0.18</v>
      </c>
      <c r="V64" s="6">
        <v>15</v>
      </c>
      <c r="W64" s="10">
        <v>0</v>
      </c>
      <c r="X64" s="10">
        <v>0</v>
      </c>
      <c r="Y64" s="10"/>
      <c r="Z64" t="str">
        <f>"RUNNING_COST_"&amp;IF(PROPERTIES[[#This Row],[ENGINE_CLASS]]="MAGLEV","ELECTRIC",PROPERTIES[[#This Row],[ENGINE_CLASS]])</f>
        <v>RUNNING_COST_ELECTRIC</v>
      </c>
      <c r="AA64" s="10" t="s">
        <v>996</v>
      </c>
      <c r="AB64" s="10" t="s">
        <v>997</v>
      </c>
      <c r="AC64" s="10" t="str">
        <f>SUBSTITUTE(SUBSTITUTE(PROPERTIES[[#This Row],[PURCHASECOST_VALUE]], "PURCHASECOST_", ""), "_VALUE", "")</f>
        <v>ELECTRICRAILBUS</v>
      </c>
      <c r="AD64" s="2" t="b">
        <v>0</v>
      </c>
      <c r="AV64"/>
      <c r="AW64"/>
      <c r="AX64"/>
    </row>
    <row r="65" spans="1:50">
      <c r="A65" s="2" t="s">
        <v>89</v>
      </c>
      <c r="B65">
        <v>2010</v>
      </c>
      <c r="C65">
        <v>0</v>
      </c>
      <c r="D65" t="s">
        <v>2029</v>
      </c>
      <c r="E65" t="str">
        <f>_xlfn.XLOOKUP(PROPERTIES[[#This Row],[COUNTRY]],COUNTRIES[COUNTRY_DESCRIPTION],COUNTRIES[COUNTRY_LABEL],"")</f>
        <v>US</v>
      </c>
      <c r="F65" t="s">
        <v>74</v>
      </c>
      <c r="G65" t="s">
        <v>18</v>
      </c>
      <c r="H65">
        <v>110</v>
      </c>
      <c r="I65">
        <v>8</v>
      </c>
      <c r="J65">
        <v>8</v>
      </c>
      <c r="K65" s="2" t="s">
        <v>24</v>
      </c>
      <c r="L65">
        <f>_xlfn.XLOOKUP("LOADINGSPEEDDEF_"&amp;PROPERTIES[[#This Row],[LOADINGSPEED]],LOADINGSPEEDDEF[TYPE],LOADINGSPEEDDEF[SPEED])</f>
        <v>40</v>
      </c>
      <c r="M65" t="s">
        <v>21</v>
      </c>
      <c r="N65">
        <v>1</v>
      </c>
      <c r="O65" s="34">
        <v>66</v>
      </c>
      <c r="P65">
        <v>680</v>
      </c>
      <c r="Q65">
        <v>180</v>
      </c>
      <c r="R65" s="31">
        <v>0</v>
      </c>
      <c r="S65" s="30">
        <f>IFERROR(PROPERTIES[[#This Row],[TE_STARTING_KN]]/(PROPERTIES[[#This Row],[WEIGHT]]*9.81),0)</f>
        <v>0</v>
      </c>
      <c r="T65" s="30">
        <v>0.17</v>
      </c>
      <c r="U65" s="27">
        <f>ROUND(IF(IFERROR(PROPERTIES[[#This Row],[TE_COEFFICIENT_CALC]],0)=0,PROPERTIES[[#This Row],[TE_COEFFICIENT_MANUAL]],PROPERTIES[[#This Row],[TE_COEFFICIENT_CALC]]),3)</f>
        <v>0.17</v>
      </c>
      <c r="V65" s="6">
        <v>15</v>
      </c>
      <c r="W65" s="10">
        <v>0</v>
      </c>
      <c r="X65" s="10">
        <v>0</v>
      </c>
      <c r="Y65" s="10"/>
      <c r="Z65" t="str">
        <f>"RUNNING_COST_"&amp;IF(PROPERTIES[[#This Row],[ENGINE_CLASS]]="MAGLEV","ELECTRIC",PROPERTIES[[#This Row],[ENGINE_CLASS]])</f>
        <v>RUNNING_COST_ELECTRIC</v>
      </c>
      <c r="AA65" s="10" t="s">
        <v>996</v>
      </c>
      <c r="AB65" s="10" t="s">
        <v>997</v>
      </c>
      <c r="AC65" s="10" t="str">
        <f>SUBSTITUTE(SUBSTITUTE(PROPERTIES[[#This Row],[PURCHASECOST_VALUE]], "PURCHASECOST_", ""), "_VALUE", "")</f>
        <v>ELECTRICRAILBUS</v>
      </c>
      <c r="AD65" s="2" t="b">
        <v>0</v>
      </c>
      <c r="AV65"/>
      <c r="AW65"/>
      <c r="AX65"/>
    </row>
    <row r="66" spans="1:50">
      <c r="A66" s="2" t="s">
        <v>90</v>
      </c>
      <c r="B66">
        <v>1835</v>
      </c>
      <c r="C66">
        <v>0</v>
      </c>
      <c r="D66" t="s">
        <v>1817</v>
      </c>
      <c r="E66" t="str">
        <f>_xlfn.XLOOKUP(PROPERTIES[[#This Row],[COUNTRY]],COUNTRIES[COUNTRY_DESCRIPTION],COUNTRIES[COUNTRY_LABEL],"")</f>
        <v>BE</v>
      </c>
      <c r="F66" t="s">
        <v>23</v>
      </c>
      <c r="G66" t="s">
        <v>20</v>
      </c>
      <c r="H66">
        <v>0</v>
      </c>
      <c r="I66">
        <v>7</v>
      </c>
      <c r="J66">
        <v>7</v>
      </c>
      <c r="K66" s="2" t="s">
        <v>20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4">
        <v>16</v>
      </c>
      <c r="P66">
        <v>50</v>
      </c>
      <c r="Q66">
        <v>35</v>
      </c>
      <c r="R66" s="31">
        <v>0</v>
      </c>
      <c r="S66" s="30">
        <f>IFERROR(PROPERTIES[[#This Row],[TE_STARTING_KN]]/(PROPERTIES[[#This Row],[WEIGHT]]*9.81),0)</f>
        <v>0</v>
      </c>
      <c r="T66" s="30">
        <v>0.09</v>
      </c>
      <c r="U66" s="27">
        <f>ROUND(IF(IFERROR(PROPERTIES[[#This Row],[TE_COEFFICIENT_CALC]],0)=0,PROPERTIES[[#This Row],[TE_COEFFICIENT_MANUAL]],PROPERTIES[[#This Row],[TE_COEFFICIENT_CALC]]),3)</f>
        <v>0.09</v>
      </c>
      <c r="V66" s="6">
        <v>40</v>
      </c>
      <c r="W66" s="10">
        <v>0</v>
      </c>
      <c r="X66" s="10">
        <v>0</v>
      </c>
      <c r="Y66" s="10"/>
      <c r="Z66" t="str">
        <f>"RUNNING_COST_"&amp;IF(PROPERTIES[[#This Row],[ENGINE_CLASS]]="MAGLEV","ELECTRIC",PROPERTIES[[#This Row],[ENGINE_CLASS]])</f>
        <v>RUNNING_COST_STEAM</v>
      </c>
      <c r="AA66" s="10" t="s">
        <v>998</v>
      </c>
      <c r="AB66" s="10" t="s">
        <v>999</v>
      </c>
      <c r="AC66" s="10" t="str">
        <f>SUBSTITUTE(SUBSTITUTE(PROPERTIES[[#This Row],[PURCHASECOST_VALUE]], "PURCHASECOST_", ""), "_VALUE", "")</f>
        <v>STEAMENGINE</v>
      </c>
      <c r="AD66" s="2" t="b">
        <v>0</v>
      </c>
      <c r="AV66"/>
      <c r="AW66"/>
      <c r="AX66"/>
    </row>
    <row r="67" spans="1:50">
      <c r="A67" s="2" t="s">
        <v>91</v>
      </c>
      <c r="B67">
        <v>1848</v>
      </c>
      <c r="C67">
        <v>0</v>
      </c>
      <c r="D67" t="s">
        <v>2029</v>
      </c>
      <c r="E67" t="str">
        <f>_xlfn.XLOOKUP(PROPERTIES[[#This Row],[COUNTRY]],COUNTRIES[COUNTRY_DESCRIPTION],COUNTRIES[COUNTRY_LABEL],"")</f>
        <v>US</v>
      </c>
      <c r="F67" t="s">
        <v>23</v>
      </c>
      <c r="G67" t="s">
        <v>20</v>
      </c>
      <c r="H67">
        <v>0</v>
      </c>
      <c r="I67">
        <v>6</v>
      </c>
      <c r="J67">
        <v>8</v>
      </c>
      <c r="K67" s="2" t="s">
        <v>20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4">
        <v>45</v>
      </c>
      <c r="P67">
        <v>650</v>
      </c>
      <c r="Q67">
        <v>96</v>
      </c>
      <c r="R67" s="31">
        <v>0</v>
      </c>
      <c r="S67" s="30">
        <f>IFERROR(PROPERTIES[[#This Row],[TE_STARTING_KN]]/(PROPERTIES[[#This Row],[WEIGHT]]*9.81),0)</f>
        <v>0</v>
      </c>
      <c r="T67" s="30">
        <v>0.18</v>
      </c>
      <c r="U67" s="27">
        <f>ROUND(IF(IFERROR(PROPERTIES[[#This Row],[TE_COEFFICIENT_CALC]],0)=0,PROPERTIES[[#This Row],[TE_COEFFICIENT_MANUAL]],PROPERTIES[[#This Row],[TE_COEFFICIENT_CALC]]),3)</f>
        <v>0.18</v>
      </c>
      <c r="V67" s="6">
        <v>40</v>
      </c>
      <c r="W67" s="10">
        <v>0</v>
      </c>
      <c r="X67" s="10">
        <v>4</v>
      </c>
      <c r="Y67" s="10"/>
      <c r="Z67" t="str">
        <f>"RUNNING_COST_"&amp;IF(PROPERTIES[[#This Row],[ENGINE_CLASS]]="MAGLEV","ELECTRIC",PROPERTIES[[#This Row],[ENGINE_CLASS]])</f>
        <v>RUNNING_COST_STEAM</v>
      </c>
      <c r="AA67" s="10" t="s">
        <v>998</v>
      </c>
      <c r="AB67" s="10" t="s">
        <v>999</v>
      </c>
      <c r="AC67" s="10" t="str">
        <f>SUBSTITUTE(SUBSTITUTE(PROPERTIES[[#This Row],[PURCHASECOST_VALUE]], "PURCHASECOST_", ""), "_VALUE", "")</f>
        <v>STEAMENGINE</v>
      </c>
      <c r="AD67" s="2" t="b">
        <v>0</v>
      </c>
      <c r="AV67"/>
      <c r="AW67"/>
      <c r="AX67"/>
    </row>
    <row r="68" spans="1:50">
      <c r="A68" s="2" t="s">
        <v>92</v>
      </c>
      <c r="B68">
        <v>1854</v>
      </c>
      <c r="C68">
        <v>0</v>
      </c>
      <c r="D68" t="s">
        <v>1840</v>
      </c>
      <c r="E68" t="str">
        <f>_xlfn.XLOOKUP(PROPERTIES[[#This Row],[COUNTRY]],COUNTRIES[COUNTRY_DESCRIPTION],COUNTRIES[COUNTRY_LABEL],"")</f>
        <v>CH</v>
      </c>
      <c r="F68" t="s">
        <v>23</v>
      </c>
      <c r="G68" t="s">
        <v>20</v>
      </c>
      <c r="H68">
        <v>0</v>
      </c>
      <c r="I68">
        <v>5</v>
      </c>
      <c r="J68">
        <v>5</v>
      </c>
      <c r="K68" s="2" t="s">
        <v>20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4">
        <v>45</v>
      </c>
      <c r="P68">
        <v>400</v>
      </c>
      <c r="Q68">
        <v>60</v>
      </c>
      <c r="R68" s="31">
        <v>0</v>
      </c>
      <c r="S68" s="30">
        <f>IFERROR(PROPERTIES[[#This Row],[TE_STARTING_KN]]/(PROPERTIES[[#This Row],[WEIGHT]]*9.81),0)</f>
        <v>0</v>
      </c>
      <c r="T68" s="30">
        <v>0.2</v>
      </c>
      <c r="U68" s="27">
        <f>ROUND(IF(IFERROR(PROPERTIES[[#This Row],[TE_COEFFICIENT_CALC]],0)=0,PROPERTIES[[#This Row],[TE_COEFFICIENT_MANUAL]],PROPERTIES[[#This Row],[TE_COEFFICIENT_CALC]]),3)</f>
        <v>0.2</v>
      </c>
      <c r="V68" s="6">
        <v>40</v>
      </c>
      <c r="W68" s="10">
        <v>0</v>
      </c>
      <c r="X68" s="10">
        <v>0</v>
      </c>
      <c r="Y68" s="10"/>
      <c r="Z68" t="str">
        <f>"RUNNING_COST_"&amp;IF(PROPERTIES[[#This Row],[ENGINE_CLASS]]="MAGLEV","ELECTRIC",PROPERTIES[[#This Row],[ENGINE_CLASS]])</f>
        <v>RUNNING_COST_STEAM</v>
      </c>
      <c r="AA68" s="10" t="s">
        <v>998</v>
      </c>
      <c r="AB68" s="10" t="s">
        <v>999</v>
      </c>
      <c r="AC68" s="10" t="str">
        <f>SUBSTITUTE(SUBSTITUTE(PROPERTIES[[#This Row],[PURCHASECOST_VALUE]], "PURCHASECOST_", ""), "_VALUE", "")</f>
        <v>STEAMENGINE</v>
      </c>
      <c r="AD68" s="2" t="b">
        <v>0</v>
      </c>
      <c r="AV68"/>
      <c r="AW68"/>
      <c r="AX68"/>
    </row>
    <row r="69" spans="1:50">
      <c r="A69" s="2" t="s">
        <v>93</v>
      </c>
      <c r="B69">
        <v>1869</v>
      </c>
      <c r="C69">
        <v>0</v>
      </c>
      <c r="D69" t="s">
        <v>2029</v>
      </c>
      <c r="E69" t="str">
        <f>_xlfn.XLOOKUP(PROPERTIES[[#This Row],[COUNTRY]],COUNTRIES[COUNTRY_DESCRIPTION],COUNTRIES[COUNTRY_LABEL],"")</f>
        <v>US</v>
      </c>
      <c r="F69" t="s">
        <v>23</v>
      </c>
      <c r="G69" t="s">
        <v>20</v>
      </c>
      <c r="H69">
        <v>0</v>
      </c>
      <c r="I69">
        <v>7</v>
      </c>
      <c r="J69">
        <v>8</v>
      </c>
      <c r="K69" s="2" t="s">
        <v>20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4">
        <v>85</v>
      </c>
      <c r="P69">
        <v>1200</v>
      </c>
      <c r="Q69">
        <v>110</v>
      </c>
      <c r="R69" s="31">
        <v>0</v>
      </c>
      <c r="S69" s="30">
        <f>IFERROR(PROPERTIES[[#This Row],[TE_STARTING_KN]]/(PROPERTIES[[#This Row],[WEIGHT]]*9.81),0)</f>
        <v>0</v>
      </c>
      <c r="T69" s="30">
        <v>0.2</v>
      </c>
      <c r="U69" s="27">
        <f>ROUND(IF(IFERROR(PROPERTIES[[#This Row],[TE_COEFFICIENT_CALC]],0)=0,PROPERTIES[[#This Row],[TE_COEFFICIENT_MANUAL]],PROPERTIES[[#This Row],[TE_COEFFICIENT_CALC]]),3)</f>
        <v>0.2</v>
      </c>
      <c r="V69" s="6">
        <v>40</v>
      </c>
      <c r="W69" s="10">
        <v>0</v>
      </c>
      <c r="X69" s="10">
        <v>4</v>
      </c>
      <c r="Y69" s="10"/>
      <c r="Z69" t="str">
        <f>"RUNNING_COST_"&amp;IF(PROPERTIES[[#This Row],[ENGINE_CLASS]]="MAGLEV","ELECTRIC",PROPERTIES[[#This Row],[ENGINE_CLASS]])</f>
        <v>RUNNING_COST_STEAM</v>
      </c>
      <c r="AA69" s="10" t="s">
        <v>998</v>
      </c>
      <c r="AB69" s="10" t="s">
        <v>999</v>
      </c>
      <c r="AC69" s="10" t="str">
        <f>SUBSTITUTE(SUBSTITUTE(PROPERTIES[[#This Row],[PURCHASECOST_VALUE]], "PURCHASECOST_", ""), "_VALUE", "")</f>
        <v>STEAMENGINE</v>
      </c>
      <c r="AD69" s="2" t="b">
        <v>0</v>
      </c>
      <c r="AV69"/>
      <c r="AW69"/>
      <c r="AX69"/>
    </row>
    <row r="70" spans="1:50">
      <c r="A70" s="2" t="s">
        <v>94</v>
      </c>
      <c r="B70">
        <v>1875</v>
      </c>
      <c r="C70">
        <v>0</v>
      </c>
      <c r="D70" t="s">
        <v>2029</v>
      </c>
      <c r="E70" t="str">
        <f>_xlfn.XLOOKUP(PROPERTIES[[#This Row],[COUNTRY]],COUNTRIES[COUNTRY_DESCRIPTION],COUNTRIES[COUNTRY_LABEL],"")</f>
        <v>US</v>
      </c>
      <c r="F70" t="s">
        <v>23</v>
      </c>
      <c r="G70" t="s">
        <v>20</v>
      </c>
      <c r="H70">
        <v>0</v>
      </c>
      <c r="I70">
        <v>8</v>
      </c>
      <c r="J70">
        <v>10</v>
      </c>
      <c r="K70" s="2" t="s">
        <v>20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4">
        <v>126</v>
      </c>
      <c r="P70">
        <v>1500</v>
      </c>
      <c r="Q70">
        <v>60</v>
      </c>
      <c r="R70" s="31">
        <v>0</v>
      </c>
      <c r="S70" s="30">
        <f>IFERROR(PROPERTIES[[#This Row],[TE_STARTING_KN]]/(PROPERTIES[[#This Row],[WEIGHT]]*9.81),0)</f>
        <v>0</v>
      </c>
      <c r="T70" s="30">
        <v>0.24</v>
      </c>
      <c r="U70" s="27">
        <f>ROUND(IF(IFERROR(PROPERTIES[[#This Row],[TE_COEFFICIENT_CALC]],0)=0,PROPERTIES[[#This Row],[TE_COEFFICIENT_MANUAL]],PROPERTIES[[#This Row],[TE_COEFFICIENT_CALC]]),3)</f>
        <v>0.24</v>
      </c>
      <c r="V70" s="6">
        <v>40</v>
      </c>
      <c r="W70" s="10">
        <v>0</v>
      </c>
      <c r="X70" s="10">
        <v>5</v>
      </c>
      <c r="Y70" s="10"/>
      <c r="Z70" t="str">
        <f>"RUNNING_COST_"&amp;IF(PROPERTIES[[#This Row],[ENGINE_CLASS]]="MAGLEV","ELECTRIC",PROPERTIES[[#This Row],[ENGINE_CLASS]])</f>
        <v>RUNNING_COST_STEAM</v>
      </c>
      <c r="AA70" s="10" t="s">
        <v>998</v>
      </c>
      <c r="AB70" s="10" t="s">
        <v>999</v>
      </c>
      <c r="AC70" s="10" t="str">
        <f>SUBSTITUTE(SUBSTITUTE(PROPERTIES[[#This Row],[PURCHASECOST_VALUE]], "PURCHASECOST_", ""), "_VALUE", "")</f>
        <v>STEAMENGINE</v>
      </c>
      <c r="AD70" s="2" t="b">
        <v>0</v>
      </c>
      <c r="AV70"/>
      <c r="AW70"/>
      <c r="AX70"/>
    </row>
    <row r="71" spans="1:50">
      <c r="A71" s="2" t="s">
        <v>95</v>
      </c>
      <c r="B71">
        <v>1885</v>
      </c>
      <c r="C71">
        <v>0</v>
      </c>
      <c r="D71" t="s">
        <v>1896</v>
      </c>
      <c r="E71" t="str">
        <f>_xlfn.XLOOKUP(PROPERTIES[[#This Row],[COUNTRY]],COUNTRIES[COUNTRY_DESCRIPTION],COUNTRIES[COUNTRY_LABEL],"")</f>
        <v>HU</v>
      </c>
      <c r="F71" t="s">
        <v>23</v>
      </c>
      <c r="G71" t="s">
        <v>20</v>
      </c>
      <c r="H71">
        <v>0</v>
      </c>
      <c r="I71">
        <v>6</v>
      </c>
      <c r="J71">
        <v>6</v>
      </c>
      <c r="K71" s="2" t="s">
        <v>20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4">
        <v>27</v>
      </c>
      <c r="P71">
        <v>170</v>
      </c>
      <c r="Q71">
        <v>45</v>
      </c>
      <c r="R71" s="31">
        <v>31.2</v>
      </c>
      <c r="S71" s="30">
        <f>IFERROR(PROPERTIES[[#This Row],[TE_STARTING_KN]]/(PROPERTIES[[#This Row],[WEIGHT]]*9.81),0)</f>
        <v>0.11779363461320648</v>
      </c>
      <c r="T71" s="30">
        <v>0.21</v>
      </c>
      <c r="U71" s="27">
        <f>ROUND(IF(IFERROR(PROPERTIES[[#This Row],[TE_COEFFICIENT_CALC]],0)=0,PROPERTIES[[#This Row],[TE_COEFFICIENT_MANUAL]],PROPERTIES[[#This Row],[TE_COEFFICIENT_CALC]]),3)</f>
        <v>0.11799999999999999</v>
      </c>
      <c r="V71" s="6">
        <v>40</v>
      </c>
      <c r="W71" s="10">
        <v>0</v>
      </c>
      <c r="X71" s="10">
        <v>0</v>
      </c>
      <c r="Y71" s="10"/>
      <c r="Z71" t="str">
        <f>"RUNNING_COST_"&amp;IF(PROPERTIES[[#This Row],[ENGINE_CLASS]]="MAGLEV","ELECTRIC",PROPERTIES[[#This Row],[ENGINE_CLASS]])</f>
        <v>RUNNING_COST_STEAM</v>
      </c>
      <c r="AA71" s="10" t="s">
        <v>998</v>
      </c>
      <c r="AB71" s="10" t="s">
        <v>999</v>
      </c>
      <c r="AC71" s="10" t="str">
        <f>SUBSTITUTE(SUBSTITUTE(PROPERTIES[[#This Row],[PURCHASECOST_VALUE]], "PURCHASECOST_", ""), "_VALUE", "")</f>
        <v>STEAMENGINE</v>
      </c>
      <c r="AD71" s="2" t="b">
        <v>0</v>
      </c>
      <c r="AV71"/>
      <c r="AW71"/>
      <c r="AX71"/>
    </row>
    <row r="72" spans="1:50">
      <c r="A72" s="2" t="s">
        <v>96</v>
      </c>
      <c r="B72">
        <v>1897</v>
      </c>
      <c r="C72">
        <v>0</v>
      </c>
      <c r="D72" t="s">
        <v>1809</v>
      </c>
      <c r="E72" t="str">
        <f>_xlfn.XLOOKUP(PROPERTIES[[#This Row],[COUNTRY]],COUNTRIES[COUNTRY_DESCRIPTION],COUNTRIES[COUNTRY_LABEL],"")</f>
        <v>AT</v>
      </c>
      <c r="F72" t="s">
        <v>23</v>
      </c>
      <c r="G72" t="s">
        <v>20</v>
      </c>
      <c r="H72">
        <v>0</v>
      </c>
      <c r="I72">
        <v>6</v>
      </c>
      <c r="J72">
        <v>6</v>
      </c>
      <c r="K72" s="2" t="s">
        <v>20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4">
        <v>39</v>
      </c>
      <c r="P72">
        <v>320</v>
      </c>
      <c r="Q72">
        <v>50</v>
      </c>
      <c r="R72" s="31">
        <v>0</v>
      </c>
      <c r="S72" s="30">
        <f>IFERROR(PROPERTIES[[#This Row],[TE_STARTING_KN]]/(PROPERTIES[[#This Row],[WEIGHT]]*9.81),0)</f>
        <v>0</v>
      </c>
      <c r="T72" s="30">
        <v>0.23</v>
      </c>
      <c r="U72" s="27">
        <f>ROUND(IF(IFERROR(PROPERTIES[[#This Row],[TE_COEFFICIENT_CALC]],0)=0,PROPERTIES[[#This Row],[TE_COEFFICIENT_MANUAL]],PROPERTIES[[#This Row],[TE_COEFFICIENT_CALC]]),3)</f>
        <v>0.23</v>
      </c>
      <c r="V72" s="6">
        <v>40</v>
      </c>
      <c r="W72" s="10">
        <v>0</v>
      </c>
      <c r="X72" s="10">
        <v>0</v>
      </c>
      <c r="Y72" s="10"/>
      <c r="Z72" t="str">
        <f>"RUNNING_COST_"&amp;IF(PROPERTIES[[#This Row],[ENGINE_CLASS]]="MAGLEV","ELECTRIC",PROPERTIES[[#This Row],[ENGINE_CLASS]])</f>
        <v>RUNNING_COST_STEAM</v>
      </c>
      <c r="AA72" s="10" t="s">
        <v>998</v>
      </c>
      <c r="AB72" s="10" t="s">
        <v>999</v>
      </c>
      <c r="AC72" s="10" t="str">
        <f>SUBSTITUTE(SUBSTITUTE(PROPERTIES[[#This Row],[PURCHASECOST_VALUE]], "PURCHASECOST_", ""), "_VALUE", "")</f>
        <v>STEAMENGINE</v>
      </c>
      <c r="AD72" s="2" t="b">
        <v>0</v>
      </c>
      <c r="AV72"/>
      <c r="AW72"/>
      <c r="AX72"/>
    </row>
    <row r="73" spans="1:50">
      <c r="A73" s="2" t="s">
        <v>97</v>
      </c>
      <c r="B73">
        <v>1900</v>
      </c>
      <c r="C73">
        <v>0</v>
      </c>
      <c r="D73" t="s">
        <v>1873</v>
      </c>
      <c r="E73" t="str">
        <f>_xlfn.XLOOKUP(PROPERTIES[[#This Row],[COUNTRY]],COUNTRIES[COUNTRY_DESCRIPTION],COUNTRIES[COUNTRY_LABEL],"")</f>
        <v>GB</v>
      </c>
      <c r="F73" t="s">
        <v>23</v>
      </c>
      <c r="G73" t="s">
        <v>20</v>
      </c>
      <c r="H73">
        <v>0</v>
      </c>
      <c r="I73">
        <v>7</v>
      </c>
      <c r="J73">
        <v>7</v>
      </c>
      <c r="K73" s="2" t="s">
        <v>20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4">
        <v>53</v>
      </c>
      <c r="P73">
        <v>540</v>
      </c>
      <c r="Q73">
        <v>80</v>
      </c>
      <c r="R73" s="31">
        <v>83.1</v>
      </c>
      <c r="S73" s="30">
        <f>IFERROR(PROPERTIES[[#This Row],[TE_STARTING_KN]]/(PROPERTIES[[#This Row],[WEIGHT]]*9.81),0)</f>
        <v>0.15982920777797008</v>
      </c>
      <c r="T73" s="30">
        <v>0.16</v>
      </c>
      <c r="U73" s="27">
        <f>ROUND(IF(IFERROR(PROPERTIES[[#This Row],[TE_COEFFICIENT_CALC]],0)=0,PROPERTIES[[#This Row],[TE_COEFFICIENT_MANUAL]],PROPERTIES[[#This Row],[TE_COEFFICIENT_CALC]]),3)</f>
        <v>0.16</v>
      </c>
      <c r="V73" s="6">
        <v>40</v>
      </c>
      <c r="W73" s="10">
        <v>0</v>
      </c>
      <c r="X73" s="10">
        <v>0</v>
      </c>
      <c r="Y73" s="10"/>
      <c r="Z73" t="str">
        <f>"RUNNING_COST_"&amp;IF(PROPERTIES[[#This Row],[ENGINE_CLASS]]="MAGLEV","ELECTRIC",PROPERTIES[[#This Row],[ENGINE_CLASS]])</f>
        <v>RUNNING_COST_STEAM</v>
      </c>
      <c r="AA73" s="10" t="s">
        <v>998</v>
      </c>
      <c r="AB73" s="10" t="s">
        <v>999</v>
      </c>
      <c r="AC73" s="10" t="str">
        <f>SUBSTITUTE(SUBSTITUTE(PROPERTIES[[#This Row],[PURCHASECOST_VALUE]], "PURCHASECOST_", ""), "_VALUE", "")</f>
        <v>STEAMENGINE</v>
      </c>
      <c r="AD73" s="2" t="b">
        <v>0</v>
      </c>
      <c r="AV73"/>
      <c r="AW73"/>
      <c r="AX73"/>
    </row>
    <row r="74" spans="1:50">
      <c r="A74" s="2" t="s">
        <v>98</v>
      </c>
      <c r="B74">
        <v>1902</v>
      </c>
      <c r="C74">
        <v>0</v>
      </c>
      <c r="D74" t="s">
        <v>1840</v>
      </c>
      <c r="E74" t="str">
        <f>_xlfn.XLOOKUP(PROPERTIES[[#This Row],[COUNTRY]],COUNTRIES[COUNTRY_DESCRIPTION],COUNTRIES[COUNTRY_LABEL],"")</f>
        <v>CH</v>
      </c>
      <c r="F74" t="s">
        <v>23</v>
      </c>
      <c r="G74" t="s">
        <v>20</v>
      </c>
      <c r="H74">
        <v>0</v>
      </c>
      <c r="I74">
        <v>8</v>
      </c>
      <c r="J74">
        <v>8</v>
      </c>
      <c r="K74" s="2" t="s">
        <v>20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4">
        <v>106</v>
      </c>
      <c r="P74">
        <v>1340</v>
      </c>
      <c r="Q74">
        <v>100</v>
      </c>
      <c r="R74" s="31">
        <v>0</v>
      </c>
      <c r="S74" s="30">
        <f>IFERROR(PROPERTIES[[#This Row],[TE_STARTING_KN]]/(PROPERTIES[[#This Row],[WEIGHT]]*9.81),0)</f>
        <v>0</v>
      </c>
      <c r="T74" s="30">
        <v>0.16</v>
      </c>
      <c r="U74" s="27">
        <f>ROUND(IF(IFERROR(PROPERTIES[[#This Row],[TE_COEFFICIENT_CALC]],0)=0,PROPERTIES[[#This Row],[TE_COEFFICIENT_MANUAL]],PROPERTIES[[#This Row],[TE_COEFFICIENT_CALC]]),3)</f>
        <v>0.16</v>
      </c>
      <c r="V74" s="6">
        <v>40</v>
      </c>
      <c r="W74" s="10">
        <v>0</v>
      </c>
      <c r="X74" s="10">
        <v>4</v>
      </c>
      <c r="Y74" s="10"/>
      <c r="Z74" t="str">
        <f>"RUNNING_COST_"&amp;IF(PROPERTIES[[#This Row],[ENGINE_CLASS]]="MAGLEV","ELECTRIC",PROPERTIES[[#This Row],[ENGINE_CLASS]])</f>
        <v>RUNNING_COST_STEAM</v>
      </c>
      <c r="AA74" s="10" t="s">
        <v>998</v>
      </c>
      <c r="AB74" s="10" t="s">
        <v>999</v>
      </c>
      <c r="AC74" s="10" t="str">
        <f>SUBSTITUTE(SUBSTITUTE(PROPERTIES[[#This Row],[PURCHASECOST_VALUE]], "PURCHASECOST_", ""), "_VALUE", "")</f>
        <v>STEAMENGINE</v>
      </c>
      <c r="AD74" s="2" t="b">
        <v>0</v>
      </c>
      <c r="AV74"/>
      <c r="AW74"/>
      <c r="AX74"/>
    </row>
    <row r="75" spans="1:50">
      <c r="A75" s="2" t="s">
        <v>99</v>
      </c>
      <c r="B75">
        <v>1902</v>
      </c>
      <c r="C75">
        <v>0</v>
      </c>
      <c r="D75" t="s">
        <v>1840</v>
      </c>
      <c r="E75" t="str">
        <f>_xlfn.XLOOKUP(PROPERTIES[[#This Row],[COUNTRY]],COUNTRIES[COUNTRY_DESCRIPTION],COUNTRIES[COUNTRY_LABEL],"")</f>
        <v>CH</v>
      </c>
      <c r="F75" t="s">
        <v>23</v>
      </c>
      <c r="G75" t="s">
        <v>20</v>
      </c>
      <c r="H75">
        <v>0</v>
      </c>
      <c r="I75">
        <v>6</v>
      </c>
      <c r="J75">
        <v>6</v>
      </c>
      <c r="K75" s="2" t="s">
        <v>20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4">
        <v>35</v>
      </c>
      <c r="P75">
        <v>493</v>
      </c>
      <c r="Q75">
        <v>45</v>
      </c>
      <c r="R75" s="31">
        <v>0</v>
      </c>
      <c r="S75" s="30">
        <f>IFERROR(PROPERTIES[[#This Row],[TE_STARTING_KN]]/(PROPERTIES[[#This Row],[WEIGHT]]*9.81),0)</f>
        <v>0</v>
      </c>
      <c r="T75" s="30">
        <v>0.25</v>
      </c>
      <c r="U75" s="27">
        <f>ROUND(IF(IFERROR(PROPERTIES[[#This Row],[TE_COEFFICIENT_CALC]],0)=0,PROPERTIES[[#This Row],[TE_COEFFICIENT_MANUAL]],PROPERTIES[[#This Row],[TE_COEFFICIENT_CALC]]),3)</f>
        <v>0.25</v>
      </c>
      <c r="V75" s="6">
        <v>40</v>
      </c>
      <c r="W75" s="10">
        <v>0</v>
      </c>
      <c r="X75" s="10">
        <v>0</v>
      </c>
      <c r="Y75" s="10"/>
      <c r="Z75" t="str">
        <f>"RUNNING_COST_"&amp;IF(PROPERTIES[[#This Row],[ENGINE_CLASS]]="MAGLEV","ELECTRIC",PROPERTIES[[#This Row],[ENGINE_CLASS]])</f>
        <v>RUNNING_COST_STEAM</v>
      </c>
      <c r="AA75" s="10" t="s">
        <v>998</v>
      </c>
      <c r="AB75" s="10" t="s">
        <v>999</v>
      </c>
      <c r="AC75" s="10" t="str">
        <f>SUBSTITUTE(SUBSTITUTE(PROPERTIES[[#This Row],[PURCHASECOST_VALUE]], "PURCHASECOST_", ""), "_VALUE", "")</f>
        <v>STEAMENGINE</v>
      </c>
      <c r="AD75" s="2" t="b">
        <v>0</v>
      </c>
      <c r="AV75"/>
      <c r="AW75"/>
      <c r="AX75"/>
    </row>
    <row r="76" spans="1:50">
      <c r="A76" s="2" t="s">
        <v>100</v>
      </c>
      <c r="B76">
        <v>1910</v>
      </c>
      <c r="C76">
        <v>0</v>
      </c>
      <c r="D76" t="s">
        <v>1809</v>
      </c>
      <c r="E76" t="str">
        <f>_xlfn.XLOOKUP(PROPERTIES[[#This Row],[COUNTRY]],COUNTRIES[COUNTRY_DESCRIPTION],COUNTRIES[COUNTRY_LABEL],"")</f>
        <v>AT</v>
      </c>
      <c r="F76" t="s">
        <v>23</v>
      </c>
      <c r="G76" t="s">
        <v>20</v>
      </c>
      <c r="H76">
        <v>0</v>
      </c>
      <c r="I76">
        <v>7</v>
      </c>
      <c r="J76">
        <v>7</v>
      </c>
      <c r="K76" s="2" t="s">
        <v>20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4">
        <v>42</v>
      </c>
      <c r="P76">
        <v>480</v>
      </c>
      <c r="Q76">
        <v>60</v>
      </c>
      <c r="R76" s="31">
        <v>0</v>
      </c>
      <c r="S76" s="30">
        <f>IFERROR(PROPERTIES[[#This Row],[TE_STARTING_KN]]/(PROPERTIES[[#This Row],[WEIGHT]]*9.81),0)</f>
        <v>0</v>
      </c>
      <c r="T76" s="30">
        <v>0.26</v>
      </c>
      <c r="U76" s="27">
        <f>ROUND(IF(IFERROR(PROPERTIES[[#This Row],[TE_COEFFICIENT_CALC]],0)=0,PROPERTIES[[#This Row],[TE_COEFFICIENT_MANUAL]],PROPERTIES[[#This Row],[TE_COEFFICIENT_CALC]]),3)</f>
        <v>0.26</v>
      </c>
      <c r="V76" s="6">
        <v>40</v>
      </c>
      <c r="W76" s="10">
        <v>0</v>
      </c>
      <c r="X76" s="10">
        <v>0</v>
      </c>
      <c r="Y76" s="10"/>
      <c r="Z76" t="str">
        <f>"RUNNING_COST_"&amp;IF(PROPERTIES[[#This Row],[ENGINE_CLASS]]="MAGLEV","ELECTRIC",PROPERTIES[[#This Row],[ENGINE_CLASS]])</f>
        <v>RUNNING_COST_STEAM</v>
      </c>
      <c r="AA76" s="10" t="s">
        <v>998</v>
      </c>
      <c r="AB76" s="10" t="s">
        <v>999</v>
      </c>
      <c r="AC76" s="10" t="str">
        <f>SUBSTITUTE(SUBSTITUTE(PROPERTIES[[#This Row],[PURCHASECOST_VALUE]], "PURCHASECOST_", ""), "_VALUE", "")</f>
        <v>STEAMENGINE</v>
      </c>
      <c r="AD76" s="2" t="b">
        <v>0</v>
      </c>
      <c r="AV76"/>
      <c r="AW76"/>
      <c r="AX76"/>
    </row>
    <row r="77" spans="1:50">
      <c r="A77" s="2" t="s">
        <v>101</v>
      </c>
      <c r="B77">
        <v>1908</v>
      </c>
      <c r="C77">
        <v>0</v>
      </c>
      <c r="D77" t="s">
        <v>1967</v>
      </c>
      <c r="E77" t="str">
        <f>_xlfn.XLOOKUP(PROPERTIES[[#This Row],[COUNTRY]],COUNTRIES[COUNTRY_DESCRIPTION],COUNTRIES[COUNTRY_LABEL],"")</f>
        <v>NZ</v>
      </c>
      <c r="F77" t="s">
        <v>23</v>
      </c>
      <c r="G77" t="s">
        <v>20</v>
      </c>
      <c r="H77">
        <v>0</v>
      </c>
      <c r="I77">
        <v>8</v>
      </c>
      <c r="J77">
        <v>12</v>
      </c>
      <c r="K77" s="2" t="s">
        <v>20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4">
        <v>94</v>
      </c>
      <c r="P77">
        <v>850</v>
      </c>
      <c r="Q77">
        <v>48</v>
      </c>
      <c r="R77" s="31">
        <v>0</v>
      </c>
      <c r="S77" s="30">
        <f>IFERROR(PROPERTIES[[#This Row],[TE_STARTING_KN]]/(PROPERTIES[[#This Row],[WEIGHT]]*9.81),0)</f>
        <v>0</v>
      </c>
      <c r="T77" s="30">
        <v>0.22</v>
      </c>
      <c r="U77" s="27">
        <f>ROUND(IF(IFERROR(PROPERTIES[[#This Row],[TE_COEFFICIENT_CALC]],0)=0,PROPERTIES[[#This Row],[TE_COEFFICIENT_MANUAL]],PROPERTIES[[#This Row],[TE_COEFFICIENT_CALC]]),3)</f>
        <v>0.22</v>
      </c>
      <c r="V77" s="6">
        <v>40</v>
      </c>
      <c r="W77" s="10">
        <v>0</v>
      </c>
      <c r="X77" s="10">
        <v>6</v>
      </c>
      <c r="Y77" s="10"/>
      <c r="Z77" t="str">
        <f>"RUNNING_COST_"&amp;IF(PROPERTIES[[#This Row],[ENGINE_CLASS]]="MAGLEV","ELECTRIC",PROPERTIES[[#This Row],[ENGINE_CLASS]])</f>
        <v>RUNNING_COST_STEAM</v>
      </c>
      <c r="AA77" s="10" t="s">
        <v>998</v>
      </c>
      <c r="AB77" s="10" t="s">
        <v>999</v>
      </c>
      <c r="AC77" s="10" t="str">
        <f>SUBSTITUTE(SUBSTITUTE(PROPERTIES[[#This Row],[PURCHASECOST_VALUE]], "PURCHASECOST_", ""), "_VALUE", "")</f>
        <v>STEAMENGINE</v>
      </c>
      <c r="AD77" s="2" t="b">
        <v>0</v>
      </c>
      <c r="AV77"/>
      <c r="AW77"/>
      <c r="AX77"/>
    </row>
    <row r="78" spans="1:50">
      <c r="A78" s="2" t="s">
        <v>102</v>
      </c>
      <c r="B78">
        <v>1914</v>
      </c>
      <c r="C78">
        <v>0</v>
      </c>
      <c r="D78" t="s">
        <v>1894</v>
      </c>
      <c r="E78" t="str">
        <f>_xlfn.XLOOKUP(PROPERTIES[[#This Row],[COUNTRY]],COUNTRIES[COUNTRY_DESCRIPTION],COUNTRIES[COUNTRY_LABEL],"")</f>
        <v>HR</v>
      </c>
      <c r="F78" t="s">
        <v>23</v>
      </c>
      <c r="G78" t="s">
        <v>20</v>
      </c>
      <c r="H78">
        <v>0</v>
      </c>
      <c r="I78">
        <v>6</v>
      </c>
      <c r="J78">
        <v>6</v>
      </c>
      <c r="K78" s="2" t="s">
        <v>20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4">
        <v>52</v>
      </c>
      <c r="P78">
        <v>330</v>
      </c>
      <c r="Q78">
        <v>60</v>
      </c>
      <c r="R78" s="31">
        <v>0</v>
      </c>
      <c r="S78" s="30">
        <f>IFERROR(PROPERTIES[[#This Row],[TE_STARTING_KN]]/(PROPERTIES[[#This Row],[WEIGHT]]*9.81),0)</f>
        <v>0</v>
      </c>
      <c r="T78" s="30">
        <v>0.19</v>
      </c>
      <c r="U78" s="27">
        <f>ROUND(IF(IFERROR(PROPERTIES[[#This Row],[TE_COEFFICIENT_CALC]],0)=0,PROPERTIES[[#This Row],[TE_COEFFICIENT_MANUAL]],PROPERTIES[[#This Row],[TE_COEFFICIENT_CALC]]),3)</f>
        <v>0.19</v>
      </c>
      <c r="V78" s="6">
        <v>40</v>
      </c>
      <c r="W78" s="10">
        <v>0</v>
      </c>
      <c r="X78" s="10">
        <v>0</v>
      </c>
      <c r="Y78" s="10"/>
      <c r="Z78" t="str">
        <f>"RUNNING_COST_"&amp;IF(PROPERTIES[[#This Row],[ENGINE_CLASS]]="MAGLEV","ELECTRIC",PROPERTIES[[#This Row],[ENGINE_CLASS]])</f>
        <v>RUNNING_COST_STEAM</v>
      </c>
      <c r="AA78" s="10" t="s">
        <v>998</v>
      </c>
      <c r="AB78" s="10" t="s">
        <v>999</v>
      </c>
      <c r="AC78" s="10" t="str">
        <f>SUBSTITUTE(SUBSTITUTE(PROPERTIES[[#This Row],[PURCHASECOST_VALUE]], "PURCHASECOST_", ""), "_VALUE", "")</f>
        <v>STEAMENGINE</v>
      </c>
      <c r="AD78" s="2" t="b">
        <v>0</v>
      </c>
      <c r="AV78"/>
      <c r="AW78"/>
      <c r="AX78"/>
    </row>
    <row r="79" spans="1:50">
      <c r="A79" s="2" t="s">
        <v>103</v>
      </c>
      <c r="B79">
        <v>1916</v>
      </c>
      <c r="C79">
        <v>0</v>
      </c>
      <c r="D79" t="s">
        <v>1906</v>
      </c>
      <c r="E79" t="str">
        <f>_xlfn.XLOOKUP(PROPERTIES[[#This Row],[COUNTRY]],COUNTRIES[COUNTRY_DESCRIPTION],COUNTRIES[COUNTRY_LABEL],"")</f>
        <v>IT</v>
      </c>
      <c r="F79" t="s">
        <v>23</v>
      </c>
      <c r="G79" t="s">
        <v>20</v>
      </c>
      <c r="H79">
        <v>0</v>
      </c>
      <c r="I79">
        <v>6</v>
      </c>
      <c r="J79">
        <v>6</v>
      </c>
      <c r="K79" s="2" t="s">
        <v>20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4">
        <v>92</v>
      </c>
      <c r="P79">
        <v>540</v>
      </c>
      <c r="Q79">
        <v>75</v>
      </c>
      <c r="R79" s="31">
        <v>0</v>
      </c>
      <c r="S79" s="30">
        <f>IFERROR(PROPERTIES[[#This Row],[TE_STARTING_KN]]/(PROPERTIES[[#This Row],[WEIGHT]]*9.81),0)</f>
        <v>0</v>
      </c>
      <c r="T79" s="30">
        <v>0.2</v>
      </c>
      <c r="U79" s="27">
        <f>ROUND(IF(IFERROR(PROPERTIES[[#This Row],[TE_COEFFICIENT_CALC]],0)=0,PROPERTIES[[#This Row],[TE_COEFFICIENT_MANUAL]],PROPERTIES[[#This Row],[TE_COEFFICIENT_CALC]]),3)</f>
        <v>0.2</v>
      </c>
      <c r="V79" s="6">
        <v>40</v>
      </c>
      <c r="W79" s="10">
        <v>0</v>
      </c>
      <c r="X79" s="10">
        <v>0</v>
      </c>
      <c r="Y79" s="10"/>
      <c r="Z79" t="str">
        <f>"RUNNING_COST_"&amp;IF(PROPERTIES[[#This Row],[ENGINE_CLASS]]="MAGLEV","ELECTRIC",PROPERTIES[[#This Row],[ENGINE_CLASS]])</f>
        <v>RUNNING_COST_STEAM</v>
      </c>
      <c r="AA79" s="10" t="s">
        <v>998</v>
      </c>
      <c r="AB79" s="10" t="s">
        <v>999</v>
      </c>
      <c r="AC79" s="10" t="str">
        <f>SUBSTITUTE(SUBSTITUTE(PROPERTIES[[#This Row],[PURCHASECOST_VALUE]], "PURCHASECOST_", ""), "_VALUE", "")</f>
        <v>STEAMENGINE</v>
      </c>
      <c r="AD79" s="2" t="b">
        <v>0</v>
      </c>
      <c r="AV79"/>
      <c r="AW79"/>
      <c r="AX79"/>
    </row>
    <row r="80" spans="1:50">
      <c r="A80" s="2" t="s">
        <v>104</v>
      </c>
      <c r="B80">
        <v>1910</v>
      </c>
      <c r="C80">
        <v>0</v>
      </c>
      <c r="D80" t="s">
        <v>1807</v>
      </c>
      <c r="E80" t="str">
        <f>_xlfn.XLOOKUP(PROPERTIES[[#This Row],[COUNTRY]],COUNTRIES[COUNTRY_DESCRIPTION],COUNTRIES[COUNTRY_LABEL],"")</f>
        <v>AR</v>
      </c>
      <c r="F80" t="s">
        <v>23</v>
      </c>
      <c r="G80" t="s">
        <v>20</v>
      </c>
      <c r="H80">
        <v>0</v>
      </c>
      <c r="I80">
        <v>7</v>
      </c>
      <c r="J80">
        <v>8</v>
      </c>
      <c r="K80" s="2" t="s">
        <v>20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4">
        <v>92</v>
      </c>
      <c r="P80">
        <v>850</v>
      </c>
      <c r="Q80">
        <v>64</v>
      </c>
      <c r="R80" s="31">
        <v>0</v>
      </c>
      <c r="S80" s="30">
        <f>IFERROR(PROPERTIES[[#This Row],[TE_STARTING_KN]]/(PROPERTIES[[#This Row],[WEIGHT]]*9.81),0)</f>
        <v>0</v>
      </c>
      <c r="T80" s="30">
        <v>0.22</v>
      </c>
      <c r="U80" s="27">
        <f>ROUND(IF(IFERROR(PROPERTIES[[#This Row],[TE_COEFFICIENT_CALC]],0)=0,PROPERTIES[[#This Row],[TE_COEFFICIENT_MANUAL]],PROPERTIES[[#This Row],[TE_COEFFICIENT_CALC]]),3)</f>
        <v>0.22</v>
      </c>
      <c r="V80" s="6">
        <v>40</v>
      </c>
      <c r="W80" s="10">
        <v>0</v>
      </c>
      <c r="X80" s="10">
        <v>4</v>
      </c>
      <c r="Y80" s="10"/>
      <c r="Z80" t="str">
        <f>"RUNNING_COST_"&amp;IF(PROPERTIES[[#This Row],[ENGINE_CLASS]]="MAGLEV","ELECTRIC",PROPERTIES[[#This Row],[ENGINE_CLASS]])</f>
        <v>RUNNING_COST_STEAM</v>
      </c>
      <c r="AA80" s="10" t="s">
        <v>998</v>
      </c>
      <c r="AB80" s="10" t="s">
        <v>999</v>
      </c>
      <c r="AC80" s="10" t="str">
        <f>SUBSTITUTE(SUBSTITUTE(PROPERTIES[[#This Row],[PURCHASECOST_VALUE]], "PURCHASECOST_", ""), "_VALUE", "")</f>
        <v>STEAMENGINE</v>
      </c>
      <c r="AD80" s="2" t="b">
        <v>0</v>
      </c>
      <c r="AV80"/>
      <c r="AW80"/>
      <c r="AX80"/>
    </row>
    <row r="81" spans="1:50">
      <c r="A81" s="2" t="s">
        <v>105</v>
      </c>
      <c r="B81">
        <v>1913</v>
      </c>
      <c r="C81">
        <v>0</v>
      </c>
      <c r="D81" t="s">
        <v>1872</v>
      </c>
      <c r="E81" t="str">
        <f>_xlfn.XLOOKUP(PROPERTIES[[#This Row],[COUNTRY]],COUNTRIES[COUNTRY_DESCRIPTION],COUNTRIES[COUNTRY_LABEL],"")</f>
        <v>FR</v>
      </c>
      <c r="F81" t="s">
        <v>23</v>
      </c>
      <c r="G81" t="s">
        <v>20</v>
      </c>
      <c r="H81">
        <v>0</v>
      </c>
      <c r="I81">
        <v>6</v>
      </c>
      <c r="J81">
        <v>8</v>
      </c>
      <c r="K81" s="2" t="s">
        <v>20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4">
        <v>118</v>
      </c>
      <c r="P81">
        <v>1500</v>
      </c>
      <c r="Q81">
        <v>80</v>
      </c>
      <c r="R81" s="31">
        <v>0</v>
      </c>
      <c r="S81" s="30">
        <f>IFERROR(PROPERTIES[[#This Row],[TE_STARTING_KN]]/(PROPERTIES[[#This Row],[WEIGHT]]*9.81),0)</f>
        <v>0</v>
      </c>
      <c r="T81" s="30">
        <v>0.16</v>
      </c>
      <c r="U81" s="27">
        <f>ROUND(IF(IFERROR(PROPERTIES[[#This Row],[TE_COEFFICIENT_CALC]],0)=0,PROPERTIES[[#This Row],[TE_COEFFICIENT_MANUAL]],PROPERTIES[[#This Row],[TE_COEFFICIENT_CALC]]),3)</f>
        <v>0.16</v>
      </c>
      <c r="V81" s="6">
        <v>40</v>
      </c>
      <c r="W81" s="10">
        <v>0</v>
      </c>
      <c r="X81" s="10">
        <v>4</v>
      </c>
      <c r="Y81" s="10"/>
      <c r="Z81" t="str">
        <f>"RUNNING_COST_"&amp;IF(PROPERTIES[[#This Row],[ENGINE_CLASS]]="MAGLEV","ELECTRIC",PROPERTIES[[#This Row],[ENGINE_CLASS]])</f>
        <v>RUNNING_COST_STEAM</v>
      </c>
      <c r="AA81" s="10" t="s">
        <v>998</v>
      </c>
      <c r="AB81" s="10" t="s">
        <v>999</v>
      </c>
      <c r="AC81" s="10" t="str">
        <f>SUBSTITUTE(SUBSTITUTE(PROPERTIES[[#This Row],[PURCHASECOST_VALUE]], "PURCHASECOST_", ""), "_VALUE", "")</f>
        <v>STEAMENGINE</v>
      </c>
      <c r="AD81" s="2" t="b">
        <v>0</v>
      </c>
      <c r="AV81"/>
      <c r="AW81"/>
      <c r="AX81"/>
    </row>
    <row r="82" spans="1:50">
      <c r="A82" s="2" t="s">
        <v>106</v>
      </c>
      <c r="B82">
        <v>1911</v>
      </c>
      <c r="C82">
        <v>0</v>
      </c>
      <c r="D82" t="s">
        <v>1872</v>
      </c>
      <c r="E82" t="str">
        <f>_xlfn.XLOOKUP(PROPERTIES[[#This Row],[COUNTRY]],COUNTRIES[COUNTRY_DESCRIPTION],COUNTRIES[COUNTRY_LABEL],"")</f>
        <v>FR</v>
      </c>
      <c r="F82" t="s">
        <v>23</v>
      </c>
      <c r="G82" t="s">
        <v>20</v>
      </c>
      <c r="H82">
        <v>0</v>
      </c>
      <c r="I82">
        <v>6</v>
      </c>
      <c r="J82">
        <v>6</v>
      </c>
      <c r="K82" s="2" t="s">
        <v>20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4">
        <v>94</v>
      </c>
      <c r="P82">
        <v>1360</v>
      </c>
      <c r="Q82">
        <v>70</v>
      </c>
      <c r="R82" s="31">
        <v>0</v>
      </c>
      <c r="S82" s="30">
        <f>IFERROR(PROPERTIES[[#This Row],[TE_STARTING_KN]]/(PROPERTIES[[#This Row],[WEIGHT]]*9.81),0)</f>
        <v>0</v>
      </c>
      <c r="T82" s="30">
        <v>0.18</v>
      </c>
      <c r="U82" s="27">
        <f>ROUND(IF(IFERROR(PROPERTIES[[#This Row],[TE_COEFFICIENT_CALC]],0)=0,PROPERTIES[[#This Row],[TE_COEFFICIENT_MANUAL]],PROPERTIES[[#This Row],[TE_COEFFICIENT_CALC]]),3)</f>
        <v>0.18</v>
      </c>
      <c r="V82" s="6">
        <v>40</v>
      </c>
      <c r="W82" s="10">
        <v>0</v>
      </c>
      <c r="X82" s="10">
        <v>0</v>
      </c>
      <c r="Y82" s="10"/>
      <c r="Z82" t="str">
        <f>"RUNNING_COST_"&amp;IF(PROPERTIES[[#This Row],[ENGINE_CLASS]]="MAGLEV","ELECTRIC",PROPERTIES[[#This Row],[ENGINE_CLASS]])</f>
        <v>RUNNING_COST_STEAM</v>
      </c>
      <c r="AA82" s="10" t="s">
        <v>998</v>
      </c>
      <c r="AB82" s="10" t="s">
        <v>999</v>
      </c>
      <c r="AC82" s="10" t="str">
        <f>SUBSTITUTE(SUBSTITUTE(PROPERTIES[[#This Row],[PURCHASECOST_VALUE]], "PURCHASECOST_", ""), "_VALUE", "")</f>
        <v>STEAMENGINE</v>
      </c>
      <c r="AD82" s="2" t="b">
        <v>0</v>
      </c>
      <c r="AV82"/>
      <c r="AW82"/>
      <c r="AX82"/>
    </row>
    <row r="83" spans="1:50">
      <c r="A83" s="2" t="s">
        <v>107</v>
      </c>
      <c r="B83">
        <v>1928</v>
      </c>
      <c r="C83">
        <v>0</v>
      </c>
      <c r="D83" t="s">
        <v>1873</v>
      </c>
      <c r="E83" t="str">
        <f>_xlfn.XLOOKUP(PROPERTIES[[#This Row],[COUNTRY]],COUNTRIES[COUNTRY_DESCRIPTION],COUNTRIES[COUNTRY_LABEL],"")</f>
        <v>GB</v>
      </c>
      <c r="F83" t="s">
        <v>23</v>
      </c>
      <c r="G83" t="s">
        <v>20</v>
      </c>
      <c r="H83">
        <v>0</v>
      </c>
      <c r="I83">
        <v>8</v>
      </c>
      <c r="J83">
        <v>12</v>
      </c>
      <c r="K83" s="2" t="s">
        <v>20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4">
        <v>122</v>
      </c>
      <c r="P83">
        <v>1450</v>
      </c>
      <c r="Q83">
        <v>130</v>
      </c>
      <c r="R83" s="31">
        <v>0</v>
      </c>
      <c r="S83" s="30">
        <f>IFERROR(PROPERTIES[[#This Row],[TE_STARTING_KN]]/(PROPERTIES[[#This Row],[WEIGHT]]*9.81),0)</f>
        <v>0</v>
      </c>
      <c r="T83" s="30">
        <v>0.11</v>
      </c>
      <c r="U83" s="27">
        <f>ROUND(IF(IFERROR(PROPERTIES[[#This Row],[TE_COEFFICIENT_CALC]],0)=0,PROPERTIES[[#This Row],[TE_COEFFICIENT_MANUAL]],PROPERTIES[[#This Row],[TE_COEFFICIENT_CALC]]),3)</f>
        <v>0.11</v>
      </c>
      <c r="V83" s="6">
        <v>40</v>
      </c>
      <c r="W83" s="10">
        <v>0</v>
      </c>
      <c r="X83" s="10">
        <v>6</v>
      </c>
      <c r="Y83" s="10"/>
      <c r="Z83" t="str">
        <f>"RUNNING_COST_"&amp;IF(PROPERTIES[[#This Row],[ENGINE_CLASS]]="MAGLEV","ELECTRIC",PROPERTIES[[#This Row],[ENGINE_CLASS]])</f>
        <v>RUNNING_COST_STEAM</v>
      </c>
      <c r="AA83" s="10" t="s">
        <v>998</v>
      </c>
      <c r="AB83" s="10" t="s">
        <v>999</v>
      </c>
      <c r="AC83" s="10" t="str">
        <f>SUBSTITUTE(SUBSTITUTE(PROPERTIES[[#This Row],[PURCHASECOST_VALUE]], "PURCHASECOST_", ""), "_VALUE", "")</f>
        <v>STEAMENGINE</v>
      </c>
      <c r="AD83" s="2" t="b">
        <v>0</v>
      </c>
      <c r="AV83"/>
      <c r="AW83"/>
      <c r="AX83"/>
    </row>
    <row r="84" spans="1:50">
      <c r="A84" s="2" t="s">
        <v>108</v>
      </c>
      <c r="B84">
        <v>1929</v>
      </c>
      <c r="C84">
        <v>0</v>
      </c>
      <c r="D84" t="s">
        <v>1873</v>
      </c>
      <c r="E84" t="str">
        <f>_xlfn.XLOOKUP(PROPERTIES[[#This Row],[COUNTRY]],COUNTRIES[COUNTRY_DESCRIPTION],COUNTRIES[COUNTRY_LABEL],"")</f>
        <v>GB</v>
      </c>
      <c r="F84" t="s">
        <v>23</v>
      </c>
      <c r="G84" t="s">
        <v>20</v>
      </c>
      <c r="H84">
        <v>0</v>
      </c>
      <c r="I84">
        <v>6</v>
      </c>
      <c r="J84">
        <v>6</v>
      </c>
      <c r="K84" s="2" t="s">
        <v>20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4">
        <v>48</v>
      </c>
      <c r="P84">
        <v>700</v>
      </c>
      <c r="Q84">
        <v>72</v>
      </c>
      <c r="R84" s="31">
        <v>0</v>
      </c>
      <c r="S84" s="30">
        <f>IFERROR(PROPERTIES[[#This Row],[TE_STARTING_KN]]/(PROPERTIES[[#This Row],[WEIGHT]]*9.81),0)</f>
        <v>0</v>
      </c>
      <c r="T84" s="30">
        <v>0.21</v>
      </c>
      <c r="U84" s="27">
        <f>ROUND(IF(IFERROR(PROPERTIES[[#This Row],[TE_COEFFICIENT_CALC]],0)=0,PROPERTIES[[#This Row],[TE_COEFFICIENT_MANUAL]],PROPERTIES[[#This Row],[TE_COEFFICIENT_CALC]]),3)</f>
        <v>0.21</v>
      </c>
      <c r="V84" s="6">
        <v>40</v>
      </c>
      <c r="W84" s="10">
        <v>0</v>
      </c>
      <c r="X84" s="10">
        <v>0</v>
      </c>
      <c r="Y84" s="10"/>
      <c r="Z84" t="str">
        <f>"RUNNING_COST_"&amp;IF(PROPERTIES[[#This Row],[ENGINE_CLASS]]="MAGLEV","ELECTRIC",PROPERTIES[[#This Row],[ENGINE_CLASS]])</f>
        <v>RUNNING_COST_STEAM</v>
      </c>
      <c r="AA84" s="10" t="s">
        <v>998</v>
      </c>
      <c r="AB84" s="10" t="s">
        <v>999</v>
      </c>
      <c r="AC84" s="10" t="str">
        <f>SUBSTITUTE(SUBSTITUTE(PROPERTIES[[#This Row],[PURCHASECOST_VALUE]], "PURCHASECOST_", ""), "_VALUE", "")</f>
        <v>STEAMENGINE</v>
      </c>
      <c r="AD84" s="2" t="b">
        <v>0</v>
      </c>
      <c r="AV84"/>
      <c r="AW84"/>
      <c r="AX84"/>
    </row>
    <row r="85" spans="1:50">
      <c r="A85" s="2" t="s">
        <v>109</v>
      </c>
      <c r="B85">
        <v>1930</v>
      </c>
      <c r="C85">
        <v>0</v>
      </c>
      <c r="D85" t="s">
        <v>1962</v>
      </c>
      <c r="E85" t="str">
        <f>_xlfn.XLOOKUP(PROPERTIES[[#This Row],[COUNTRY]],COUNTRIES[COUNTRY_DESCRIPTION],COUNTRIES[COUNTRY_LABEL],"")</f>
        <v>NL</v>
      </c>
      <c r="F85" t="s">
        <v>23</v>
      </c>
      <c r="G85" t="s">
        <v>20</v>
      </c>
      <c r="H85">
        <v>0</v>
      </c>
      <c r="I85">
        <v>8</v>
      </c>
      <c r="J85">
        <v>8</v>
      </c>
      <c r="K85" s="2" t="s">
        <v>20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4">
        <v>127</v>
      </c>
      <c r="P85">
        <v>1609</v>
      </c>
      <c r="Q85">
        <v>90</v>
      </c>
      <c r="R85" s="31">
        <v>0</v>
      </c>
      <c r="S85" s="30">
        <f>IFERROR(PROPERTIES[[#This Row],[TE_STARTING_KN]]/(PROPERTIES[[#This Row],[WEIGHT]]*9.81),0)</f>
        <v>0</v>
      </c>
      <c r="T85" s="30">
        <v>0.12</v>
      </c>
      <c r="U85" s="27">
        <f>ROUND(IF(IFERROR(PROPERTIES[[#This Row],[TE_COEFFICIENT_CALC]],0)=0,PROPERTIES[[#This Row],[TE_COEFFICIENT_MANUAL]],PROPERTIES[[#This Row],[TE_COEFFICIENT_CALC]]),3)</f>
        <v>0.12</v>
      </c>
      <c r="V85" s="6">
        <v>40</v>
      </c>
      <c r="W85" s="10">
        <v>0</v>
      </c>
      <c r="X85" s="10">
        <v>0</v>
      </c>
      <c r="Y85" s="10"/>
      <c r="Z85" t="str">
        <f>"RUNNING_COST_"&amp;IF(PROPERTIES[[#This Row],[ENGINE_CLASS]]="MAGLEV","ELECTRIC",PROPERTIES[[#This Row],[ENGINE_CLASS]])</f>
        <v>RUNNING_COST_STEAM</v>
      </c>
      <c r="AA85" s="10" t="s">
        <v>998</v>
      </c>
      <c r="AB85" s="10" t="s">
        <v>999</v>
      </c>
      <c r="AC85" s="10" t="str">
        <f>SUBSTITUTE(SUBSTITUTE(PROPERTIES[[#This Row],[PURCHASECOST_VALUE]], "PURCHASECOST_", ""), "_VALUE", "")</f>
        <v>STEAMENGINE</v>
      </c>
      <c r="AD85" s="2" t="b">
        <v>0</v>
      </c>
      <c r="AV85"/>
      <c r="AW85"/>
      <c r="AX85"/>
    </row>
    <row r="86" spans="1:50">
      <c r="A86" s="2" t="s">
        <v>110</v>
      </c>
      <c r="B86">
        <v>1930</v>
      </c>
      <c r="C86">
        <v>0</v>
      </c>
      <c r="D86" t="s">
        <v>2029</v>
      </c>
      <c r="E86" t="str">
        <f>_xlfn.XLOOKUP(PROPERTIES[[#This Row],[COUNTRY]],COUNTRIES[COUNTRY_DESCRIPTION],COUNTRIES[COUNTRY_LABEL],"")</f>
        <v>US</v>
      </c>
      <c r="F86" t="s">
        <v>23</v>
      </c>
      <c r="G86" t="s">
        <v>20</v>
      </c>
      <c r="H86">
        <v>0</v>
      </c>
      <c r="I86">
        <v>8</v>
      </c>
      <c r="J86">
        <v>12</v>
      </c>
      <c r="K86" s="2" t="s">
        <v>20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4">
        <v>415</v>
      </c>
      <c r="P86">
        <v>5000</v>
      </c>
      <c r="Q86">
        <v>110</v>
      </c>
      <c r="R86" s="31">
        <v>0</v>
      </c>
      <c r="S86" s="30">
        <f>IFERROR(PROPERTIES[[#This Row],[TE_STARTING_KN]]/(PROPERTIES[[#This Row],[WEIGHT]]*9.81),0)</f>
        <v>0</v>
      </c>
      <c r="T86" s="30">
        <v>0.11</v>
      </c>
      <c r="U86" s="27">
        <f>ROUND(IF(IFERROR(PROPERTIES[[#This Row],[TE_COEFFICIENT_CALC]],0)=0,PROPERTIES[[#This Row],[TE_COEFFICIENT_MANUAL]],PROPERTIES[[#This Row],[TE_COEFFICIENT_CALC]]),3)</f>
        <v>0.11</v>
      </c>
      <c r="V86" s="6">
        <v>40</v>
      </c>
      <c r="W86" s="10">
        <v>0</v>
      </c>
      <c r="X86" s="10">
        <v>6</v>
      </c>
      <c r="Y86" s="10"/>
      <c r="Z86" t="str">
        <f>"RUNNING_COST_"&amp;IF(PROPERTIES[[#This Row],[ENGINE_CLASS]]="MAGLEV","ELECTRIC",PROPERTIES[[#This Row],[ENGINE_CLASS]])</f>
        <v>RUNNING_COST_STEAM</v>
      </c>
      <c r="AA86" s="10" t="s">
        <v>998</v>
      </c>
      <c r="AB86" s="10" t="s">
        <v>999</v>
      </c>
      <c r="AC86" s="10" t="str">
        <f>SUBSTITUTE(SUBSTITUTE(PROPERTIES[[#This Row],[PURCHASECOST_VALUE]], "PURCHASECOST_", ""), "_VALUE", "")</f>
        <v>STEAMENGINE</v>
      </c>
      <c r="AD86" s="2" t="b">
        <v>0</v>
      </c>
      <c r="AV86"/>
      <c r="AW86"/>
      <c r="AX86"/>
    </row>
    <row r="87" spans="1:50">
      <c r="A87" s="2" t="s">
        <v>111</v>
      </c>
      <c r="B87">
        <v>1910</v>
      </c>
      <c r="C87">
        <v>0</v>
      </c>
      <c r="D87" t="s">
        <v>1854</v>
      </c>
      <c r="E87" t="str">
        <f>_xlfn.XLOOKUP(PROPERTIES[[#This Row],[COUNTRY]],COUNTRIES[COUNTRY_DESCRIPTION],COUNTRIES[COUNTRY_LABEL],"")</f>
        <v>DE</v>
      </c>
      <c r="F87" t="s">
        <v>23</v>
      </c>
      <c r="G87" t="s">
        <v>20</v>
      </c>
      <c r="H87">
        <v>0</v>
      </c>
      <c r="I87">
        <v>8</v>
      </c>
      <c r="J87">
        <v>8</v>
      </c>
      <c r="K87" s="2" t="s">
        <v>20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4">
        <v>140</v>
      </c>
      <c r="P87">
        <v>1500</v>
      </c>
      <c r="Q87">
        <v>110</v>
      </c>
      <c r="R87" s="31">
        <v>0</v>
      </c>
      <c r="S87" s="30">
        <f>IFERROR(PROPERTIES[[#This Row],[TE_STARTING_KN]]/(PROPERTIES[[#This Row],[WEIGHT]]*9.81),0)</f>
        <v>0</v>
      </c>
      <c r="T87" s="30">
        <v>0.1</v>
      </c>
      <c r="U87" s="27">
        <f>ROUND(IF(IFERROR(PROPERTIES[[#This Row],[TE_COEFFICIENT_CALC]],0)=0,PROPERTIES[[#This Row],[TE_COEFFICIENT_MANUAL]],PROPERTIES[[#This Row],[TE_COEFFICIENT_CALC]]),3)</f>
        <v>0.1</v>
      </c>
      <c r="V87" s="6">
        <v>40</v>
      </c>
      <c r="W87" s="10">
        <v>0</v>
      </c>
      <c r="X87" s="10">
        <v>4</v>
      </c>
      <c r="Y87" s="10"/>
      <c r="Z87" t="str">
        <f>"RUNNING_COST_"&amp;IF(PROPERTIES[[#This Row],[ENGINE_CLASS]]="MAGLEV","ELECTRIC",PROPERTIES[[#This Row],[ENGINE_CLASS]])</f>
        <v>RUNNING_COST_STEAM</v>
      </c>
      <c r="AA87" s="10" t="s">
        <v>998</v>
      </c>
      <c r="AB87" s="10" t="s">
        <v>999</v>
      </c>
      <c r="AC87" s="10" t="str">
        <f>SUBSTITUTE(SUBSTITUTE(PROPERTIES[[#This Row],[PURCHASECOST_VALUE]], "PURCHASECOST_", ""), "_VALUE", "")</f>
        <v>STEAMENGINE</v>
      </c>
      <c r="AD87" s="2" t="b">
        <v>0</v>
      </c>
      <c r="AV87"/>
      <c r="AW87"/>
      <c r="AX87"/>
    </row>
    <row r="88" spans="1:50">
      <c r="A88" s="2" t="s">
        <v>112</v>
      </c>
      <c r="B88">
        <v>1934</v>
      </c>
      <c r="C88">
        <v>0</v>
      </c>
      <c r="D88" t="s">
        <v>1873</v>
      </c>
      <c r="E88" t="str">
        <f>_xlfn.XLOOKUP(PROPERTIES[[#This Row],[COUNTRY]],COUNTRIES[COUNTRY_DESCRIPTION],COUNTRIES[COUNTRY_LABEL],"")</f>
        <v>GB</v>
      </c>
      <c r="F88" t="s">
        <v>23</v>
      </c>
      <c r="G88" t="s">
        <v>20</v>
      </c>
      <c r="H88">
        <v>0</v>
      </c>
      <c r="I88">
        <v>8</v>
      </c>
      <c r="J88">
        <v>10</v>
      </c>
      <c r="K88" s="2" t="s">
        <v>20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4">
        <v>125</v>
      </c>
      <c r="P88">
        <v>1600</v>
      </c>
      <c r="Q88">
        <v>145</v>
      </c>
      <c r="R88" s="31">
        <v>0</v>
      </c>
      <c r="S88" s="30">
        <f>IFERROR(PROPERTIES[[#This Row],[TE_STARTING_KN]]/(PROPERTIES[[#This Row],[WEIGHT]]*9.81),0)</f>
        <v>0</v>
      </c>
      <c r="T88" s="30">
        <v>0.11</v>
      </c>
      <c r="U88" s="27">
        <f>ROUND(IF(IFERROR(PROPERTIES[[#This Row],[TE_COEFFICIENT_CALC]],0)=0,PROPERTIES[[#This Row],[TE_COEFFICIENT_MANUAL]],PROPERTIES[[#This Row],[TE_COEFFICIENT_CALC]]),3)</f>
        <v>0.11</v>
      </c>
      <c r="V88" s="6">
        <v>40</v>
      </c>
      <c r="W88" s="10">
        <v>0</v>
      </c>
      <c r="X88" s="10">
        <v>5</v>
      </c>
      <c r="Y88" s="10"/>
      <c r="Z88" t="str">
        <f>"RUNNING_COST_"&amp;IF(PROPERTIES[[#This Row],[ENGINE_CLASS]]="MAGLEV","ELECTRIC",PROPERTIES[[#This Row],[ENGINE_CLASS]])</f>
        <v>RUNNING_COST_STEAM</v>
      </c>
      <c r="AA88" s="10" t="s">
        <v>998</v>
      </c>
      <c r="AB88" s="10" t="s">
        <v>999</v>
      </c>
      <c r="AC88" s="10" t="str">
        <f>SUBSTITUTE(SUBSTITUTE(PROPERTIES[[#This Row],[PURCHASECOST_VALUE]], "PURCHASECOST_", ""), "_VALUE", "")</f>
        <v>STEAMENGINE</v>
      </c>
      <c r="AD88" s="2" t="b">
        <v>0</v>
      </c>
      <c r="AV88"/>
      <c r="AW88"/>
      <c r="AX88"/>
    </row>
    <row r="89" spans="1:50">
      <c r="A89" s="2" t="s">
        <v>113</v>
      </c>
      <c r="B89">
        <v>1935</v>
      </c>
      <c r="C89">
        <v>0</v>
      </c>
      <c r="D89" t="s">
        <v>2048</v>
      </c>
      <c r="E89" t="str">
        <f>_xlfn.XLOOKUP(PROPERTIES[[#This Row],[COUNTRY]],COUNTRIES[COUNTRY_DESCRIPTION],COUNTRIES[COUNTRY_LABEL],"")</f>
        <v>SU</v>
      </c>
      <c r="F89" t="s">
        <v>23</v>
      </c>
      <c r="G89" t="s">
        <v>20</v>
      </c>
      <c r="H89">
        <v>0</v>
      </c>
      <c r="I89">
        <v>6</v>
      </c>
      <c r="J89">
        <v>6</v>
      </c>
      <c r="K89" s="2" t="s">
        <v>20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4">
        <v>55</v>
      </c>
      <c r="P89">
        <v>450</v>
      </c>
      <c r="Q89">
        <v>35</v>
      </c>
      <c r="R89" s="31">
        <v>0</v>
      </c>
      <c r="S89" s="30">
        <f>IFERROR(PROPERTIES[[#This Row],[TE_STARTING_KN]]/(PROPERTIES[[#This Row],[WEIGHT]]*9.81),0)</f>
        <v>0</v>
      </c>
      <c r="T89" s="30">
        <v>0.18</v>
      </c>
      <c r="U89" s="27">
        <f>ROUND(IF(IFERROR(PROPERTIES[[#This Row],[TE_COEFFICIENT_CALC]],0)=0,PROPERTIES[[#This Row],[TE_COEFFICIENT_MANUAL]],PROPERTIES[[#This Row],[TE_COEFFICIENT_CALC]]),3)</f>
        <v>0.18</v>
      </c>
      <c r="V89" s="6">
        <v>40</v>
      </c>
      <c r="W89" s="10">
        <v>0</v>
      </c>
      <c r="X89" s="10">
        <v>0</v>
      </c>
      <c r="Y89" s="10"/>
      <c r="Z89" t="str">
        <f>"RUNNING_COST_"&amp;IF(PROPERTIES[[#This Row],[ENGINE_CLASS]]="MAGLEV","ELECTRIC",PROPERTIES[[#This Row],[ENGINE_CLASS]])</f>
        <v>RUNNING_COST_STEAM</v>
      </c>
      <c r="AA89" s="10" t="s">
        <v>998</v>
      </c>
      <c r="AB89" s="10" t="s">
        <v>999</v>
      </c>
      <c r="AC89" s="10" t="str">
        <f>SUBSTITUTE(SUBSTITUTE(PROPERTIES[[#This Row],[PURCHASECOST_VALUE]], "PURCHASECOST_", ""), "_VALUE", "")</f>
        <v>STEAMENGINE</v>
      </c>
      <c r="AD89" s="2" t="b">
        <v>0</v>
      </c>
      <c r="AV89"/>
      <c r="AW89"/>
      <c r="AX89"/>
    </row>
    <row r="90" spans="1:50">
      <c r="A90" s="2" t="s">
        <v>114</v>
      </c>
      <c r="B90">
        <v>1935</v>
      </c>
      <c r="C90">
        <v>0</v>
      </c>
      <c r="D90" t="s">
        <v>1873</v>
      </c>
      <c r="E90" t="str">
        <f>_xlfn.XLOOKUP(PROPERTIES[[#This Row],[COUNTRY]],COUNTRIES[COUNTRY_DESCRIPTION],COUNTRIES[COUNTRY_LABEL],"")</f>
        <v>GB</v>
      </c>
      <c r="F90" t="s">
        <v>23</v>
      </c>
      <c r="G90" t="s">
        <v>20</v>
      </c>
      <c r="H90">
        <v>0</v>
      </c>
      <c r="I90">
        <v>8</v>
      </c>
      <c r="J90">
        <v>12</v>
      </c>
      <c r="K90" s="2" t="s">
        <v>20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4">
        <v>170</v>
      </c>
      <c r="P90">
        <v>2200</v>
      </c>
      <c r="Q90">
        <v>140</v>
      </c>
      <c r="R90" s="31">
        <v>0</v>
      </c>
      <c r="S90" s="30">
        <f>IFERROR(PROPERTIES[[#This Row],[TE_STARTING_KN]]/(PROPERTIES[[#This Row],[WEIGHT]]*9.81),0)</f>
        <v>0</v>
      </c>
      <c r="T90" s="30">
        <v>0.09</v>
      </c>
      <c r="U90" s="27">
        <f>ROUND(IF(IFERROR(PROPERTIES[[#This Row],[TE_COEFFICIENT_CALC]],0)=0,PROPERTIES[[#This Row],[TE_COEFFICIENT_MANUAL]],PROPERTIES[[#This Row],[TE_COEFFICIENT_CALC]]),3)</f>
        <v>0.09</v>
      </c>
      <c r="V90" s="6">
        <v>40</v>
      </c>
      <c r="W90" s="10">
        <v>0</v>
      </c>
      <c r="X90" s="10">
        <v>6</v>
      </c>
      <c r="Y90" s="10"/>
      <c r="Z90" t="str">
        <f>"RUNNING_COST_"&amp;IF(PROPERTIES[[#This Row],[ENGINE_CLASS]]="MAGLEV","ELECTRIC",PROPERTIES[[#This Row],[ENGINE_CLASS]])</f>
        <v>RUNNING_COST_STEAM</v>
      </c>
      <c r="AA90" s="10" t="s">
        <v>998</v>
      </c>
      <c r="AB90" s="10" t="s">
        <v>999</v>
      </c>
      <c r="AC90" s="10" t="str">
        <f>SUBSTITUTE(SUBSTITUTE(PROPERTIES[[#This Row],[PURCHASECOST_VALUE]], "PURCHASECOST_", ""), "_VALUE", "")</f>
        <v>STEAMENGINE</v>
      </c>
      <c r="AD90" s="2" t="b">
        <v>0</v>
      </c>
      <c r="AV90"/>
      <c r="AW90"/>
      <c r="AX90"/>
    </row>
    <row r="91" spans="1:50">
      <c r="A91" s="2" t="s">
        <v>115</v>
      </c>
      <c r="B91">
        <v>1937</v>
      </c>
      <c r="C91">
        <v>0</v>
      </c>
      <c r="D91" t="s">
        <v>1835</v>
      </c>
      <c r="E91" t="str">
        <f>_xlfn.XLOOKUP(PROPERTIES[[#This Row],[COUNTRY]],COUNTRIES[COUNTRY_DESCRIPTION],COUNTRIES[COUNTRY_LABEL],"")</f>
        <v>CA</v>
      </c>
      <c r="F91" t="s">
        <v>23</v>
      </c>
      <c r="G91" t="s">
        <v>20</v>
      </c>
      <c r="H91">
        <v>0</v>
      </c>
      <c r="I91">
        <v>8</v>
      </c>
      <c r="J91">
        <v>12</v>
      </c>
      <c r="K91" s="2" t="s">
        <v>20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4">
        <v>286</v>
      </c>
      <c r="P91">
        <v>3100</v>
      </c>
      <c r="Q91">
        <v>144</v>
      </c>
      <c r="R91" s="31">
        <v>0</v>
      </c>
      <c r="S91" s="30">
        <f>IFERROR(PROPERTIES[[#This Row],[TE_STARTING_KN]]/(PROPERTIES[[#This Row],[WEIGHT]]*9.81),0)</f>
        <v>0</v>
      </c>
      <c r="T91" s="30">
        <v>7.0000000000000007E-2</v>
      </c>
      <c r="U91" s="27">
        <f>ROUND(IF(IFERROR(PROPERTIES[[#This Row],[TE_COEFFICIENT_CALC]],0)=0,PROPERTIES[[#This Row],[TE_COEFFICIENT_MANUAL]],PROPERTIES[[#This Row],[TE_COEFFICIENT_CALC]]),3)</f>
        <v>7.0000000000000007E-2</v>
      </c>
      <c r="V91" s="6">
        <v>40</v>
      </c>
      <c r="W91" s="10">
        <v>0</v>
      </c>
      <c r="X91" s="10">
        <v>6</v>
      </c>
      <c r="Y91" s="10"/>
      <c r="Z91" t="str">
        <f>"RUNNING_COST_"&amp;IF(PROPERTIES[[#This Row],[ENGINE_CLASS]]="MAGLEV","ELECTRIC",PROPERTIES[[#This Row],[ENGINE_CLASS]])</f>
        <v>RUNNING_COST_STEAM</v>
      </c>
      <c r="AA91" s="10" t="s">
        <v>998</v>
      </c>
      <c r="AB91" s="10" t="s">
        <v>999</v>
      </c>
      <c r="AC91" s="10" t="str">
        <f>SUBSTITUTE(SUBSTITUTE(PROPERTIES[[#This Row],[PURCHASECOST_VALUE]], "PURCHASECOST_", ""), "_VALUE", "")</f>
        <v>STEAMENGINE</v>
      </c>
      <c r="AD91" s="2" t="b">
        <v>0</v>
      </c>
      <c r="AV91"/>
      <c r="AW91"/>
      <c r="AX91"/>
    </row>
    <row r="92" spans="1:50">
      <c r="A92" s="2" t="s">
        <v>116</v>
      </c>
      <c r="B92">
        <v>1937</v>
      </c>
      <c r="C92">
        <v>0</v>
      </c>
      <c r="D92" t="s">
        <v>1856</v>
      </c>
      <c r="E92" t="str">
        <f>_xlfn.XLOOKUP(PROPERTIES[[#This Row],[COUNTRY]],COUNTRIES[COUNTRY_DESCRIPTION],COUNTRIES[COUNTRY_LABEL],"")</f>
        <v>DK</v>
      </c>
      <c r="F92" t="s">
        <v>23</v>
      </c>
      <c r="G92" t="s">
        <v>20</v>
      </c>
      <c r="H92">
        <v>0</v>
      </c>
      <c r="I92">
        <v>6</v>
      </c>
      <c r="J92">
        <v>8</v>
      </c>
      <c r="K92" s="2" t="s">
        <v>20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4">
        <v>132</v>
      </c>
      <c r="P92">
        <v>1600</v>
      </c>
      <c r="Q92">
        <v>110</v>
      </c>
      <c r="R92" s="31">
        <v>0</v>
      </c>
      <c r="S92" s="30">
        <f>IFERROR(PROPERTIES[[#This Row],[TE_STARTING_KN]]/(PROPERTIES[[#This Row],[WEIGHT]]*9.81),0)</f>
        <v>0</v>
      </c>
      <c r="T92" s="30">
        <v>0.09</v>
      </c>
      <c r="U92" s="27">
        <f>ROUND(IF(IFERROR(PROPERTIES[[#This Row],[TE_COEFFICIENT_CALC]],0)=0,PROPERTIES[[#This Row],[TE_COEFFICIENT_MANUAL]],PROPERTIES[[#This Row],[TE_COEFFICIENT_CALC]]),3)</f>
        <v>0.09</v>
      </c>
      <c r="V92" s="6">
        <v>40</v>
      </c>
      <c r="W92" s="10">
        <v>0</v>
      </c>
      <c r="X92" s="10">
        <v>4</v>
      </c>
      <c r="Y92" s="10"/>
      <c r="Z92" t="str">
        <f>"RUNNING_COST_"&amp;IF(PROPERTIES[[#This Row],[ENGINE_CLASS]]="MAGLEV","ELECTRIC",PROPERTIES[[#This Row],[ENGINE_CLASS]])</f>
        <v>RUNNING_COST_STEAM</v>
      </c>
      <c r="AA92" s="10" t="s">
        <v>998</v>
      </c>
      <c r="AB92" s="10" t="s">
        <v>999</v>
      </c>
      <c r="AC92" s="10" t="str">
        <f>SUBSTITUTE(SUBSTITUTE(PROPERTIES[[#This Row],[PURCHASECOST_VALUE]], "PURCHASECOST_", ""), "_VALUE", "")</f>
        <v>STEAMENGINE</v>
      </c>
      <c r="AD92" s="2" t="b">
        <v>0</v>
      </c>
      <c r="AV92"/>
      <c r="AW92"/>
      <c r="AX92"/>
    </row>
    <row r="93" spans="1:50">
      <c r="A93" s="2" t="s">
        <v>117</v>
      </c>
      <c r="B93">
        <v>1937</v>
      </c>
      <c r="C93">
        <v>0</v>
      </c>
      <c r="D93" t="s">
        <v>1854</v>
      </c>
      <c r="E93" t="str">
        <f>_xlfn.XLOOKUP(PROPERTIES[[#This Row],[COUNTRY]],COUNTRIES[COUNTRY_DESCRIPTION],COUNTRIES[COUNTRY_LABEL],"")</f>
        <v>DE</v>
      </c>
      <c r="F93" t="s">
        <v>23</v>
      </c>
      <c r="G93" t="s">
        <v>20</v>
      </c>
      <c r="H93">
        <v>0</v>
      </c>
      <c r="I93">
        <v>8</v>
      </c>
      <c r="J93">
        <v>12</v>
      </c>
      <c r="K93" s="2" t="s">
        <v>20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4">
        <v>150</v>
      </c>
      <c r="P93">
        <v>1600</v>
      </c>
      <c r="Q93">
        <v>80</v>
      </c>
      <c r="R93" s="31">
        <v>0</v>
      </c>
      <c r="S93" s="30">
        <f>IFERROR(PROPERTIES[[#This Row],[TE_STARTING_KN]]/(PROPERTIES[[#This Row],[WEIGHT]]*9.81),0)</f>
        <v>0</v>
      </c>
      <c r="T93" s="30">
        <v>0.12</v>
      </c>
      <c r="U93" s="27">
        <f>ROUND(IF(IFERROR(PROPERTIES[[#This Row],[TE_COEFFICIENT_CALC]],0)=0,PROPERTIES[[#This Row],[TE_COEFFICIENT_MANUAL]],PROPERTIES[[#This Row],[TE_COEFFICIENT_CALC]]),3)</f>
        <v>0.12</v>
      </c>
      <c r="V93" s="6">
        <v>40</v>
      </c>
      <c r="W93" s="10">
        <v>0</v>
      </c>
      <c r="X93" s="10">
        <v>6</v>
      </c>
      <c r="Y93" s="10"/>
      <c r="Z93" t="str">
        <f>"RUNNING_COST_"&amp;IF(PROPERTIES[[#This Row],[ENGINE_CLASS]]="MAGLEV","ELECTRIC",PROPERTIES[[#This Row],[ENGINE_CLASS]])</f>
        <v>RUNNING_COST_STEAM</v>
      </c>
      <c r="AA93" s="10" t="s">
        <v>998</v>
      </c>
      <c r="AB93" s="10" t="s">
        <v>999</v>
      </c>
      <c r="AC93" s="10" t="str">
        <f>SUBSTITUTE(SUBSTITUTE(PROPERTIES[[#This Row],[PURCHASECOST_VALUE]], "PURCHASECOST_", ""), "_VALUE", "")</f>
        <v>STEAMENGINE</v>
      </c>
      <c r="AD93" s="2" t="b">
        <v>0</v>
      </c>
      <c r="AV93"/>
      <c r="AW93"/>
      <c r="AX93"/>
    </row>
    <row r="94" spans="1:50">
      <c r="A94" s="2" t="s">
        <v>118</v>
      </c>
      <c r="B94">
        <v>1948</v>
      </c>
      <c r="C94">
        <v>0</v>
      </c>
      <c r="D94" t="s">
        <v>1873</v>
      </c>
      <c r="E94" t="str">
        <f>_xlfn.XLOOKUP(PROPERTIES[[#This Row],[COUNTRY]],COUNTRIES[COUNTRY_DESCRIPTION],COUNTRIES[COUNTRY_LABEL],"")</f>
        <v>GB</v>
      </c>
      <c r="F94" t="s">
        <v>23</v>
      </c>
      <c r="G94" t="s">
        <v>20</v>
      </c>
      <c r="H94">
        <v>0</v>
      </c>
      <c r="I94">
        <v>8</v>
      </c>
      <c r="J94">
        <v>10</v>
      </c>
      <c r="K94" s="2" t="s">
        <v>20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4">
        <v>162</v>
      </c>
      <c r="P94">
        <v>2400</v>
      </c>
      <c r="Q94">
        <v>160</v>
      </c>
      <c r="R94" s="31">
        <v>0</v>
      </c>
      <c r="S94" s="30">
        <f>IFERROR(PROPERTIES[[#This Row],[TE_STARTING_KN]]/(PROPERTIES[[#This Row],[WEIGHT]]*9.81),0)</f>
        <v>0</v>
      </c>
      <c r="T94" s="30">
        <v>0.11</v>
      </c>
      <c r="U94" s="27">
        <f>ROUND(IF(IFERROR(PROPERTIES[[#This Row],[TE_COEFFICIENT_CALC]],0)=0,PROPERTIES[[#This Row],[TE_COEFFICIENT_MANUAL]],PROPERTIES[[#This Row],[TE_COEFFICIENT_CALC]]),3)</f>
        <v>0.11</v>
      </c>
      <c r="V94" s="6">
        <v>40</v>
      </c>
      <c r="W94" s="10">
        <v>0</v>
      </c>
      <c r="X94" s="10">
        <v>5</v>
      </c>
      <c r="Y94" s="10"/>
      <c r="Z94" t="str">
        <f>"RUNNING_COST_"&amp;IF(PROPERTIES[[#This Row],[ENGINE_CLASS]]="MAGLEV","ELECTRIC",PROPERTIES[[#This Row],[ENGINE_CLASS]])</f>
        <v>RUNNING_COST_STEAM</v>
      </c>
      <c r="AA94" s="10" t="s">
        <v>998</v>
      </c>
      <c r="AB94" s="10" t="s">
        <v>999</v>
      </c>
      <c r="AC94" s="10" t="str">
        <f>SUBSTITUTE(SUBSTITUTE(PROPERTIES[[#This Row],[PURCHASECOST_VALUE]], "PURCHASECOST_", ""), "_VALUE", "")</f>
        <v>STEAMENGINE</v>
      </c>
      <c r="AD94" s="2" t="b">
        <v>0</v>
      </c>
      <c r="AV94"/>
      <c r="AW94"/>
      <c r="AX94"/>
    </row>
    <row r="95" spans="1:50">
      <c r="A95" s="2" t="s">
        <v>119</v>
      </c>
      <c r="B95">
        <v>1953</v>
      </c>
      <c r="C95">
        <v>0</v>
      </c>
      <c r="D95" t="s">
        <v>2043</v>
      </c>
      <c r="E95" t="str">
        <f>_xlfn.XLOOKUP(PROPERTIES[[#This Row],[COUNTRY]],COUNTRIES[COUNTRY_DESCRIPTION],COUNTRIES[COUNTRY_LABEL],"")</f>
        <v>ZA</v>
      </c>
      <c r="F95" t="s">
        <v>23</v>
      </c>
      <c r="G95" t="s">
        <v>20</v>
      </c>
      <c r="H95">
        <v>0</v>
      </c>
      <c r="I95">
        <v>8</v>
      </c>
      <c r="J95">
        <v>10</v>
      </c>
      <c r="K95" s="2" t="s">
        <v>20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4">
        <v>231</v>
      </c>
      <c r="P95">
        <v>3000</v>
      </c>
      <c r="Q95">
        <v>100</v>
      </c>
      <c r="R95" s="31">
        <v>201</v>
      </c>
      <c r="S95" s="30">
        <f>IFERROR(PROPERTIES[[#This Row],[TE_STARTING_KN]]/(PROPERTIES[[#This Row],[WEIGHT]]*9.81),0)</f>
        <v>8.8698253835868504E-2</v>
      </c>
      <c r="T95" s="30">
        <v>0.08</v>
      </c>
      <c r="U95" s="27">
        <f>ROUND(IF(IFERROR(PROPERTIES[[#This Row],[TE_COEFFICIENT_CALC]],0)=0,PROPERTIES[[#This Row],[TE_COEFFICIENT_MANUAL]],PROPERTIES[[#This Row],[TE_COEFFICIENT_CALC]]),3)</f>
        <v>8.8999999999999996E-2</v>
      </c>
      <c r="V95" s="6">
        <v>40</v>
      </c>
      <c r="W95" s="10">
        <v>0</v>
      </c>
      <c r="X95" s="10">
        <v>5</v>
      </c>
      <c r="Y95" s="10"/>
      <c r="Z95" t="str">
        <f>"RUNNING_COST_"&amp;IF(PROPERTIES[[#This Row],[ENGINE_CLASS]]="MAGLEV","ELECTRIC",PROPERTIES[[#This Row],[ENGINE_CLASS]])</f>
        <v>RUNNING_COST_STEAM</v>
      </c>
      <c r="AA95" s="10" t="s">
        <v>998</v>
      </c>
      <c r="AB95" s="10" t="s">
        <v>999</v>
      </c>
      <c r="AC95" s="10" t="str">
        <f>SUBSTITUTE(SUBSTITUTE(PROPERTIES[[#This Row],[PURCHASECOST_VALUE]], "PURCHASECOST_", ""), "_VALUE", "")</f>
        <v>STEAMENGINE</v>
      </c>
      <c r="AD95" s="2" t="b">
        <v>0</v>
      </c>
      <c r="AV95"/>
      <c r="AW95"/>
      <c r="AX95"/>
    </row>
    <row r="96" spans="1:50">
      <c r="A96" s="2" t="s">
        <v>120</v>
      </c>
      <c r="B96">
        <v>1954</v>
      </c>
      <c r="C96">
        <v>0</v>
      </c>
      <c r="D96" t="s">
        <v>2048</v>
      </c>
      <c r="E96" t="str">
        <f>_xlfn.XLOOKUP(PROPERTIES[[#This Row],[COUNTRY]],COUNTRIES[COUNTRY_DESCRIPTION],COUNTRIES[COUNTRY_LABEL],"")</f>
        <v>SU</v>
      </c>
      <c r="F96" t="s">
        <v>23</v>
      </c>
      <c r="G96" t="s">
        <v>20</v>
      </c>
      <c r="H96">
        <v>0</v>
      </c>
      <c r="I96">
        <v>8</v>
      </c>
      <c r="J96">
        <v>12</v>
      </c>
      <c r="K96" s="2" t="s">
        <v>20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4">
        <v>254</v>
      </c>
      <c r="P96">
        <v>3000</v>
      </c>
      <c r="Q96">
        <v>125</v>
      </c>
      <c r="R96" s="31">
        <v>176</v>
      </c>
      <c r="S96" s="30">
        <f>IFERROR(PROPERTIES[[#This Row],[TE_STARTING_KN]]/(PROPERTIES[[#This Row],[WEIGHT]]*9.81),0)</f>
        <v>7.0633372663279473E-2</v>
      </c>
      <c r="T96" s="30">
        <v>0.06</v>
      </c>
      <c r="U96" s="27">
        <f>ROUND(IF(IFERROR(PROPERTIES[[#This Row],[TE_COEFFICIENT_CALC]],0)=0,PROPERTIES[[#This Row],[TE_COEFFICIENT_MANUAL]],PROPERTIES[[#This Row],[TE_COEFFICIENT_CALC]]),3)</f>
        <v>7.0999999999999994E-2</v>
      </c>
      <c r="V96" s="6">
        <v>40</v>
      </c>
      <c r="W96" s="10">
        <v>0</v>
      </c>
      <c r="X96" s="10">
        <v>6</v>
      </c>
      <c r="Y96" s="10"/>
      <c r="Z96" t="str">
        <f>"RUNNING_COST_"&amp;IF(PROPERTIES[[#This Row],[ENGINE_CLASS]]="MAGLEV","ELECTRIC",PROPERTIES[[#This Row],[ENGINE_CLASS]])</f>
        <v>RUNNING_COST_STEAM</v>
      </c>
      <c r="AA96" s="10" t="s">
        <v>998</v>
      </c>
      <c r="AB96" s="10" t="s">
        <v>999</v>
      </c>
      <c r="AC96" s="10" t="str">
        <f>SUBSTITUTE(SUBSTITUTE(PROPERTIES[[#This Row],[PURCHASECOST_VALUE]], "PURCHASECOST_", ""), "_VALUE", "")</f>
        <v>STEAMENGINE</v>
      </c>
      <c r="AD96" s="2" t="b">
        <v>0</v>
      </c>
      <c r="AV96"/>
      <c r="AW96"/>
      <c r="AX96"/>
    </row>
    <row r="97" spans="1:50">
      <c r="A97" s="2" t="s">
        <v>121</v>
      </c>
      <c r="B97">
        <v>1934</v>
      </c>
      <c r="C97">
        <v>0</v>
      </c>
      <c r="D97" t="s">
        <v>1872</v>
      </c>
      <c r="E97" t="str">
        <f>_xlfn.XLOOKUP(PROPERTIES[[#This Row],[COUNTRY]],COUNTRIES[COUNTRY_DESCRIPTION],COUNTRIES[COUNTRY_LABEL],"")</f>
        <v>FR</v>
      </c>
      <c r="F97" t="s">
        <v>23</v>
      </c>
      <c r="G97" t="s">
        <v>20</v>
      </c>
      <c r="H97">
        <v>0</v>
      </c>
      <c r="I97">
        <v>8</v>
      </c>
      <c r="J97">
        <v>10</v>
      </c>
      <c r="K97" s="2" t="s">
        <v>20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4">
        <v>119</v>
      </c>
      <c r="P97">
        <v>1500</v>
      </c>
      <c r="Q97">
        <v>105</v>
      </c>
      <c r="R97" s="31">
        <v>253</v>
      </c>
      <c r="S97" s="30">
        <f>IFERROR(PROPERTIES[[#This Row],[TE_STARTING_KN]]/(PROPERTIES[[#This Row],[WEIGHT]]*9.81),0)</f>
        <v>0.21672277473680601</v>
      </c>
      <c r="T97" s="30">
        <v>0.22</v>
      </c>
      <c r="U97" s="27">
        <f>ROUND(IF(IFERROR(PROPERTIES[[#This Row],[TE_COEFFICIENT_CALC]],0)=0,PROPERTIES[[#This Row],[TE_COEFFICIENT_MANUAL]],PROPERTIES[[#This Row],[TE_COEFFICIENT_CALC]]),3)</f>
        <v>0.217</v>
      </c>
      <c r="V97" s="6">
        <v>40</v>
      </c>
      <c r="W97" s="10">
        <v>0</v>
      </c>
      <c r="X97" s="10">
        <v>5</v>
      </c>
      <c r="Y97" s="10"/>
      <c r="Z97" t="str">
        <f>"RUNNING_COST_"&amp;IF(PROPERTIES[[#This Row],[ENGINE_CLASS]]="MAGLEV","ELECTRIC",PROPERTIES[[#This Row],[ENGINE_CLASS]])</f>
        <v>RUNNING_COST_STEAM</v>
      </c>
      <c r="AA97" s="10" t="s">
        <v>998</v>
      </c>
      <c r="AB97" s="10" t="s">
        <v>999</v>
      </c>
      <c r="AC97" s="10" t="str">
        <f>SUBSTITUTE(SUBSTITUTE(PROPERTIES[[#This Row],[PURCHASECOST_VALUE]], "PURCHASECOST_", ""), "_VALUE", "")</f>
        <v>STEAMENGINE</v>
      </c>
      <c r="AD97" s="2" t="b">
        <v>0</v>
      </c>
      <c r="AV97"/>
      <c r="AW97"/>
      <c r="AX97"/>
    </row>
    <row r="98" spans="1:50">
      <c r="A98" s="2" t="s">
        <v>122</v>
      </c>
      <c r="B98">
        <v>1908</v>
      </c>
      <c r="C98">
        <v>0</v>
      </c>
      <c r="D98" t="s">
        <v>1906</v>
      </c>
      <c r="E98" t="str">
        <f>_xlfn.XLOOKUP(PROPERTIES[[#This Row],[COUNTRY]],COUNTRIES[COUNTRY_DESCRIPTION],COUNTRIES[COUNTRY_LABEL],"")</f>
        <v>IT</v>
      </c>
      <c r="F98" t="s">
        <v>23</v>
      </c>
      <c r="G98" t="s">
        <v>20</v>
      </c>
      <c r="H98">
        <v>0</v>
      </c>
      <c r="I98">
        <v>5</v>
      </c>
      <c r="J98">
        <v>5</v>
      </c>
      <c r="K98" s="2" t="s">
        <v>20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4">
        <v>55</v>
      </c>
      <c r="P98">
        <v>500</v>
      </c>
      <c r="Q98">
        <v>40</v>
      </c>
      <c r="R98" s="31">
        <v>0</v>
      </c>
      <c r="S98" s="30">
        <f>IFERROR(PROPERTIES[[#This Row],[TE_STARTING_KN]]/(PROPERTIES[[#This Row],[WEIGHT]]*9.81),0)</f>
        <v>0</v>
      </c>
      <c r="T98" s="30">
        <v>0.21</v>
      </c>
      <c r="U98" s="27">
        <f>ROUND(IF(IFERROR(PROPERTIES[[#This Row],[TE_COEFFICIENT_CALC]],0)=0,PROPERTIES[[#This Row],[TE_COEFFICIENT_MANUAL]],PROPERTIES[[#This Row],[TE_COEFFICIENT_CALC]]),3)</f>
        <v>0.21</v>
      </c>
      <c r="V98" s="6">
        <v>40</v>
      </c>
      <c r="W98" s="10">
        <v>0</v>
      </c>
      <c r="X98" s="10">
        <v>0</v>
      </c>
      <c r="Y98" s="10"/>
      <c r="Z98" t="str">
        <f>"RUNNING_COST_"&amp;IF(PROPERTIES[[#This Row],[ENGINE_CLASS]]="MAGLEV","ELECTRIC",PROPERTIES[[#This Row],[ENGINE_CLASS]])</f>
        <v>RUNNING_COST_STEAM</v>
      </c>
      <c r="AA98" s="10" t="s">
        <v>998</v>
      </c>
      <c r="AB98" s="10" t="s">
        <v>999</v>
      </c>
      <c r="AC98" s="10" t="str">
        <f>SUBSTITUTE(SUBSTITUTE(PROPERTIES[[#This Row],[PURCHASECOST_VALUE]], "PURCHASECOST_", ""), "_VALUE", "")</f>
        <v>STEAMENGINE</v>
      </c>
      <c r="AD98" s="2" t="b">
        <v>0</v>
      </c>
      <c r="AV98"/>
      <c r="AW98"/>
      <c r="AX98"/>
    </row>
    <row r="99" spans="1:50">
      <c r="A99" s="2" t="s">
        <v>123</v>
      </c>
      <c r="B99">
        <v>1934</v>
      </c>
      <c r="C99">
        <v>0</v>
      </c>
      <c r="D99" t="s">
        <v>1975</v>
      </c>
      <c r="E99" t="str">
        <f>_xlfn.XLOOKUP(PROPERTIES[[#This Row],[COUNTRY]],COUNTRIES[COUNTRY_DESCRIPTION],COUNTRIES[COUNTRY_LABEL],"")</f>
        <v>PL</v>
      </c>
      <c r="F99" t="s">
        <v>23</v>
      </c>
      <c r="G99" t="s">
        <v>20</v>
      </c>
      <c r="H99">
        <v>0</v>
      </c>
      <c r="I99">
        <v>7</v>
      </c>
      <c r="J99">
        <v>7</v>
      </c>
      <c r="K99" s="2" t="s">
        <v>20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4">
        <v>118</v>
      </c>
      <c r="P99">
        <v>1868</v>
      </c>
      <c r="Q99">
        <v>75</v>
      </c>
      <c r="R99" s="31">
        <v>0</v>
      </c>
      <c r="S99" s="30">
        <f>IFERROR(PROPERTIES[[#This Row],[TE_STARTING_KN]]/(PROPERTIES[[#This Row],[WEIGHT]]*9.81),0)</f>
        <v>0</v>
      </c>
      <c r="T99" s="30">
        <v>0.11</v>
      </c>
      <c r="U99" s="27">
        <f>ROUND(IF(IFERROR(PROPERTIES[[#This Row],[TE_COEFFICIENT_CALC]],0)=0,PROPERTIES[[#This Row],[TE_COEFFICIENT_MANUAL]],PROPERTIES[[#This Row],[TE_COEFFICIENT_CALC]]),3)</f>
        <v>0.11</v>
      </c>
      <c r="V99" s="6">
        <v>40</v>
      </c>
      <c r="W99" s="10">
        <v>0</v>
      </c>
      <c r="X99" s="10">
        <v>0</v>
      </c>
      <c r="Y99" s="10"/>
      <c r="Z99" t="str">
        <f>"RUNNING_COST_"&amp;IF(PROPERTIES[[#This Row],[ENGINE_CLASS]]="MAGLEV","ELECTRIC",PROPERTIES[[#This Row],[ENGINE_CLASS]])</f>
        <v>RUNNING_COST_STEAM</v>
      </c>
      <c r="AA99" s="10" t="s">
        <v>998</v>
      </c>
      <c r="AB99" s="10" t="s">
        <v>999</v>
      </c>
      <c r="AC99" s="10" t="str">
        <f>SUBSTITUTE(SUBSTITUTE(PROPERTIES[[#This Row],[PURCHASECOST_VALUE]], "PURCHASECOST_", ""), "_VALUE", "")</f>
        <v>STEAMENGINE</v>
      </c>
      <c r="AD99" s="2" t="b">
        <v>0</v>
      </c>
      <c r="AV99"/>
      <c r="AW99"/>
      <c r="AX99"/>
    </row>
    <row r="100" spans="1:50">
      <c r="A100" s="2" t="s">
        <v>124</v>
      </c>
      <c r="B100">
        <v>1913</v>
      </c>
      <c r="C100">
        <v>0</v>
      </c>
      <c r="D100" t="s">
        <v>1840</v>
      </c>
      <c r="E100" t="str">
        <f>_xlfn.XLOOKUP(PROPERTIES[[#This Row],[COUNTRY]],COUNTRIES[COUNTRY_DESCRIPTION],COUNTRIES[COUNTRY_LABEL],"")</f>
        <v>CH</v>
      </c>
      <c r="F100" t="s">
        <v>23</v>
      </c>
      <c r="G100" t="s">
        <v>20</v>
      </c>
      <c r="H100">
        <v>0</v>
      </c>
      <c r="I100">
        <v>8</v>
      </c>
      <c r="J100">
        <v>8</v>
      </c>
      <c r="K100" s="2" t="s">
        <v>20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4">
        <v>151</v>
      </c>
      <c r="P100">
        <v>1620</v>
      </c>
      <c r="Q100">
        <v>65</v>
      </c>
      <c r="R100" s="31">
        <v>0</v>
      </c>
      <c r="S100" s="30">
        <f>IFERROR(PROPERTIES[[#This Row],[TE_STARTING_KN]]/(PROPERTIES[[#This Row],[WEIGHT]]*9.81),0)</f>
        <v>0</v>
      </c>
      <c r="T100" s="30">
        <v>0.12</v>
      </c>
      <c r="U100" s="27">
        <f>ROUND(IF(IFERROR(PROPERTIES[[#This Row],[TE_COEFFICIENT_CALC]],0)=0,PROPERTIES[[#This Row],[TE_COEFFICIENT_MANUAL]],PROPERTIES[[#This Row],[TE_COEFFICIENT_CALC]]),3)</f>
        <v>0.12</v>
      </c>
      <c r="V100" s="6">
        <v>40</v>
      </c>
      <c r="W100" s="10">
        <v>0</v>
      </c>
      <c r="X100" s="10">
        <v>4</v>
      </c>
      <c r="Y100" s="10"/>
      <c r="Z100" t="str">
        <f>"RUNNING_COST_"&amp;IF(PROPERTIES[[#This Row],[ENGINE_CLASS]]="MAGLEV","ELECTRIC",PROPERTIES[[#This Row],[ENGINE_CLASS]])</f>
        <v>RUNNING_COST_STEAM</v>
      </c>
      <c r="AA100" s="10" t="s">
        <v>998</v>
      </c>
      <c r="AB100" s="10" t="s">
        <v>999</v>
      </c>
      <c r="AC100" s="10" t="str">
        <f>SUBSTITUTE(SUBSTITUTE(PROPERTIES[[#This Row],[PURCHASECOST_VALUE]], "PURCHASECOST_", ""), "_VALUE", "")</f>
        <v>STEAMENGINE</v>
      </c>
      <c r="AD100" s="2" t="b">
        <v>0</v>
      </c>
      <c r="AV100"/>
      <c r="AW100"/>
      <c r="AX100"/>
    </row>
    <row r="101" spans="1:50">
      <c r="A101" s="2" t="s">
        <v>125</v>
      </c>
      <c r="B101">
        <v>1941</v>
      </c>
      <c r="C101">
        <v>0</v>
      </c>
      <c r="D101" t="s">
        <v>2029</v>
      </c>
      <c r="E101" t="str">
        <f>_xlfn.XLOOKUP(PROPERTIES[[#This Row],[COUNTRY]],COUNTRIES[COUNTRY_DESCRIPTION],COUNTRIES[COUNTRY_LABEL],"")</f>
        <v>US</v>
      </c>
      <c r="F101" t="s">
        <v>23</v>
      </c>
      <c r="G101" t="s">
        <v>20</v>
      </c>
      <c r="H101">
        <v>0</v>
      </c>
      <c r="I101">
        <v>8</v>
      </c>
      <c r="J101">
        <v>6</v>
      </c>
      <c r="K101" s="2" t="s">
        <v>20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4">
        <v>603</v>
      </c>
      <c r="P101">
        <v>6290</v>
      </c>
      <c r="Q101">
        <v>128</v>
      </c>
      <c r="R101" s="31">
        <v>0</v>
      </c>
      <c r="S101" s="30">
        <f>IFERROR(PROPERTIES[[#This Row],[TE_STARTING_KN]]/(PROPERTIES[[#This Row],[WEIGHT]]*9.81),0)</f>
        <v>0</v>
      </c>
      <c r="T101" s="30">
        <v>0.1</v>
      </c>
      <c r="U101" s="27">
        <f>ROUND(IF(IFERROR(PROPERTIES[[#This Row],[TE_COEFFICIENT_CALC]],0)=0,PROPERTIES[[#This Row],[TE_COEFFICIENT_MANUAL]],PROPERTIES[[#This Row],[TE_COEFFICIENT_CALC]]),3)</f>
        <v>0.1</v>
      </c>
      <c r="V101" s="6">
        <v>40</v>
      </c>
      <c r="W101" s="10">
        <v>0</v>
      </c>
      <c r="X101" s="10">
        <v>0</v>
      </c>
      <c r="Y101" s="10"/>
      <c r="Z101" t="str">
        <f>"RUNNING_COST_"&amp;IF(PROPERTIES[[#This Row],[ENGINE_CLASS]]="MAGLEV","ELECTRIC",PROPERTIES[[#This Row],[ENGINE_CLASS]])</f>
        <v>RUNNING_COST_STEAM</v>
      </c>
      <c r="AA101" s="10" t="s">
        <v>998</v>
      </c>
      <c r="AB101" s="10" t="s">
        <v>999</v>
      </c>
      <c r="AC101" s="10" t="str">
        <f>SUBSTITUTE(SUBSTITUTE(PROPERTIES[[#This Row],[PURCHASECOST_VALUE]], "PURCHASECOST_", ""), "_VALUE", "")</f>
        <v>STEAMENGINE</v>
      </c>
      <c r="AD101" s="2" t="b">
        <v>0</v>
      </c>
      <c r="AV101"/>
      <c r="AW101"/>
      <c r="AX101"/>
    </row>
    <row r="102" spans="1:50">
      <c r="A102" s="2" t="s">
        <v>126</v>
      </c>
      <c r="B102">
        <v>1844</v>
      </c>
      <c r="C102">
        <v>0</v>
      </c>
      <c r="D102" t="s">
        <v>1962</v>
      </c>
      <c r="E102" t="str">
        <f>_xlfn.XLOOKUP(PROPERTIES[[#This Row],[COUNTRY]],COUNTRIES[COUNTRY_DESCRIPTION],COUNTRIES[COUNTRY_LABEL],"")</f>
        <v>NL</v>
      </c>
      <c r="F102" t="s">
        <v>23</v>
      </c>
      <c r="G102" t="s">
        <v>18</v>
      </c>
      <c r="H102">
        <v>0</v>
      </c>
      <c r="I102">
        <v>4</v>
      </c>
      <c r="J102">
        <v>6</v>
      </c>
      <c r="K102" s="2" t="s">
        <v>20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4">
        <f>48+32</f>
        <v>80</v>
      </c>
      <c r="P102">
        <v>600</v>
      </c>
      <c r="Q102">
        <v>90</v>
      </c>
      <c r="R102" s="31">
        <v>0</v>
      </c>
      <c r="S102" s="30">
        <f>IFERROR(PROPERTIES[[#This Row],[TE_STARTING_KN]]/(PROPERTIES[[#This Row],[WEIGHT]]*9.81),0)</f>
        <v>0</v>
      </c>
      <c r="T102" s="30">
        <v>0.08</v>
      </c>
      <c r="U102" s="27">
        <f>ROUND(IF(IFERROR(PROPERTIES[[#This Row],[TE_COEFFICIENT_CALC]],0)=0,PROPERTIES[[#This Row],[TE_COEFFICIENT_MANUAL]],PROPERTIES[[#This Row],[TE_COEFFICIENT_CALC]]),3)</f>
        <v>0.08</v>
      </c>
      <c r="V102" s="6">
        <v>40</v>
      </c>
      <c r="W102" s="10">
        <v>0</v>
      </c>
      <c r="X102" s="10">
        <v>3</v>
      </c>
      <c r="Y102" s="10"/>
      <c r="Z102" t="str">
        <f>"RUNNING_COST_"&amp;IF(PROPERTIES[[#This Row],[ENGINE_CLASS]]="MAGLEV","ELECTRIC",PROPERTIES[[#This Row],[ENGINE_CLASS]])</f>
        <v>RUNNING_COST_STEAM</v>
      </c>
      <c r="AA102" s="10" t="s">
        <v>998</v>
      </c>
      <c r="AB102" s="10" t="s">
        <v>999</v>
      </c>
      <c r="AC102" s="10" t="str">
        <f>SUBSTITUTE(SUBSTITUTE(PROPERTIES[[#This Row],[PURCHASECOST_VALUE]], "PURCHASECOST_", ""), "_VALUE", "")</f>
        <v>STEAMENGINE</v>
      </c>
      <c r="AD102" s="2" t="b">
        <v>0</v>
      </c>
      <c r="AV102"/>
      <c r="AW102"/>
      <c r="AX102"/>
    </row>
    <row r="103" spans="1:50">
      <c r="A103" s="2" t="s">
        <v>127</v>
      </c>
      <c r="B103">
        <v>1846</v>
      </c>
      <c r="C103">
        <v>0</v>
      </c>
      <c r="D103" t="s">
        <v>1873</v>
      </c>
      <c r="E103" t="str">
        <f>_xlfn.XLOOKUP(PROPERTIES[[#This Row],[COUNTRY]],COUNTRIES[COUNTRY_DESCRIPTION],COUNTRIES[COUNTRY_LABEL],"")</f>
        <v>GB</v>
      </c>
      <c r="F103" t="s">
        <v>23</v>
      </c>
      <c r="G103" t="s">
        <v>18</v>
      </c>
      <c r="H103">
        <v>0</v>
      </c>
      <c r="I103">
        <v>8</v>
      </c>
      <c r="J103">
        <v>8</v>
      </c>
      <c r="K103" s="2" t="s">
        <v>20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4">
        <v>65</v>
      </c>
      <c r="P103">
        <v>450</v>
      </c>
      <c r="Q103">
        <v>128</v>
      </c>
      <c r="R103" s="31">
        <v>0</v>
      </c>
      <c r="S103" s="30">
        <f>IFERROR(PROPERTIES[[#This Row],[TE_STARTING_KN]]/(PROPERTIES[[#This Row],[WEIGHT]]*9.81),0)</f>
        <v>0</v>
      </c>
      <c r="T103" s="30">
        <v>0.06</v>
      </c>
      <c r="U103" s="27">
        <f>ROUND(IF(IFERROR(PROPERTIES[[#This Row],[TE_COEFFICIENT_CALC]],0)=0,PROPERTIES[[#This Row],[TE_COEFFICIENT_MANUAL]],PROPERTIES[[#This Row],[TE_COEFFICIENT_CALC]]),3)</f>
        <v>0.06</v>
      </c>
      <c r="V103" s="6">
        <v>40</v>
      </c>
      <c r="W103" s="10">
        <v>0</v>
      </c>
      <c r="X103" s="10">
        <v>4</v>
      </c>
      <c r="Y103" s="10"/>
      <c r="Z103" t="str">
        <f>"RUNNING_COST_"&amp;IF(PROPERTIES[[#This Row],[ENGINE_CLASS]]="MAGLEV","ELECTRIC",PROPERTIES[[#This Row],[ENGINE_CLASS]])</f>
        <v>RUNNING_COST_STEAM</v>
      </c>
      <c r="AA103" s="10" t="s">
        <v>998</v>
      </c>
      <c r="AB103" s="10" t="s">
        <v>999</v>
      </c>
      <c r="AC103" s="10" t="str">
        <f>SUBSTITUTE(SUBSTITUTE(PROPERTIES[[#This Row],[PURCHASECOST_VALUE]], "PURCHASECOST_", ""), "_VALUE", "")</f>
        <v>STEAMENGINE</v>
      </c>
      <c r="AD103" s="2" t="b">
        <v>0</v>
      </c>
      <c r="AV103"/>
      <c r="AW103"/>
      <c r="AX103"/>
    </row>
    <row r="104" spans="1:50">
      <c r="A104" s="2" t="s">
        <v>128</v>
      </c>
      <c r="B104">
        <v>1855</v>
      </c>
      <c r="C104">
        <v>0</v>
      </c>
      <c r="D104" t="s">
        <v>1810</v>
      </c>
      <c r="E104" t="str">
        <f>_xlfn.XLOOKUP(PROPERTIES[[#This Row],[COUNTRY]],COUNTRIES[COUNTRY_DESCRIPTION],COUNTRIES[COUNTRY_LABEL],"")</f>
        <v>AU</v>
      </c>
      <c r="F104" t="s">
        <v>23</v>
      </c>
      <c r="G104" t="s">
        <v>18</v>
      </c>
      <c r="H104">
        <v>0</v>
      </c>
      <c r="I104">
        <v>5</v>
      </c>
      <c r="J104">
        <v>8</v>
      </c>
      <c r="K104" s="2" t="s">
        <v>20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4">
        <v>45</v>
      </c>
      <c r="P104">
        <v>160</v>
      </c>
      <c r="Q104">
        <v>55</v>
      </c>
      <c r="R104" s="31">
        <v>40</v>
      </c>
      <c r="S104" s="30">
        <f>IFERROR(PROPERTIES[[#This Row],[TE_STARTING_KN]]/(PROPERTIES[[#This Row],[WEIGHT]]*9.81),0)</f>
        <v>9.0610488164004979E-2</v>
      </c>
      <c r="T104" s="30">
        <v>0.08</v>
      </c>
      <c r="U104" s="27">
        <f>ROUND(IF(IFERROR(PROPERTIES[[#This Row],[TE_COEFFICIENT_CALC]],0)=0,PROPERTIES[[#This Row],[TE_COEFFICIENT_MANUAL]],PROPERTIES[[#This Row],[TE_COEFFICIENT_CALC]]),3)</f>
        <v>9.0999999999999998E-2</v>
      </c>
      <c r="V104" s="6">
        <v>40</v>
      </c>
      <c r="W104" s="10">
        <v>0</v>
      </c>
      <c r="X104" s="10">
        <v>4</v>
      </c>
      <c r="Y104" s="10"/>
      <c r="Z104" t="str">
        <f>"RUNNING_COST_"&amp;IF(PROPERTIES[[#This Row],[ENGINE_CLASS]]="MAGLEV","ELECTRIC",PROPERTIES[[#This Row],[ENGINE_CLASS]])</f>
        <v>RUNNING_COST_STEAM</v>
      </c>
      <c r="AA104" s="10" t="s">
        <v>998</v>
      </c>
      <c r="AB104" s="10" t="s">
        <v>999</v>
      </c>
      <c r="AC104" s="10" t="str">
        <f>SUBSTITUTE(SUBSTITUTE(PROPERTIES[[#This Row],[PURCHASECOST_VALUE]], "PURCHASECOST_", ""), "_VALUE", "")</f>
        <v>STEAMENGINE</v>
      </c>
      <c r="AD104" s="2" t="b">
        <v>0</v>
      </c>
      <c r="AV104"/>
      <c r="AW104"/>
      <c r="AX104"/>
    </row>
    <row r="105" spans="1:50">
      <c r="A105" s="2" t="s">
        <v>129</v>
      </c>
      <c r="B105">
        <v>1863</v>
      </c>
      <c r="C105">
        <v>0</v>
      </c>
      <c r="D105" t="s">
        <v>2029</v>
      </c>
      <c r="E105" t="str">
        <f>_xlfn.XLOOKUP(PROPERTIES[[#This Row],[COUNTRY]],COUNTRIES[COUNTRY_DESCRIPTION],COUNTRIES[COUNTRY_LABEL],"")</f>
        <v>US</v>
      </c>
      <c r="F105" t="s">
        <v>23</v>
      </c>
      <c r="G105" t="s">
        <v>18</v>
      </c>
      <c r="H105">
        <v>0</v>
      </c>
      <c r="I105">
        <v>5</v>
      </c>
      <c r="J105">
        <v>6</v>
      </c>
      <c r="K105" s="2" t="s">
        <v>20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4">
        <v>45</v>
      </c>
      <c r="P105">
        <v>126</v>
      </c>
      <c r="Q105">
        <v>65</v>
      </c>
      <c r="R105" s="31">
        <v>34.6</v>
      </c>
      <c r="S105" s="30">
        <f>IFERROR(PROPERTIES[[#This Row],[TE_STARTING_KN]]/(PROPERTIES[[#This Row],[WEIGHT]]*9.81),0)</f>
        <v>7.8378072261864301E-2</v>
      </c>
      <c r="T105" s="30">
        <v>0.14000000000000001</v>
      </c>
      <c r="U105" s="27">
        <f>ROUND(IF(IFERROR(PROPERTIES[[#This Row],[TE_COEFFICIENT_CALC]],0)=0,PROPERTIES[[#This Row],[TE_COEFFICIENT_MANUAL]],PROPERTIES[[#This Row],[TE_COEFFICIENT_CALC]]),3)</f>
        <v>7.8E-2</v>
      </c>
      <c r="V105" s="6">
        <v>40</v>
      </c>
      <c r="W105" s="10">
        <v>0</v>
      </c>
      <c r="X105" s="10">
        <v>3</v>
      </c>
      <c r="Y105" s="10"/>
      <c r="Z105" t="str">
        <f>"RUNNING_COST_"&amp;IF(PROPERTIES[[#This Row],[ENGINE_CLASS]]="MAGLEV","ELECTRIC",PROPERTIES[[#This Row],[ENGINE_CLASS]])</f>
        <v>RUNNING_COST_STEAM</v>
      </c>
      <c r="AA105" s="10" t="s">
        <v>998</v>
      </c>
      <c r="AB105" s="10" t="s">
        <v>999</v>
      </c>
      <c r="AC105" s="10" t="str">
        <f>SUBSTITUTE(SUBSTITUTE(PROPERTIES[[#This Row],[PURCHASECOST_VALUE]], "PURCHASECOST_", ""), "_VALUE", "")</f>
        <v>STEAMENGINE</v>
      </c>
      <c r="AD105" s="2" t="b">
        <v>0</v>
      </c>
      <c r="AV105"/>
      <c r="AW105"/>
      <c r="AX105"/>
    </row>
    <row r="106" spans="1:50">
      <c r="A106" s="2" t="s">
        <v>130</v>
      </c>
      <c r="B106">
        <v>1865</v>
      </c>
      <c r="C106">
        <v>0</v>
      </c>
      <c r="D106" t="s">
        <v>1962</v>
      </c>
      <c r="E106" t="str">
        <f>_xlfn.XLOOKUP(PROPERTIES[[#This Row],[COUNTRY]],COUNTRIES[COUNTRY_DESCRIPTION],COUNTRIES[COUNTRY_LABEL],"")</f>
        <v>NL</v>
      </c>
      <c r="F106" t="s">
        <v>23</v>
      </c>
      <c r="G106" t="s">
        <v>18</v>
      </c>
      <c r="H106">
        <v>0</v>
      </c>
      <c r="I106">
        <v>5</v>
      </c>
      <c r="J106">
        <v>6</v>
      </c>
      <c r="K106" s="2" t="s">
        <v>20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4">
        <v>49</v>
      </c>
      <c r="P106">
        <v>320</v>
      </c>
      <c r="Q106">
        <v>90</v>
      </c>
      <c r="R106" s="31">
        <v>0</v>
      </c>
      <c r="S106" s="30">
        <f>IFERROR(PROPERTIES[[#This Row],[TE_STARTING_KN]]/(PROPERTIES[[#This Row],[WEIGHT]]*9.81),0)</f>
        <v>0</v>
      </c>
      <c r="T106" s="30">
        <v>7.0000000000000007E-2</v>
      </c>
      <c r="U106" s="27">
        <f>ROUND(IF(IFERROR(PROPERTIES[[#This Row],[TE_COEFFICIENT_CALC]],0)=0,PROPERTIES[[#This Row],[TE_COEFFICIENT_MANUAL]],PROPERTIES[[#This Row],[TE_COEFFICIENT_CALC]]),3)</f>
        <v>7.0000000000000007E-2</v>
      </c>
      <c r="V106" s="6">
        <v>40</v>
      </c>
      <c r="W106" s="10">
        <v>0</v>
      </c>
      <c r="X106" s="10">
        <v>3</v>
      </c>
      <c r="Y106" s="10"/>
      <c r="Z106" t="str">
        <f>"RUNNING_COST_"&amp;IF(PROPERTIES[[#This Row],[ENGINE_CLASS]]="MAGLEV","ELECTRIC",PROPERTIES[[#This Row],[ENGINE_CLASS]])</f>
        <v>RUNNING_COST_STEAM</v>
      </c>
      <c r="AA106" s="10" t="s">
        <v>998</v>
      </c>
      <c r="AB106" s="10" t="s">
        <v>999</v>
      </c>
      <c r="AC106" s="10" t="str">
        <f>SUBSTITUTE(SUBSTITUTE(PROPERTIES[[#This Row],[PURCHASECOST_VALUE]], "PURCHASECOST_", ""), "_VALUE", "")</f>
        <v>STEAMENGINE</v>
      </c>
      <c r="AD106" s="2" t="b">
        <v>0</v>
      </c>
      <c r="AV106"/>
      <c r="AW106"/>
      <c r="AX106"/>
    </row>
    <row r="107" spans="1:50">
      <c r="A107" s="2" t="s">
        <v>131</v>
      </c>
      <c r="B107">
        <v>1876</v>
      </c>
      <c r="C107">
        <v>0</v>
      </c>
      <c r="D107" t="s">
        <v>2043</v>
      </c>
      <c r="E107" t="str">
        <f>_xlfn.XLOOKUP(PROPERTIES[[#This Row],[COUNTRY]],COUNTRIES[COUNTRY_DESCRIPTION],COUNTRIES[COUNTRY_LABEL],"")</f>
        <v>ZA</v>
      </c>
      <c r="F107" t="s">
        <v>23</v>
      </c>
      <c r="G107" t="s">
        <v>18</v>
      </c>
      <c r="H107">
        <v>0</v>
      </c>
      <c r="I107">
        <v>5</v>
      </c>
      <c r="J107">
        <v>5</v>
      </c>
      <c r="K107" s="2" t="s">
        <v>20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4">
        <v>30</v>
      </c>
      <c r="P107">
        <v>240</v>
      </c>
      <c r="Q107">
        <v>55</v>
      </c>
      <c r="R107" s="31">
        <v>44</v>
      </c>
      <c r="S107" s="30">
        <f>IFERROR(PROPERTIES[[#This Row],[TE_STARTING_KN]]/(PROPERTIES[[#This Row],[WEIGHT]]*9.81),0)</f>
        <v>0.14950730547060823</v>
      </c>
      <c r="T107" s="30">
        <v>0.17</v>
      </c>
      <c r="U107" s="27">
        <f>ROUND(IF(IFERROR(PROPERTIES[[#This Row],[TE_COEFFICIENT_CALC]],0)=0,PROPERTIES[[#This Row],[TE_COEFFICIENT_MANUAL]],PROPERTIES[[#This Row],[TE_COEFFICIENT_CALC]]),3)</f>
        <v>0.15</v>
      </c>
      <c r="V107" s="6">
        <v>40</v>
      </c>
      <c r="W107" s="10">
        <v>0</v>
      </c>
      <c r="X107" s="10">
        <v>0</v>
      </c>
      <c r="Y107" s="10"/>
      <c r="Z107" t="str">
        <f>"RUNNING_COST_"&amp;IF(PROPERTIES[[#This Row],[ENGINE_CLASS]]="MAGLEV","ELECTRIC",PROPERTIES[[#This Row],[ENGINE_CLASS]])</f>
        <v>RUNNING_COST_STEAM</v>
      </c>
      <c r="AA107" s="10" t="s">
        <v>998</v>
      </c>
      <c r="AB107" s="10" t="s">
        <v>999</v>
      </c>
      <c r="AC107" s="10" t="str">
        <f>SUBSTITUTE(SUBSTITUTE(PROPERTIES[[#This Row],[PURCHASECOST_VALUE]], "PURCHASECOST_", ""), "_VALUE", "")</f>
        <v>STEAMENGINE</v>
      </c>
      <c r="AD107" s="2" t="b">
        <v>0</v>
      </c>
      <c r="AV107"/>
      <c r="AW107"/>
      <c r="AX107"/>
    </row>
    <row r="108" spans="1:50">
      <c r="A108" s="2" t="s">
        <v>132</v>
      </c>
      <c r="B108">
        <v>1881</v>
      </c>
      <c r="C108">
        <v>0</v>
      </c>
      <c r="D108" t="s">
        <v>1810</v>
      </c>
      <c r="E108" t="str">
        <f>_xlfn.XLOOKUP(PROPERTIES[[#This Row],[COUNTRY]],COUNTRIES[COUNTRY_DESCRIPTION],COUNTRIES[COUNTRY_LABEL],"")</f>
        <v>AU</v>
      </c>
      <c r="F108" t="s">
        <v>23</v>
      </c>
      <c r="G108" t="s">
        <v>18</v>
      </c>
      <c r="H108">
        <v>0</v>
      </c>
      <c r="I108">
        <v>7</v>
      </c>
      <c r="J108">
        <v>8</v>
      </c>
      <c r="K108" s="2" t="s">
        <v>20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4">
        <v>75</v>
      </c>
      <c r="P108">
        <v>650</v>
      </c>
      <c r="Q108">
        <v>80</v>
      </c>
      <c r="R108" s="31">
        <v>98.1</v>
      </c>
      <c r="S108" s="30">
        <f>IFERROR(PROPERTIES[[#This Row],[TE_STARTING_KN]]/(PROPERTIES[[#This Row],[WEIGHT]]*9.81),0)</f>
        <v>0.13333333333333333</v>
      </c>
      <c r="T108" s="30">
        <v>0.14000000000000001</v>
      </c>
      <c r="U108" s="27">
        <f>ROUND(IF(IFERROR(PROPERTIES[[#This Row],[TE_COEFFICIENT_CALC]],0)=0,PROPERTIES[[#This Row],[TE_COEFFICIENT_MANUAL]],PROPERTIES[[#This Row],[TE_COEFFICIENT_CALC]]),3)</f>
        <v>0.13300000000000001</v>
      </c>
      <c r="V108" s="6">
        <v>40</v>
      </c>
      <c r="W108" s="10">
        <v>0</v>
      </c>
      <c r="X108" s="10">
        <v>4</v>
      </c>
      <c r="Y108" s="10"/>
      <c r="Z108" t="str">
        <f>"RUNNING_COST_"&amp;IF(PROPERTIES[[#This Row],[ENGINE_CLASS]]="MAGLEV","ELECTRIC",PROPERTIES[[#This Row],[ENGINE_CLASS]])</f>
        <v>RUNNING_COST_STEAM</v>
      </c>
      <c r="AA108" s="10" t="s">
        <v>998</v>
      </c>
      <c r="AB108" s="10" t="s">
        <v>999</v>
      </c>
      <c r="AC108" s="10" t="str">
        <f>SUBSTITUTE(SUBSTITUTE(PROPERTIES[[#This Row],[PURCHASECOST_VALUE]], "PURCHASECOST_", ""), "_VALUE", "")</f>
        <v>STEAMENGINE</v>
      </c>
      <c r="AD108" s="2" t="b">
        <v>0</v>
      </c>
      <c r="AV108"/>
      <c r="AW108"/>
      <c r="AX108"/>
    </row>
    <row r="109" spans="1:50">
      <c r="A109" s="2" t="s">
        <v>133</v>
      </c>
      <c r="B109">
        <v>1886</v>
      </c>
      <c r="C109">
        <v>0</v>
      </c>
      <c r="D109" t="s">
        <v>1835</v>
      </c>
      <c r="E109" t="str">
        <f>_xlfn.XLOOKUP(PROPERTIES[[#This Row],[COUNTRY]],COUNTRIES[COUNTRY_DESCRIPTION],COUNTRIES[COUNTRY_LABEL],"")</f>
        <v>CA</v>
      </c>
      <c r="F109" t="s">
        <v>23</v>
      </c>
      <c r="G109" t="s">
        <v>18</v>
      </c>
      <c r="H109">
        <v>0</v>
      </c>
      <c r="I109">
        <v>6</v>
      </c>
      <c r="J109">
        <v>8</v>
      </c>
      <c r="K109" s="2" t="s">
        <v>20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4">
        <v>82</v>
      </c>
      <c r="P109">
        <v>380</v>
      </c>
      <c r="Q109">
        <v>80</v>
      </c>
      <c r="R109" s="31">
        <v>67</v>
      </c>
      <c r="S109" s="30">
        <f>IFERROR(PROPERTIES[[#This Row],[TE_STARTING_KN]]/(PROPERTIES[[#This Row],[WEIGHT]]*9.81),0)</f>
        <v>8.3289823723925308E-2</v>
      </c>
      <c r="T109" s="30">
        <v>0.13</v>
      </c>
      <c r="U109" s="27">
        <f>ROUND(IF(IFERROR(PROPERTIES[[#This Row],[TE_COEFFICIENT_CALC]],0)=0,PROPERTIES[[#This Row],[TE_COEFFICIENT_MANUAL]],PROPERTIES[[#This Row],[TE_COEFFICIENT_CALC]]),3)</f>
        <v>8.3000000000000004E-2</v>
      </c>
      <c r="V109" s="6">
        <v>40</v>
      </c>
      <c r="W109" s="10">
        <v>0</v>
      </c>
      <c r="X109" s="10">
        <v>4</v>
      </c>
      <c r="Y109" s="10"/>
      <c r="Z109" t="str">
        <f>"RUNNING_COST_"&amp;IF(PROPERTIES[[#This Row],[ENGINE_CLASS]]="MAGLEV","ELECTRIC",PROPERTIES[[#This Row],[ENGINE_CLASS]])</f>
        <v>RUNNING_COST_STEAM</v>
      </c>
      <c r="AA109" s="10" t="s">
        <v>998</v>
      </c>
      <c r="AB109" s="10" t="s">
        <v>999</v>
      </c>
      <c r="AC109" s="10" t="str">
        <f>SUBSTITUTE(SUBSTITUTE(PROPERTIES[[#This Row],[PURCHASECOST_VALUE]], "PURCHASECOST_", ""), "_VALUE", "")</f>
        <v>STEAMENGINE</v>
      </c>
      <c r="AD109" s="2" t="b">
        <v>0</v>
      </c>
      <c r="AV109"/>
      <c r="AW109"/>
      <c r="AX109"/>
    </row>
    <row r="110" spans="1:50">
      <c r="A110" s="2" t="s">
        <v>134</v>
      </c>
      <c r="B110">
        <v>1887</v>
      </c>
      <c r="C110">
        <v>0</v>
      </c>
      <c r="D110" t="s">
        <v>2043</v>
      </c>
      <c r="E110" t="str">
        <f>_xlfn.XLOOKUP(PROPERTIES[[#This Row],[COUNTRY]],COUNTRIES[COUNTRY_DESCRIPTION],COUNTRIES[COUNTRY_LABEL],"")</f>
        <v>ZA</v>
      </c>
      <c r="F110" t="s">
        <v>23</v>
      </c>
      <c r="G110" t="s">
        <v>18</v>
      </c>
      <c r="H110">
        <v>0</v>
      </c>
      <c r="I110">
        <v>5</v>
      </c>
      <c r="J110">
        <v>5</v>
      </c>
      <c r="K110" s="2" t="s">
        <v>20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4">
        <v>36</v>
      </c>
      <c r="P110">
        <v>220</v>
      </c>
      <c r="Q110">
        <v>60</v>
      </c>
      <c r="R110" s="31">
        <v>41.6</v>
      </c>
      <c r="S110" s="30">
        <f>IFERROR(PROPERTIES[[#This Row],[TE_STARTING_KN]]/(PROPERTIES[[#This Row],[WEIGHT]]*9.81),0)</f>
        <v>0.11779363461320648</v>
      </c>
      <c r="T110" s="30">
        <v>0.12</v>
      </c>
      <c r="U110" s="27">
        <f>ROUND(IF(IFERROR(PROPERTIES[[#This Row],[TE_COEFFICIENT_CALC]],0)=0,PROPERTIES[[#This Row],[TE_COEFFICIENT_MANUAL]],PROPERTIES[[#This Row],[TE_COEFFICIENT_CALC]]),3)</f>
        <v>0.11799999999999999</v>
      </c>
      <c r="V110" s="6">
        <v>40</v>
      </c>
      <c r="W110" s="10">
        <v>0</v>
      </c>
      <c r="X110" s="10">
        <v>0</v>
      </c>
      <c r="Y110" s="10"/>
      <c r="Z110" t="str">
        <f>"RUNNING_COST_"&amp;IF(PROPERTIES[[#This Row],[ENGINE_CLASS]]="MAGLEV","ELECTRIC",PROPERTIES[[#This Row],[ENGINE_CLASS]])</f>
        <v>RUNNING_COST_STEAM</v>
      </c>
      <c r="AA110" s="10" t="s">
        <v>998</v>
      </c>
      <c r="AB110" s="10" t="s">
        <v>999</v>
      </c>
      <c r="AC110" s="10" t="str">
        <f>SUBSTITUTE(SUBSTITUTE(PROPERTIES[[#This Row],[PURCHASECOST_VALUE]], "PURCHASECOST_", ""), "_VALUE", "")</f>
        <v>STEAMENGINE</v>
      </c>
      <c r="AD110" s="2" t="b">
        <v>0</v>
      </c>
      <c r="AV110"/>
      <c r="AW110"/>
      <c r="AX110"/>
    </row>
    <row r="111" spans="1:50">
      <c r="A111" s="2" t="s">
        <v>135</v>
      </c>
      <c r="B111">
        <v>1891</v>
      </c>
      <c r="C111">
        <v>0</v>
      </c>
      <c r="D111" t="s">
        <v>1865</v>
      </c>
      <c r="E111" t="str">
        <f>_xlfn.XLOOKUP(PROPERTIES[[#This Row],[COUNTRY]],COUNTRIES[COUNTRY_DESCRIPTION],COUNTRIES[COUNTRY_LABEL],"")</f>
        <v>ES</v>
      </c>
      <c r="F111" t="s">
        <v>23</v>
      </c>
      <c r="G111" t="s">
        <v>18</v>
      </c>
      <c r="H111">
        <v>0</v>
      </c>
      <c r="I111">
        <v>6</v>
      </c>
      <c r="J111">
        <v>6</v>
      </c>
      <c r="K111" s="2" t="s">
        <v>20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4">
        <v>88.5</v>
      </c>
      <c r="P111">
        <v>750</v>
      </c>
      <c r="Q111">
        <v>55</v>
      </c>
      <c r="R111" s="31">
        <v>118</v>
      </c>
      <c r="S111" s="30">
        <f>IFERROR(PROPERTIES[[#This Row],[TE_STARTING_KN]]/(PROPERTIES[[#This Row],[WEIGHT]]*9.81),0)</f>
        <v>0.13591573224600748</v>
      </c>
      <c r="T111" s="30">
        <v>0.1</v>
      </c>
      <c r="U111" s="27">
        <f>ROUND(IF(IFERROR(PROPERTIES[[#This Row],[TE_COEFFICIENT_CALC]],0)=0,PROPERTIES[[#This Row],[TE_COEFFICIENT_MANUAL]],PROPERTIES[[#This Row],[TE_COEFFICIENT_CALC]]),3)</f>
        <v>0.13600000000000001</v>
      </c>
      <c r="V111" s="6">
        <v>40</v>
      </c>
      <c r="W111" s="10">
        <v>0</v>
      </c>
      <c r="X111" s="10">
        <v>3</v>
      </c>
      <c r="Y111" s="10"/>
      <c r="Z111" t="str">
        <f>"RUNNING_COST_"&amp;IF(PROPERTIES[[#This Row],[ENGINE_CLASS]]="MAGLEV","ELECTRIC",PROPERTIES[[#This Row],[ENGINE_CLASS]])</f>
        <v>RUNNING_COST_STEAM</v>
      </c>
      <c r="AA111" s="10" t="s">
        <v>998</v>
      </c>
      <c r="AB111" s="10" t="s">
        <v>999</v>
      </c>
      <c r="AC111" s="10" t="str">
        <f>SUBSTITUTE(SUBSTITUTE(PROPERTIES[[#This Row],[PURCHASECOST_VALUE]], "PURCHASECOST_", ""), "_VALUE", "")</f>
        <v>STEAMENGINE</v>
      </c>
      <c r="AD111" s="2" t="b">
        <v>0</v>
      </c>
      <c r="AV111"/>
      <c r="AW111"/>
      <c r="AX111"/>
    </row>
    <row r="112" spans="1:50">
      <c r="A112" s="2" t="s">
        <v>136</v>
      </c>
      <c r="B112">
        <v>1892</v>
      </c>
      <c r="C112">
        <v>0</v>
      </c>
      <c r="D112" t="s">
        <v>1854</v>
      </c>
      <c r="E112" t="str">
        <f>_xlfn.XLOOKUP(PROPERTIES[[#This Row],[COUNTRY]],COUNTRIES[COUNTRY_DESCRIPTION],COUNTRIES[COUNTRY_LABEL],"")</f>
        <v>DE</v>
      </c>
      <c r="F112" t="s">
        <v>23</v>
      </c>
      <c r="G112" t="s">
        <v>18</v>
      </c>
      <c r="H112">
        <v>0</v>
      </c>
      <c r="I112">
        <v>6</v>
      </c>
      <c r="J112">
        <v>6</v>
      </c>
      <c r="K112" s="2" t="s">
        <v>20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4">
        <v>27</v>
      </c>
      <c r="P112">
        <v>206</v>
      </c>
      <c r="Q112">
        <v>30</v>
      </c>
      <c r="R112" s="31">
        <v>42.17</v>
      </c>
      <c r="S112" s="30">
        <f>IFERROR(PROPERTIES[[#This Row],[TE_STARTING_KN]]/(PROPERTIES[[#This Row],[WEIGHT]]*9.81),0)</f>
        <v>0.15921017857817044</v>
      </c>
      <c r="T112" s="30">
        <v>0.14000000000000001</v>
      </c>
      <c r="U112" s="27">
        <f>ROUND(IF(IFERROR(PROPERTIES[[#This Row],[TE_COEFFICIENT_CALC]],0)=0,PROPERTIES[[#This Row],[TE_COEFFICIENT_MANUAL]],PROPERTIES[[#This Row],[TE_COEFFICIENT_CALC]]),3)</f>
        <v>0.159</v>
      </c>
      <c r="V112" s="6">
        <v>40</v>
      </c>
      <c r="W112" s="10">
        <v>0</v>
      </c>
      <c r="X112" s="10">
        <v>0</v>
      </c>
      <c r="Y112" s="10"/>
      <c r="Z112" t="str">
        <f>"RUNNING_COST_"&amp;IF(PROPERTIES[[#This Row],[ENGINE_CLASS]]="MAGLEV","ELECTRIC",PROPERTIES[[#This Row],[ENGINE_CLASS]])</f>
        <v>RUNNING_COST_STEAM</v>
      </c>
      <c r="AA112" s="10" t="s">
        <v>998</v>
      </c>
      <c r="AB112" s="10" t="s">
        <v>999</v>
      </c>
      <c r="AC112" s="10" t="str">
        <f>SUBSTITUTE(SUBSTITUTE(PROPERTIES[[#This Row],[PURCHASECOST_VALUE]], "PURCHASECOST_", ""), "_VALUE", "")</f>
        <v>STEAMENGINE</v>
      </c>
      <c r="AD112" s="2" t="b">
        <v>0</v>
      </c>
      <c r="AV112"/>
      <c r="AW112"/>
      <c r="AX112"/>
    </row>
    <row r="113" spans="1:50">
      <c r="A113" s="2" t="s">
        <v>137</v>
      </c>
      <c r="B113">
        <v>1893</v>
      </c>
      <c r="C113">
        <v>0</v>
      </c>
      <c r="D113" t="s">
        <v>1854</v>
      </c>
      <c r="E113" t="str">
        <f>_xlfn.XLOOKUP(PROPERTIES[[#This Row],[COUNTRY]],COUNTRIES[COUNTRY_DESCRIPTION],COUNTRIES[COUNTRY_LABEL],"")</f>
        <v>DE</v>
      </c>
      <c r="F113" t="s">
        <v>23</v>
      </c>
      <c r="G113" t="s">
        <v>18</v>
      </c>
      <c r="H113">
        <v>0</v>
      </c>
      <c r="I113">
        <v>7</v>
      </c>
      <c r="J113">
        <v>8</v>
      </c>
      <c r="K113" s="2" t="s">
        <v>20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4">
        <v>50.5</v>
      </c>
      <c r="P113">
        <v>580</v>
      </c>
      <c r="Q113">
        <v>100</v>
      </c>
      <c r="R113" s="31">
        <v>64</v>
      </c>
      <c r="S113" s="30">
        <f>IFERROR(PROPERTIES[[#This Row],[TE_STARTING_KN]]/(PROPERTIES[[#This Row],[WEIGHT]]*9.81),0)</f>
        <v>0.12918723064967047</v>
      </c>
      <c r="T113" s="30">
        <v>0.13</v>
      </c>
      <c r="U113" s="27">
        <f>ROUND(IF(IFERROR(PROPERTIES[[#This Row],[TE_COEFFICIENT_CALC]],0)=0,PROPERTIES[[#This Row],[TE_COEFFICIENT_MANUAL]],PROPERTIES[[#This Row],[TE_COEFFICIENT_CALC]]),3)</f>
        <v>0.129</v>
      </c>
      <c r="V113" s="6">
        <v>40</v>
      </c>
      <c r="W113" s="10">
        <v>0</v>
      </c>
      <c r="X113" s="10">
        <v>4</v>
      </c>
      <c r="Y113" s="10"/>
      <c r="Z113" t="str">
        <f>"RUNNING_COST_"&amp;IF(PROPERTIES[[#This Row],[ENGINE_CLASS]]="MAGLEV","ELECTRIC",PROPERTIES[[#This Row],[ENGINE_CLASS]])</f>
        <v>RUNNING_COST_STEAM</v>
      </c>
      <c r="AA113" s="10" t="s">
        <v>998</v>
      </c>
      <c r="AB113" s="10" t="s">
        <v>999</v>
      </c>
      <c r="AC113" s="10" t="str">
        <f>SUBSTITUTE(SUBSTITUTE(PROPERTIES[[#This Row],[PURCHASECOST_VALUE]], "PURCHASECOST_", ""), "_VALUE", "")</f>
        <v>STEAMENGINE</v>
      </c>
      <c r="AD113" s="2" t="b">
        <v>0</v>
      </c>
      <c r="AV113"/>
      <c r="AW113"/>
      <c r="AX113"/>
    </row>
    <row r="114" spans="1:50">
      <c r="A114" s="2" t="s">
        <v>138</v>
      </c>
      <c r="B114">
        <v>1894</v>
      </c>
      <c r="C114">
        <v>0</v>
      </c>
      <c r="D114" t="s">
        <v>1963</v>
      </c>
      <c r="E114" t="str">
        <f>_xlfn.XLOOKUP(PROPERTIES[[#This Row],[COUNTRY]],COUNTRIES[COUNTRY_DESCRIPTION],COUNTRIES[COUNTRY_LABEL],"")</f>
        <v>NO</v>
      </c>
      <c r="F114" t="s">
        <v>23</v>
      </c>
      <c r="G114" t="s">
        <v>18</v>
      </c>
      <c r="H114">
        <v>0</v>
      </c>
      <c r="I114">
        <v>7</v>
      </c>
      <c r="J114">
        <v>7</v>
      </c>
      <c r="K114" s="2" t="s">
        <v>20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4">
        <v>77.599999999999994</v>
      </c>
      <c r="P114">
        <v>700</v>
      </c>
      <c r="Q114">
        <v>60</v>
      </c>
      <c r="R114" s="31">
        <v>82.56</v>
      </c>
      <c r="S114" s="30">
        <f>IFERROR(PROPERTIES[[#This Row],[TE_STARTING_KN]]/(PROPERTIES[[#This Row],[WEIGHT]]*9.81),0)</f>
        <v>0.10845234717361835</v>
      </c>
      <c r="T114" s="30">
        <v>0.17</v>
      </c>
      <c r="U114" s="27">
        <f>ROUND(IF(IFERROR(PROPERTIES[[#This Row],[TE_COEFFICIENT_CALC]],0)=0,PROPERTIES[[#This Row],[TE_COEFFICIENT_MANUAL]],PROPERTIES[[#This Row],[TE_COEFFICIENT_CALC]]),3)</f>
        <v>0.108</v>
      </c>
      <c r="V114" s="6">
        <v>40</v>
      </c>
      <c r="W114" s="10">
        <v>0</v>
      </c>
      <c r="X114" s="10">
        <v>0</v>
      </c>
      <c r="Y114" s="10"/>
      <c r="Z114" t="str">
        <f>"RUNNING_COST_"&amp;IF(PROPERTIES[[#This Row],[ENGINE_CLASS]]="MAGLEV","ELECTRIC",PROPERTIES[[#This Row],[ENGINE_CLASS]])</f>
        <v>RUNNING_COST_STEAM</v>
      </c>
      <c r="AA114" s="10" t="s">
        <v>998</v>
      </c>
      <c r="AB114" s="10" t="s">
        <v>999</v>
      </c>
      <c r="AC114" s="10" t="str">
        <f>SUBSTITUTE(SUBSTITUTE(PROPERTIES[[#This Row],[PURCHASECOST_VALUE]], "PURCHASECOST_", ""), "_VALUE", "")</f>
        <v>STEAMENGINE</v>
      </c>
      <c r="AD114" s="2" t="b">
        <v>0</v>
      </c>
      <c r="AV114"/>
      <c r="AW114"/>
      <c r="AX114"/>
    </row>
    <row r="115" spans="1:50">
      <c r="A115" s="2" t="s">
        <v>139</v>
      </c>
      <c r="B115">
        <v>1895</v>
      </c>
      <c r="C115">
        <v>0</v>
      </c>
      <c r="D115" t="s">
        <v>2029</v>
      </c>
      <c r="E115" t="str">
        <f>_xlfn.XLOOKUP(PROPERTIES[[#This Row],[COUNTRY]],COUNTRIES[COUNTRY_DESCRIPTION],COUNTRIES[COUNTRY_LABEL],"")</f>
        <v>US</v>
      </c>
      <c r="F115" t="s">
        <v>23</v>
      </c>
      <c r="G115" t="s">
        <v>18</v>
      </c>
      <c r="H115">
        <v>0</v>
      </c>
      <c r="I115">
        <v>7</v>
      </c>
      <c r="J115">
        <v>8</v>
      </c>
      <c r="K115" s="2" t="s">
        <v>20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4">
        <v>106.5</v>
      </c>
      <c r="P115">
        <v>850</v>
      </c>
      <c r="Q115">
        <v>128</v>
      </c>
      <c r="R115" s="31">
        <v>77.84</v>
      </c>
      <c r="S115" s="30">
        <f>IFERROR(PROPERTIES[[#This Row],[TE_STARTING_KN]]/(PROPERTIES[[#This Row],[WEIGHT]]*9.81),0)</f>
        <v>7.4504792943867762E-2</v>
      </c>
      <c r="T115" s="30">
        <v>0.17</v>
      </c>
      <c r="U115" s="27">
        <f>ROUND(IF(IFERROR(PROPERTIES[[#This Row],[TE_COEFFICIENT_CALC]],0)=0,PROPERTIES[[#This Row],[TE_COEFFICIENT_MANUAL]],PROPERTIES[[#This Row],[TE_COEFFICIENT_CALC]]),3)</f>
        <v>7.4999999999999997E-2</v>
      </c>
      <c r="V115" s="6">
        <v>40</v>
      </c>
      <c r="W115" s="10">
        <v>0</v>
      </c>
      <c r="X115" s="10">
        <v>4</v>
      </c>
      <c r="Y115" s="10"/>
      <c r="Z115" t="str">
        <f>"RUNNING_COST_"&amp;IF(PROPERTIES[[#This Row],[ENGINE_CLASS]]="MAGLEV","ELECTRIC",PROPERTIES[[#This Row],[ENGINE_CLASS]])</f>
        <v>RUNNING_COST_STEAM</v>
      </c>
      <c r="AA115" s="10" t="s">
        <v>998</v>
      </c>
      <c r="AB115" s="10" t="s">
        <v>999</v>
      </c>
      <c r="AC115" s="10" t="str">
        <f>SUBSTITUTE(SUBSTITUTE(PROPERTIES[[#This Row],[PURCHASECOST_VALUE]], "PURCHASECOST_", ""), "_VALUE", "")</f>
        <v>STEAMENGINE</v>
      </c>
      <c r="AD115" s="2" t="b">
        <v>0</v>
      </c>
      <c r="AV115"/>
      <c r="AW115"/>
      <c r="AX115"/>
    </row>
    <row r="116" spans="1:50">
      <c r="A116" s="2" t="s">
        <v>140</v>
      </c>
      <c r="B116">
        <v>1901</v>
      </c>
      <c r="C116">
        <v>0</v>
      </c>
      <c r="D116" t="s">
        <v>1962</v>
      </c>
      <c r="E116" t="str">
        <f>_xlfn.XLOOKUP(PROPERTIES[[#This Row],[COUNTRY]],COUNTRIES[COUNTRY_DESCRIPTION],COUNTRIES[COUNTRY_LABEL],"")</f>
        <v>NL</v>
      </c>
      <c r="F116" t="s">
        <v>23</v>
      </c>
      <c r="G116" t="s">
        <v>18</v>
      </c>
      <c r="H116">
        <v>0</v>
      </c>
      <c r="I116">
        <v>4</v>
      </c>
      <c r="J116">
        <v>4</v>
      </c>
      <c r="K116" s="2" t="s">
        <v>20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4">
        <v>35</v>
      </c>
      <c r="P116">
        <v>290</v>
      </c>
      <c r="Q116">
        <v>45</v>
      </c>
      <c r="R116" s="31">
        <v>68</v>
      </c>
      <c r="S116" s="30">
        <f>IFERROR(PROPERTIES[[#This Row],[TE_STARTING_KN]]/(PROPERTIES[[#This Row],[WEIGHT]]*9.81),0)</f>
        <v>0.19804863841561088</v>
      </c>
      <c r="T116" s="30">
        <v>0.14000000000000001</v>
      </c>
      <c r="U116" s="27">
        <f>ROUND(IF(IFERROR(PROPERTIES[[#This Row],[TE_COEFFICIENT_CALC]],0)=0,PROPERTIES[[#This Row],[TE_COEFFICIENT_MANUAL]],PROPERTIES[[#This Row],[TE_COEFFICIENT_CALC]]),3)</f>
        <v>0.19800000000000001</v>
      </c>
      <c r="V116" s="6">
        <v>40</v>
      </c>
      <c r="W116" s="10">
        <v>0</v>
      </c>
      <c r="X116" s="10">
        <v>0</v>
      </c>
      <c r="Y116" s="10"/>
      <c r="Z116" t="str">
        <f>"RUNNING_COST_"&amp;IF(PROPERTIES[[#This Row],[ENGINE_CLASS]]="MAGLEV","ELECTRIC",PROPERTIES[[#This Row],[ENGINE_CLASS]])</f>
        <v>RUNNING_COST_STEAM</v>
      </c>
      <c r="AA116" s="10" t="s">
        <v>998</v>
      </c>
      <c r="AB116" s="10" t="s">
        <v>999</v>
      </c>
      <c r="AC116" s="10" t="str">
        <f>SUBSTITUTE(SUBSTITUTE(PROPERTIES[[#This Row],[PURCHASECOST_VALUE]], "PURCHASECOST_", ""), "_VALUE", "")</f>
        <v>STEAMENGINE</v>
      </c>
      <c r="AD116" s="2" t="b">
        <v>0</v>
      </c>
      <c r="AV116"/>
      <c r="AW116"/>
      <c r="AX116"/>
    </row>
    <row r="117" spans="1:50">
      <c r="A117" s="2" t="s">
        <v>141</v>
      </c>
      <c r="B117">
        <v>1910</v>
      </c>
      <c r="C117">
        <v>0</v>
      </c>
      <c r="D117" t="s">
        <v>2043</v>
      </c>
      <c r="E117" t="str">
        <f>_xlfn.XLOOKUP(PROPERTIES[[#This Row],[COUNTRY]],COUNTRIES[COUNTRY_DESCRIPTION],COUNTRIES[COUNTRY_LABEL],"")</f>
        <v>ZA</v>
      </c>
      <c r="F117" t="s">
        <v>23</v>
      </c>
      <c r="G117" t="s">
        <v>18</v>
      </c>
      <c r="H117">
        <v>0</v>
      </c>
      <c r="I117">
        <v>8</v>
      </c>
      <c r="J117">
        <v>10</v>
      </c>
      <c r="K117" s="2" t="s">
        <v>20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4">
        <v>159.9</v>
      </c>
      <c r="P117">
        <v>1200</v>
      </c>
      <c r="Q117">
        <v>50</v>
      </c>
      <c r="R117" s="31">
        <v>204</v>
      </c>
      <c r="S117" s="30">
        <f>IFERROR(PROPERTIES[[#This Row],[TE_STARTING_KN]]/(PROPERTIES[[#This Row],[WEIGHT]]*9.81),0)</f>
        <v>0.13005070064814972</v>
      </c>
      <c r="T117" s="30">
        <v>0.2</v>
      </c>
      <c r="U117" s="27">
        <f>ROUND(IF(IFERROR(PROPERTIES[[#This Row],[TE_COEFFICIENT_CALC]],0)=0,PROPERTIES[[#This Row],[TE_COEFFICIENT_MANUAL]],PROPERTIES[[#This Row],[TE_COEFFICIENT_CALC]]),3)</f>
        <v>0.13</v>
      </c>
      <c r="V117" s="6">
        <v>40</v>
      </c>
      <c r="W117" s="10">
        <v>0</v>
      </c>
      <c r="X117" s="10">
        <v>5</v>
      </c>
      <c r="Y117" s="10"/>
      <c r="Z117" t="str">
        <f>"RUNNING_COST_"&amp;IF(PROPERTIES[[#This Row],[ENGINE_CLASS]]="MAGLEV","ELECTRIC",PROPERTIES[[#This Row],[ENGINE_CLASS]])</f>
        <v>RUNNING_COST_STEAM</v>
      </c>
      <c r="AA117" s="10" t="s">
        <v>998</v>
      </c>
      <c r="AB117" s="10" t="s">
        <v>999</v>
      </c>
      <c r="AC117" s="10" t="str">
        <f>SUBSTITUTE(SUBSTITUTE(PROPERTIES[[#This Row],[PURCHASECOST_VALUE]], "PURCHASECOST_", ""), "_VALUE", "")</f>
        <v>STEAMENGINE</v>
      </c>
      <c r="AD117" s="2" t="b">
        <v>0</v>
      </c>
      <c r="AV117"/>
      <c r="AW117"/>
      <c r="AX117"/>
    </row>
    <row r="118" spans="1:50">
      <c r="A118" s="2" t="s">
        <v>142</v>
      </c>
      <c r="B118">
        <v>1911</v>
      </c>
      <c r="C118">
        <v>0</v>
      </c>
      <c r="D118" t="s">
        <v>1805</v>
      </c>
      <c r="E118" t="str">
        <f>_xlfn.XLOOKUP(PROPERTIES[[#This Row],[COUNTRY]],COUNTRIES[COUNTRY_DESCRIPTION],COUNTRIES[COUNTRY_LABEL],"")</f>
        <v>AO</v>
      </c>
      <c r="F118" t="s">
        <v>23</v>
      </c>
      <c r="G118" t="s">
        <v>18</v>
      </c>
      <c r="H118">
        <v>0</v>
      </c>
      <c r="I118">
        <v>6</v>
      </c>
      <c r="J118">
        <v>8</v>
      </c>
      <c r="K118" s="2" t="s">
        <v>20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4">
        <v>67.099999999999994</v>
      </c>
      <c r="P118">
        <v>750</v>
      </c>
      <c r="Q118">
        <v>60</v>
      </c>
      <c r="R118" s="31">
        <v>60.4</v>
      </c>
      <c r="S118" s="30">
        <f>IFERROR(PROPERTIES[[#This Row],[TE_STARTING_KN]]/(PROPERTIES[[#This Row],[WEIGHT]]*9.81),0)</f>
        <v>9.1758311039405946E-2</v>
      </c>
      <c r="T118" s="30">
        <v>0.09</v>
      </c>
      <c r="U118" s="27">
        <f>ROUND(IF(IFERROR(PROPERTIES[[#This Row],[TE_COEFFICIENT_CALC]],0)=0,PROPERTIES[[#This Row],[TE_COEFFICIENT_MANUAL]],PROPERTIES[[#This Row],[TE_COEFFICIENT_CALC]]),3)</f>
        <v>9.1999999999999998E-2</v>
      </c>
      <c r="V118" s="6">
        <v>40</v>
      </c>
      <c r="W118" s="10">
        <v>0</v>
      </c>
      <c r="X118" s="10">
        <v>4</v>
      </c>
      <c r="Y118" s="10"/>
      <c r="Z118" t="str">
        <f>"RUNNING_COST_"&amp;IF(PROPERTIES[[#This Row],[ENGINE_CLASS]]="MAGLEV","ELECTRIC",PROPERTIES[[#This Row],[ENGINE_CLASS]])</f>
        <v>RUNNING_COST_STEAM</v>
      </c>
      <c r="AA118" s="10" t="s">
        <v>998</v>
      </c>
      <c r="AB118" s="10" t="s">
        <v>999</v>
      </c>
      <c r="AC118" s="10" t="str">
        <f>SUBSTITUTE(SUBSTITUTE(PROPERTIES[[#This Row],[PURCHASECOST_VALUE]], "PURCHASECOST_", ""), "_VALUE", "")</f>
        <v>STEAMENGINE</v>
      </c>
      <c r="AD118" s="2" t="b">
        <v>0</v>
      </c>
      <c r="AV118"/>
      <c r="AW118"/>
      <c r="AX118"/>
    </row>
    <row r="119" spans="1:50">
      <c r="A119" s="2" t="s">
        <v>143</v>
      </c>
      <c r="B119">
        <v>1915</v>
      </c>
      <c r="C119">
        <v>0</v>
      </c>
      <c r="D119" t="s">
        <v>1873</v>
      </c>
      <c r="E119" t="str">
        <f>_xlfn.XLOOKUP(PROPERTIES[[#This Row],[COUNTRY]],COUNTRIES[COUNTRY_DESCRIPTION],COUNTRIES[COUNTRY_LABEL],"")</f>
        <v>GB</v>
      </c>
      <c r="F119" t="s">
        <v>23</v>
      </c>
      <c r="G119" t="s">
        <v>18</v>
      </c>
      <c r="H119">
        <v>0</v>
      </c>
      <c r="I119">
        <v>6</v>
      </c>
      <c r="J119">
        <v>6</v>
      </c>
      <c r="K119" s="2" t="s">
        <v>20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4">
        <v>63</v>
      </c>
      <c r="P119">
        <v>850</v>
      </c>
      <c r="Q119">
        <v>75</v>
      </c>
      <c r="R119" s="31">
        <v>91.24</v>
      </c>
      <c r="S119" s="30">
        <f>IFERROR(PROPERTIES[[#This Row],[TE_STARTING_KN]]/(PROPERTIES[[#This Row],[WEIGHT]]*9.81),0)</f>
        <v>0.14763037393006809</v>
      </c>
      <c r="T119" s="30">
        <v>0.14000000000000001</v>
      </c>
      <c r="U119" s="27">
        <f>ROUND(IF(IFERROR(PROPERTIES[[#This Row],[TE_COEFFICIENT_CALC]],0)=0,PROPERTIES[[#This Row],[TE_COEFFICIENT_MANUAL]],PROPERTIES[[#This Row],[TE_COEFFICIENT_CALC]]),3)</f>
        <v>0.14799999999999999</v>
      </c>
      <c r="V119" s="6">
        <v>40</v>
      </c>
      <c r="W119" s="10">
        <v>0</v>
      </c>
      <c r="X119" s="10">
        <v>0</v>
      </c>
      <c r="Y119" s="10"/>
      <c r="Z119" t="str">
        <f>"RUNNING_COST_"&amp;IF(PROPERTIES[[#This Row],[ENGINE_CLASS]]="MAGLEV","ELECTRIC",PROPERTIES[[#This Row],[ENGINE_CLASS]])</f>
        <v>RUNNING_COST_STEAM</v>
      </c>
      <c r="AA119" s="10" t="s">
        <v>998</v>
      </c>
      <c r="AB119" s="10" t="s">
        <v>999</v>
      </c>
      <c r="AC119" s="10" t="str">
        <f>SUBSTITUTE(SUBSTITUTE(PROPERTIES[[#This Row],[PURCHASECOST_VALUE]], "PURCHASECOST_", ""), "_VALUE", "")</f>
        <v>STEAMENGINE</v>
      </c>
      <c r="AD119" s="2" t="b">
        <v>0</v>
      </c>
      <c r="AV119"/>
      <c r="AW119"/>
      <c r="AX119"/>
    </row>
    <row r="120" spans="1:50">
      <c r="A120" s="2" t="s">
        <v>144</v>
      </c>
      <c r="B120">
        <v>1918</v>
      </c>
      <c r="C120">
        <v>0</v>
      </c>
      <c r="D120" t="s">
        <v>1854</v>
      </c>
      <c r="E120" t="str">
        <f>_xlfn.XLOOKUP(PROPERTIES[[#This Row],[COUNTRY]],COUNTRIES[COUNTRY_DESCRIPTION],COUNTRIES[COUNTRY_LABEL],"")</f>
        <v>DE</v>
      </c>
      <c r="F120" t="s">
        <v>23</v>
      </c>
      <c r="G120" t="s">
        <v>18</v>
      </c>
      <c r="H120">
        <v>0</v>
      </c>
      <c r="I120">
        <v>8</v>
      </c>
      <c r="J120">
        <v>12</v>
      </c>
      <c r="K120" s="2" t="s">
        <v>20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4">
        <v>162.69999999999999</v>
      </c>
      <c r="P120">
        <v>1780</v>
      </c>
      <c r="Q120">
        <v>115</v>
      </c>
      <c r="R120" s="31">
        <v>112</v>
      </c>
      <c r="S120" s="30">
        <f>IFERROR(PROPERTIES[[#This Row],[TE_STARTING_KN]]/(PROPERTIES[[#This Row],[WEIGHT]]*9.81),0)</f>
        <v>7.0171613452148909E-2</v>
      </c>
      <c r="T120" s="30">
        <v>0.23</v>
      </c>
      <c r="U120" s="27">
        <f>ROUND(IF(IFERROR(PROPERTIES[[#This Row],[TE_COEFFICIENT_CALC]],0)=0,PROPERTIES[[#This Row],[TE_COEFFICIENT_MANUAL]],PROPERTIES[[#This Row],[TE_COEFFICIENT_CALC]]),3)</f>
        <v>7.0000000000000007E-2</v>
      </c>
      <c r="V120" s="6">
        <v>40</v>
      </c>
      <c r="W120" s="10">
        <v>0</v>
      </c>
      <c r="X120" s="10">
        <v>6</v>
      </c>
      <c r="Y120" s="10"/>
      <c r="Z120" t="str">
        <f>"RUNNING_COST_"&amp;IF(PROPERTIES[[#This Row],[ENGINE_CLASS]]="MAGLEV","ELECTRIC",PROPERTIES[[#This Row],[ENGINE_CLASS]])</f>
        <v>RUNNING_COST_STEAM</v>
      </c>
      <c r="AA120" s="10" t="s">
        <v>998</v>
      </c>
      <c r="AB120" s="10" t="s">
        <v>999</v>
      </c>
      <c r="AC120" s="10" t="str">
        <f>SUBSTITUTE(SUBSTITUTE(PROPERTIES[[#This Row],[PURCHASECOST_VALUE]], "PURCHASECOST_", ""), "_VALUE", "")</f>
        <v>STEAMENGINE</v>
      </c>
      <c r="AD120" s="2" t="b">
        <v>0</v>
      </c>
      <c r="AV120"/>
      <c r="AW120"/>
      <c r="AX120"/>
    </row>
    <row r="121" spans="1:50">
      <c r="A121" s="2" t="s">
        <v>145</v>
      </c>
      <c r="B121">
        <v>1921</v>
      </c>
      <c r="C121">
        <v>0</v>
      </c>
      <c r="D121" t="s">
        <v>1817</v>
      </c>
      <c r="E121" t="str">
        <f>_xlfn.XLOOKUP(PROPERTIES[[#This Row],[COUNTRY]],COUNTRIES[COUNTRY_DESCRIPTION],COUNTRIES[COUNTRY_LABEL],"")</f>
        <v>BE</v>
      </c>
      <c r="F121" t="s">
        <v>23</v>
      </c>
      <c r="G121" t="s">
        <v>18</v>
      </c>
      <c r="H121">
        <v>0</v>
      </c>
      <c r="I121">
        <v>8</v>
      </c>
      <c r="J121">
        <v>8</v>
      </c>
      <c r="K121" s="2" t="s">
        <v>20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4">
        <v>133</v>
      </c>
      <c r="P121">
        <v>1600</v>
      </c>
      <c r="Q121">
        <v>110</v>
      </c>
      <c r="R121" s="31">
        <v>102</v>
      </c>
      <c r="S121" s="30">
        <f>IFERROR(PROPERTIES[[#This Row],[TE_STARTING_KN]]/(PROPERTIES[[#This Row],[WEIGHT]]*9.81),0)</f>
        <v>7.8177094111425358E-2</v>
      </c>
      <c r="T121" s="30">
        <v>0.12</v>
      </c>
      <c r="U121" s="27">
        <f>ROUND(IF(IFERROR(PROPERTIES[[#This Row],[TE_COEFFICIENT_CALC]],0)=0,PROPERTIES[[#This Row],[TE_COEFFICIENT_MANUAL]],PROPERTIES[[#This Row],[TE_COEFFICIENT_CALC]]),3)</f>
        <v>7.8E-2</v>
      </c>
      <c r="V121" s="6">
        <v>40</v>
      </c>
      <c r="W121" s="10">
        <v>0</v>
      </c>
      <c r="X121" s="10">
        <v>4</v>
      </c>
      <c r="Y121" s="10"/>
      <c r="Z121" t="str">
        <f>"RUNNING_COST_"&amp;IF(PROPERTIES[[#This Row],[ENGINE_CLASS]]="MAGLEV","ELECTRIC",PROPERTIES[[#This Row],[ENGINE_CLASS]])</f>
        <v>RUNNING_COST_STEAM</v>
      </c>
      <c r="AA121" s="10" t="s">
        <v>998</v>
      </c>
      <c r="AB121" s="10" t="s">
        <v>999</v>
      </c>
      <c r="AC121" s="10" t="str">
        <f>SUBSTITUTE(SUBSTITUTE(PROPERTIES[[#This Row],[PURCHASECOST_VALUE]], "PURCHASECOST_", ""), "_VALUE", "")</f>
        <v>STEAMENGINE</v>
      </c>
      <c r="AD121" s="2" t="b">
        <v>0</v>
      </c>
      <c r="AV121"/>
      <c r="AW121"/>
      <c r="AX121"/>
    </row>
    <row r="122" spans="1:50">
      <c r="A122" s="2" t="s">
        <v>146</v>
      </c>
      <c r="B122">
        <v>1922</v>
      </c>
      <c r="C122">
        <v>0</v>
      </c>
      <c r="D122" t="s">
        <v>1898</v>
      </c>
      <c r="E122" t="str">
        <f>_xlfn.XLOOKUP(PROPERTIES[[#This Row],[COUNTRY]],COUNTRIES[COUNTRY_DESCRIPTION],COUNTRIES[COUNTRY_LABEL],"")</f>
        <v>IE</v>
      </c>
      <c r="F122" t="s">
        <v>23</v>
      </c>
      <c r="G122" t="s">
        <v>18</v>
      </c>
      <c r="H122">
        <v>0</v>
      </c>
      <c r="I122">
        <v>7</v>
      </c>
      <c r="J122">
        <v>8</v>
      </c>
      <c r="K122" s="2" t="s">
        <v>20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4">
        <v>84</v>
      </c>
      <c r="P122">
        <v>550</v>
      </c>
      <c r="Q122">
        <v>120</v>
      </c>
      <c r="R122" s="31">
        <v>101.8</v>
      </c>
      <c r="S122" s="30">
        <f>IFERROR(PROPERTIES[[#This Row],[TE_STARTING_KN]]/(PROPERTIES[[#This Row],[WEIGHT]]*9.81),0)</f>
        <v>0.12353769234503179</v>
      </c>
      <c r="T122" s="30">
        <v>0.12</v>
      </c>
      <c r="U122" s="27">
        <f>ROUND(IF(IFERROR(PROPERTIES[[#This Row],[TE_COEFFICIENT_CALC]],0)=0,PROPERTIES[[#This Row],[TE_COEFFICIENT_MANUAL]],PROPERTIES[[#This Row],[TE_COEFFICIENT_CALC]]),3)</f>
        <v>0.124</v>
      </c>
      <c r="V122" s="6">
        <v>40</v>
      </c>
      <c r="W122" s="10">
        <v>0</v>
      </c>
      <c r="X122" s="10">
        <v>4</v>
      </c>
      <c r="Y122" s="10"/>
      <c r="Z122" t="str">
        <f>"RUNNING_COST_"&amp;IF(PROPERTIES[[#This Row],[ENGINE_CLASS]]="MAGLEV","ELECTRIC",PROPERTIES[[#This Row],[ENGINE_CLASS]])</f>
        <v>RUNNING_COST_STEAM</v>
      </c>
      <c r="AA122" s="10" t="s">
        <v>998</v>
      </c>
      <c r="AB122" s="10" t="s">
        <v>999</v>
      </c>
      <c r="AC122" s="10" t="str">
        <f>SUBSTITUTE(SUBSTITUTE(PROPERTIES[[#This Row],[PURCHASECOST_VALUE]], "PURCHASECOST_", ""), "_VALUE", "")</f>
        <v>STEAMENGINE</v>
      </c>
      <c r="AD122" s="2" t="b">
        <v>0</v>
      </c>
      <c r="AV122"/>
      <c r="AW122"/>
      <c r="AX122"/>
    </row>
    <row r="123" spans="1:50">
      <c r="A123" s="2" t="s">
        <v>147</v>
      </c>
      <c r="B123">
        <v>1922</v>
      </c>
      <c r="C123">
        <v>0</v>
      </c>
      <c r="D123" t="s">
        <v>2029</v>
      </c>
      <c r="E123" t="str">
        <f>_xlfn.XLOOKUP(PROPERTIES[[#This Row],[COUNTRY]],COUNTRIES[COUNTRY_DESCRIPTION],COUNTRIES[COUNTRY_LABEL],"")</f>
        <v>US</v>
      </c>
      <c r="F123" t="s">
        <v>23</v>
      </c>
      <c r="G123" t="s">
        <v>18</v>
      </c>
      <c r="H123">
        <v>0</v>
      </c>
      <c r="I123">
        <v>6</v>
      </c>
      <c r="J123">
        <v>8</v>
      </c>
      <c r="K123" s="2" t="s">
        <v>20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4">
        <v>105</v>
      </c>
      <c r="P123">
        <v>850</v>
      </c>
      <c r="Q123">
        <v>65</v>
      </c>
      <c r="R123" s="31">
        <v>136.80000000000001</v>
      </c>
      <c r="S123" s="30">
        <f>IFERROR(PROPERTIES[[#This Row],[TE_STARTING_KN]]/(PROPERTIES[[#This Row],[WEIGHT]]*9.81),0)</f>
        <v>0.13280908693752733</v>
      </c>
      <c r="T123" s="30">
        <v>0.21</v>
      </c>
      <c r="U123" s="27">
        <f>ROUND(IF(IFERROR(PROPERTIES[[#This Row],[TE_COEFFICIENT_CALC]],0)=0,PROPERTIES[[#This Row],[TE_COEFFICIENT_MANUAL]],PROPERTIES[[#This Row],[TE_COEFFICIENT_CALC]]),3)</f>
        <v>0.13300000000000001</v>
      </c>
      <c r="V123" s="6">
        <v>40</v>
      </c>
      <c r="W123" s="10">
        <v>0</v>
      </c>
      <c r="X123" s="10">
        <v>4</v>
      </c>
      <c r="Y123" s="10"/>
      <c r="Z123" t="str">
        <f>"RUNNING_COST_"&amp;IF(PROPERTIES[[#This Row],[ENGINE_CLASS]]="MAGLEV","ELECTRIC",PROPERTIES[[#This Row],[ENGINE_CLASS]])</f>
        <v>RUNNING_COST_STEAM</v>
      </c>
      <c r="AA123" s="10" t="s">
        <v>998</v>
      </c>
      <c r="AB123" s="10" t="s">
        <v>999</v>
      </c>
      <c r="AC123" s="10" t="str">
        <f>SUBSTITUTE(SUBSTITUTE(PROPERTIES[[#This Row],[PURCHASECOST_VALUE]], "PURCHASECOST_", ""), "_VALUE", "")</f>
        <v>STEAMENGINE</v>
      </c>
      <c r="AD123" s="2" t="b">
        <v>0</v>
      </c>
      <c r="AV123"/>
      <c r="AW123"/>
      <c r="AX123"/>
    </row>
    <row r="124" spans="1:50">
      <c r="A124" s="2" t="s">
        <v>148</v>
      </c>
      <c r="B124">
        <v>1923</v>
      </c>
      <c r="C124">
        <v>0</v>
      </c>
      <c r="D124" t="s">
        <v>1835</v>
      </c>
      <c r="E124" t="str">
        <f>_xlfn.XLOOKUP(PROPERTIES[[#This Row],[COUNTRY]],COUNTRIES[COUNTRY_DESCRIPTION],COUNTRIES[COUNTRY_LABEL],"")</f>
        <v>CA</v>
      </c>
      <c r="F124" t="s">
        <v>23</v>
      </c>
      <c r="G124" t="s">
        <v>18</v>
      </c>
      <c r="H124">
        <v>0</v>
      </c>
      <c r="I124">
        <v>8</v>
      </c>
      <c r="J124">
        <v>12</v>
      </c>
      <c r="K124" s="2" t="s">
        <v>20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4">
        <v>273</v>
      </c>
      <c r="P124">
        <v>3200</v>
      </c>
      <c r="Q124">
        <v>130</v>
      </c>
      <c r="R124" s="31">
        <v>220.6</v>
      </c>
      <c r="S124" s="30">
        <f>IFERROR(PROPERTIES[[#This Row],[TE_STARTING_KN]]/(PROPERTIES[[#This Row],[WEIGHT]]*9.81),0)</f>
        <v>8.2370908058981451E-2</v>
      </c>
      <c r="T124" s="30">
        <v>0.08</v>
      </c>
      <c r="U124" s="27">
        <f>ROUND(IF(IFERROR(PROPERTIES[[#This Row],[TE_COEFFICIENT_CALC]],0)=0,PROPERTIES[[#This Row],[TE_COEFFICIENT_MANUAL]],PROPERTIES[[#This Row],[TE_COEFFICIENT_CALC]]),3)</f>
        <v>8.2000000000000003E-2</v>
      </c>
      <c r="V124" s="6">
        <v>40</v>
      </c>
      <c r="W124" s="10">
        <v>0</v>
      </c>
      <c r="X124" s="10">
        <v>6</v>
      </c>
      <c r="Y124" s="10"/>
      <c r="Z124" t="str">
        <f>"RUNNING_COST_"&amp;IF(PROPERTIES[[#This Row],[ENGINE_CLASS]]="MAGLEV","ELECTRIC",PROPERTIES[[#This Row],[ENGINE_CLASS]])</f>
        <v>RUNNING_COST_STEAM</v>
      </c>
      <c r="AA124" s="10" t="s">
        <v>998</v>
      </c>
      <c r="AB124" s="10" t="s">
        <v>999</v>
      </c>
      <c r="AC124" s="10" t="str">
        <f>SUBSTITUTE(SUBSTITUTE(PROPERTIES[[#This Row],[PURCHASECOST_VALUE]], "PURCHASECOST_", ""), "_VALUE", "")</f>
        <v>STEAMENGINE</v>
      </c>
      <c r="AD124" s="2" t="b">
        <v>0</v>
      </c>
      <c r="AV124"/>
      <c r="AW124"/>
      <c r="AX124"/>
    </row>
    <row r="125" spans="1:50">
      <c r="A125" s="2" t="s">
        <v>149</v>
      </c>
      <c r="B125">
        <v>1927</v>
      </c>
      <c r="C125">
        <v>0</v>
      </c>
      <c r="D125" t="s">
        <v>1901</v>
      </c>
      <c r="E125" t="str">
        <f>_xlfn.XLOOKUP(PROPERTIES[[#This Row],[COUNTRY]],COUNTRIES[COUNTRY_DESCRIPTION],COUNTRIES[COUNTRY_LABEL],"")</f>
        <v>IN</v>
      </c>
      <c r="F125" t="s">
        <v>23</v>
      </c>
      <c r="G125" t="s">
        <v>18</v>
      </c>
      <c r="H125">
        <v>0</v>
      </c>
      <c r="I125">
        <v>8</v>
      </c>
      <c r="J125">
        <v>14</v>
      </c>
      <c r="K125" s="2" t="s">
        <v>20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4">
        <v>162.5</v>
      </c>
      <c r="P125">
        <v>2150</v>
      </c>
      <c r="Q125">
        <v>110</v>
      </c>
      <c r="R125" s="31">
        <v>119.03</v>
      </c>
      <c r="S125" s="30">
        <f>IFERROR(PROPERTIES[[#This Row],[TE_STARTING_KN]]/(PROPERTIES[[#This Row],[WEIGHT]]*9.81),0)</f>
        <v>7.4667921273425863E-2</v>
      </c>
      <c r="T125" s="30">
        <v>0.08</v>
      </c>
      <c r="U125" s="27">
        <f>ROUND(IF(IFERROR(PROPERTIES[[#This Row],[TE_COEFFICIENT_CALC]],0)=0,PROPERTIES[[#This Row],[TE_COEFFICIENT_MANUAL]],PROPERTIES[[#This Row],[TE_COEFFICIENT_CALC]]),3)</f>
        <v>7.4999999999999997E-2</v>
      </c>
      <c r="V125" s="6">
        <v>40</v>
      </c>
      <c r="W125" s="10">
        <v>0</v>
      </c>
      <c r="X125" s="10">
        <v>7</v>
      </c>
      <c r="Y125" s="10"/>
      <c r="Z125" t="str">
        <f>"RUNNING_COST_"&amp;IF(PROPERTIES[[#This Row],[ENGINE_CLASS]]="MAGLEV","ELECTRIC",PROPERTIES[[#This Row],[ENGINE_CLASS]])</f>
        <v>RUNNING_COST_STEAM</v>
      </c>
      <c r="AA125" s="10" t="s">
        <v>998</v>
      </c>
      <c r="AB125" s="10" t="s">
        <v>999</v>
      </c>
      <c r="AC125" s="10" t="str">
        <f>SUBSTITUTE(SUBSTITUTE(PROPERTIES[[#This Row],[PURCHASECOST_VALUE]], "PURCHASECOST_", ""), "_VALUE", "")</f>
        <v>STEAMENGINE</v>
      </c>
      <c r="AD125" s="2" t="b">
        <v>0</v>
      </c>
      <c r="AV125"/>
      <c r="AW125"/>
      <c r="AX125"/>
    </row>
    <row r="126" spans="1:50">
      <c r="A126" s="2" t="s">
        <v>150</v>
      </c>
      <c r="B126">
        <v>1940</v>
      </c>
      <c r="C126">
        <v>0</v>
      </c>
      <c r="D126" t="s">
        <v>1903</v>
      </c>
      <c r="E126" t="str">
        <f>_xlfn.XLOOKUP(PROPERTIES[[#This Row],[COUNTRY]],COUNTRIES[COUNTRY_DESCRIPTION],COUNTRIES[COUNTRY_LABEL],"")</f>
        <v>IQ</v>
      </c>
      <c r="F126" t="s">
        <v>23</v>
      </c>
      <c r="G126" t="s">
        <v>18</v>
      </c>
      <c r="H126">
        <v>0</v>
      </c>
      <c r="I126">
        <v>8</v>
      </c>
      <c r="J126">
        <v>12</v>
      </c>
      <c r="K126" s="2" t="s">
        <v>20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4">
        <v>162</v>
      </c>
      <c r="P126">
        <v>1640</v>
      </c>
      <c r="Q126">
        <v>110</v>
      </c>
      <c r="R126" s="31">
        <v>0</v>
      </c>
      <c r="S126" s="30">
        <f>IFERROR(PROPERTIES[[#This Row],[TE_STARTING_KN]]/(PROPERTIES[[#This Row],[WEIGHT]]*9.81),0)</f>
        <v>0</v>
      </c>
      <c r="T126" s="30">
        <v>0.08</v>
      </c>
      <c r="U126" s="27">
        <f>ROUND(IF(IFERROR(PROPERTIES[[#This Row],[TE_COEFFICIENT_CALC]],0)=0,PROPERTIES[[#This Row],[TE_COEFFICIENT_MANUAL]],PROPERTIES[[#This Row],[TE_COEFFICIENT_CALC]]),3)</f>
        <v>0.08</v>
      </c>
      <c r="V126" s="6">
        <v>40</v>
      </c>
      <c r="W126" s="10">
        <v>0</v>
      </c>
      <c r="X126" s="10">
        <v>6</v>
      </c>
      <c r="Y126" s="10"/>
      <c r="Z126" t="str">
        <f>"RUNNING_COST_"&amp;IF(PROPERTIES[[#This Row],[ENGINE_CLASS]]="MAGLEV","ELECTRIC",PROPERTIES[[#This Row],[ENGINE_CLASS]])</f>
        <v>RUNNING_COST_STEAM</v>
      </c>
      <c r="AA126" s="10" t="s">
        <v>998</v>
      </c>
      <c r="AB126" s="10" t="s">
        <v>999</v>
      </c>
      <c r="AC126" s="10" t="str">
        <f>SUBSTITUTE(SUBSTITUTE(PROPERTIES[[#This Row],[PURCHASECOST_VALUE]], "PURCHASECOST_", ""), "_VALUE", "")</f>
        <v>STEAMENGINE</v>
      </c>
      <c r="AD126" s="2" t="b">
        <v>0</v>
      </c>
      <c r="AV126"/>
      <c r="AW126"/>
      <c r="AX126"/>
    </row>
    <row r="127" spans="1:50">
      <c r="A127" s="2" t="s">
        <v>151</v>
      </c>
      <c r="B127">
        <v>1942</v>
      </c>
      <c r="C127">
        <v>0</v>
      </c>
      <c r="D127" t="s">
        <v>1862</v>
      </c>
      <c r="E127" t="str">
        <f>_xlfn.XLOOKUP(PROPERTIES[[#This Row],[COUNTRY]],COUNTRIES[COUNTRY_DESCRIPTION],COUNTRIES[COUNTRY_LABEL],"")</f>
        <v>EG</v>
      </c>
      <c r="F127" t="s">
        <v>23</v>
      </c>
      <c r="G127" t="s">
        <v>18</v>
      </c>
      <c r="H127">
        <v>0</v>
      </c>
      <c r="I127">
        <v>6</v>
      </c>
      <c r="J127">
        <v>6</v>
      </c>
      <c r="K127" s="2" t="s">
        <v>20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4">
        <v>46</v>
      </c>
      <c r="P127">
        <v>560</v>
      </c>
      <c r="Q127">
        <v>65</v>
      </c>
      <c r="R127" s="31">
        <v>92.68</v>
      </c>
      <c r="S127" s="30">
        <f>IFERROR(PROPERTIES[[#This Row],[TE_STARTING_KN]]/(PROPERTIES[[#This Row],[WEIGHT]]*9.81),0)</f>
        <v>0.20538049018304302</v>
      </c>
      <c r="T127" s="30">
        <v>0.22</v>
      </c>
      <c r="U127" s="27">
        <f>ROUND(IF(IFERROR(PROPERTIES[[#This Row],[TE_COEFFICIENT_CALC]],0)=0,PROPERTIES[[#This Row],[TE_COEFFICIENT_MANUAL]],PROPERTIES[[#This Row],[TE_COEFFICIENT_CALC]]),3)</f>
        <v>0.20499999999999999</v>
      </c>
      <c r="V127" s="6">
        <v>40</v>
      </c>
      <c r="W127" s="10">
        <v>0</v>
      </c>
      <c r="X127" s="10">
        <v>0</v>
      </c>
      <c r="Y127" s="10"/>
      <c r="Z127" t="str">
        <f>"RUNNING_COST_"&amp;IF(PROPERTIES[[#This Row],[ENGINE_CLASS]]="MAGLEV","ELECTRIC",PROPERTIES[[#This Row],[ENGINE_CLASS]])</f>
        <v>RUNNING_COST_STEAM</v>
      </c>
      <c r="AA127" s="10" t="s">
        <v>998</v>
      </c>
      <c r="AB127" s="10" t="s">
        <v>999</v>
      </c>
      <c r="AC127" s="10" t="str">
        <f>SUBSTITUTE(SUBSTITUTE(PROPERTIES[[#This Row],[PURCHASECOST_VALUE]], "PURCHASECOST_", ""), "_VALUE", "")</f>
        <v>STEAMENGINE</v>
      </c>
      <c r="AD127" s="2" t="b">
        <v>0</v>
      </c>
      <c r="AV127"/>
      <c r="AW127"/>
      <c r="AX127"/>
    </row>
    <row r="128" spans="1:50">
      <c r="A128" s="2" t="s">
        <v>152</v>
      </c>
      <c r="B128">
        <v>1949</v>
      </c>
      <c r="C128">
        <v>0</v>
      </c>
      <c r="D128" t="s">
        <v>1873</v>
      </c>
      <c r="E128" t="str">
        <f>_xlfn.XLOOKUP(PROPERTIES[[#This Row],[COUNTRY]],COUNTRIES[COUNTRY_DESCRIPTION],COUNTRIES[COUNTRY_LABEL],"")</f>
        <v>GB</v>
      </c>
      <c r="F128" t="s">
        <v>23</v>
      </c>
      <c r="G128" t="s">
        <v>18</v>
      </c>
      <c r="H128">
        <v>0</v>
      </c>
      <c r="I128">
        <v>6</v>
      </c>
      <c r="J128">
        <v>6</v>
      </c>
      <c r="K128" s="2" t="s">
        <v>20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4">
        <v>41.6</v>
      </c>
      <c r="P128">
        <v>500</v>
      </c>
      <c r="Q128">
        <v>65</v>
      </c>
      <c r="R128" s="31">
        <v>82.36</v>
      </c>
      <c r="S128" s="30">
        <f>IFERROR(PROPERTIES[[#This Row],[TE_STARTING_KN]]/(PROPERTIES[[#This Row],[WEIGHT]]*9.81),0)</f>
        <v>0.20181525915470866</v>
      </c>
      <c r="T128" s="30">
        <v>0.2</v>
      </c>
      <c r="U128" s="27">
        <f>ROUND(IF(IFERROR(PROPERTIES[[#This Row],[TE_COEFFICIENT_CALC]],0)=0,PROPERTIES[[#This Row],[TE_COEFFICIENT_MANUAL]],PROPERTIES[[#This Row],[TE_COEFFICIENT_CALC]]),3)</f>
        <v>0.20200000000000001</v>
      </c>
      <c r="V128" s="6">
        <v>40</v>
      </c>
      <c r="W128" s="10">
        <v>0</v>
      </c>
      <c r="X128" s="10">
        <v>0</v>
      </c>
      <c r="Y128" s="10"/>
      <c r="Z128" t="str">
        <f>"RUNNING_COST_"&amp;IF(PROPERTIES[[#This Row],[ENGINE_CLASS]]="MAGLEV","ELECTRIC",PROPERTIES[[#This Row],[ENGINE_CLASS]])</f>
        <v>RUNNING_COST_STEAM</v>
      </c>
      <c r="AA128" s="10" t="s">
        <v>998</v>
      </c>
      <c r="AB128" s="10" t="s">
        <v>999</v>
      </c>
      <c r="AC128" s="10" t="str">
        <f>SUBSTITUTE(SUBSTITUTE(PROPERTIES[[#This Row],[PURCHASECOST_VALUE]], "PURCHASECOST_", ""), "_VALUE", "")</f>
        <v>STEAMENGINE</v>
      </c>
      <c r="AD128" s="2" t="b">
        <v>0</v>
      </c>
      <c r="AV128"/>
      <c r="AW128"/>
      <c r="AX128"/>
    </row>
    <row r="129" spans="1:50">
      <c r="A129" s="2" t="s">
        <v>153</v>
      </c>
      <c r="B129">
        <v>1951</v>
      </c>
      <c r="C129">
        <v>0</v>
      </c>
      <c r="D129" t="s">
        <v>1810</v>
      </c>
      <c r="E129" t="str">
        <f>_xlfn.XLOOKUP(PROPERTIES[[#This Row],[COUNTRY]],COUNTRIES[COUNTRY_DESCRIPTION],COUNTRIES[COUNTRY_LABEL],"")</f>
        <v>AU</v>
      </c>
      <c r="F129" t="s">
        <v>23</v>
      </c>
      <c r="G129" t="s">
        <v>18</v>
      </c>
      <c r="H129">
        <v>0</v>
      </c>
      <c r="I129">
        <v>8</v>
      </c>
      <c r="J129">
        <v>10</v>
      </c>
      <c r="K129" s="2" t="s">
        <v>20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4">
        <v>188.3</v>
      </c>
      <c r="P129">
        <v>2400</v>
      </c>
      <c r="Q129">
        <v>130</v>
      </c>
      <c r="R129" s="31">
        <v>142.69999999999999</v>
      </c>
      <c r="S129" s="30">
        <f>IFERROR(PROPERTIES[[#This Row],[TE_STARTING_KN]]/(PROPERTIES[[#This Row],[WEIGHT]]*9.81),0)</f>
        <v>7.7251095292771896E-2</v>
      </c>
      <c r="T129" s="30">
        <v>7.0000000000000007E-2</v>
      </c>
      <c r="U129" s="27">
        <f>ROUND(IF(IFERROR(PROPERTIES[[#This Row],[TE_COEFFICIENT_CALC]],0)=0,PROPERTIES[[#This Row],[TE_COEFFICIENT_MANUAL]],PROPERTIES[[#This Row],[TE_COEFFICIENT_CALC]]),3)</f>
        <v>7.6999999999999999E-2</v>
      </c>
      <c r="V129" s="6">
        <v>40</v>
      </c>
      <c r="W129" s="10">
        <v>0</v>
      </c>
      <c r="X129" s="10">
        <v>5</v>
      </c>
      <c r="Y129" s="10"/>
      <c r="Z129" t="str">
        <f>"RUNNING_COST_"&amp;IF(PROPERTIES[[#This Row],[ENGINE_CLASS]]="MAGLEV","ELECTRIC",PROPERTIES[[#This Row],[ENGINE_CLASS]])</f>
        <v>RUNNING_COST_STEAM</v>
      </c>
      <c r="AA129" s="10" t="s">
        <v>998</v>
      </c>
      <c r="AB129" s="10" t="s">
        <v>999</v>
      </c>
      <c r="AC129" s="10" t="str">
        <f>SUBSTITUTE(SUBSTITUTE(PROPERTIES[[#This Row],[PURCHASECOST_VALUE]], "PURCHASECOST_", ""), "_VALUE", "")</f>
        <v>STEAMENGINE</v>
      </c>
      <c r="AD129" s="2" t="b">
        <v>0</v>
      </c>
      <c r="AV129"/>
      <c r="AW129"/>
      <c r="AX129"/>
    </row>
    <row r="130" spans="1:50">
      <c r="A130" s="2" t="s">
        <v>154</v>
      </c>
      <c r="B130">
        <v>1952</v>
      </c>
      <c r="C130">
        <v>0</v>
      </c>
      <c r="D130" t="s">
        <v>2046</v>
      </c>
      <c r="E130" t="str">
        <f>_xlfn.XLOOKUP(PROPERTIES[[#This Row],[COUNTRY]],COUNTRIES[COUNTRY_DESCRIPTION],COUNTRIES[COUNTRY_LABEL],"")</f>
        <v>GDR</v>
      </c>
      <c r="F130" t="s">
        <v>23</v>
      </c>
      <c r="G130" t="s">
        <v>18</v>
      </c>
      <c r="H130">
        <v>0</v>
      </c>
      <c r="I130">
        <v>7</v>
      </c>
      <c r="J130">
        <v>7</v>
      </c>
      <c r="K130" s="2" t="s">
        <v>20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4">
        <v>55</v>
      </c>
      <c r="P130">
        <v>592</v>
      </c>
      <c r="Q130">
        <v>30</v>
      </c>
      <c r="R130" s="31">
        <v>83.35</v>
      </c>
      <c r="S130" s="30">
        <f>IFERROR(PROPERTIES[[#This Row],[TE_STARTING_KN]]/(PROPERTIES[[#This Row],[WEIGHT]]*9.81),0)</f>
        <v>0.15448058567324618</v>
      </c>
      <c r="T130" s="30">
        <v>0.2</v>
      </c>
      <c r="U130" s="27">
        <f>ROUND(IF(IFERROR(PROPERTIES[[#This Row],[TE_COEFFICIENT_CALC]],0)=0,PROPERTIES[[#This Row],[TE_COEFFICIENT_MANUAL]],PROPERTIES[[#This Row],[TE_COEFFICIENT_CALC]]),3)</f>
        <v>0.154</v>
      </c>
      <c r="V130" s="6">
        <v>40</v>
      </c>
      <c r="W130" s="10">
        <v>0</v>
      </c>
      <c r="X130" s="10">
        <v>0</v>
      </c>
      <c r="Y130" s="10"/>
      <c r="Z130" t="str">
        <f>"RUNNING_COST_"&amp;IF(PROPERTIES[[#This Row],[ENGINE_CLASS]]="MAGLEV","ELECTRIC",PROPERTIES[[#This Row],[ENGINE_CLASS]])</f>
        <v>RUNNING_COST_STEAM</v>
      </c>
      <c r="AA130" s="10" t="s">
        <v>998</v>
      </c>
      <c r="AB130" s="10" t="s">
        <v>999</v>
      </c>
      <c r="AC130" s="10" t="str">
        <f>SUBSTITUTE(SUBSTITUTE(PROPERTIES[[#This Row],[PURCHASECOST_VALUE]], "PURCHASECOST_", ""), "_VALUE", "")</f>
        <v>STEAMENGINE</v>
      </c>
      <c r="AD130" s="2" t="b">
        <v>0</v>
      </c>
      <c r="AV130"/>
      <c r="AW130"/>
      <c r="AX130"/>
    </row>
    <row r="131" spans="1:50">
      <c r="A131" s="2" t="s">
        <v>155</v>
      </c>
      <c r="B131">
        <v>1961</v>
      </c>
      <c r="C131">
        <v>0</v>
      </c>
      <c r="D131" t="s">
        <v>2046</v>
      </c>
      <c r="E131" t="str">
        <f>_xlfn.XLOOKUP(PROPERTIES[[#This Row],[COUNTRY]],COUNTRIES[COUNTRY_DESCRIPTION],COUNTRIES[COUNTRY_LABEL],"")</f>
        <v>GDR</v>
      </c>
      <c r="F131" t="s">
        <v>23</v>
      </c>
      <c r="G131" t="s">
        <v>18</v>
      </c>
      <c r="H131">
        <v>0</v>
      </c>
      <c r="I131">
        <v>8</v>
      </c>
      <c r="J131">
        <v>12</v>
      </c>
      <c r="K131" s="2" t="s">
        <v>20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4">
        <v>172</v>
      </c>
      <c r="P131">
        <v>2120</v>
      </c>
      <c r="Q131">
        <v>182</v>
      </c>
      <c r="R131" s="31">
        <v>0</v>
      </c>
      <c r="S131" s="30">
        <f>IFERROR(PROPERTIES[[#This Row],[TE_STARTING_KN]]/(PROPERTIES[[#This Row],[WEIGHT]]*9.81),0)</f>
        <v>0</v>
      </c>
      <c r="T131" s="30">
        <v>0.06</v>
      </c>
      <c r="U131" s="27">
        <f>ROUND(IF(IFERROR(PROPERTIES[[#This Row],[TE_COEFFICIENT_CALC]],0)=0,PROPERTIES[[#This Row],[TE_COEFFICIENT_MANUAL]],PROPERTIES[[#This Row],[TE_COEFFICIENT_CALC]]),3)</f>
        <v>0.06</v>
      </c>
      <c r="V131" s="6">
        <v>40</v>
      </c>
      <c r="W131" s="10">
        <v>0</v>
      </c>
      <c r="X131" s="10">
        <v>6</v>
      </c>
      <c r="Y131" s="10"/>
      <c r="Z131" t="str">
        <f>"RUNNING_COST_"&amp;IF(PROPERTIES[[#This Row],[ENGINE_CLASS]]="MAGLEV","ELECTRIC",PROPERTIES[[#This Row],[ENGINE_CLASS]])</f>
        <v>RUNNING_COST_STEAM</v>
      </c>
      <c r="AA131" s="10" t="s">
        <v>998</v>
      </c>
      <c r="AB131" s="10" t="s">
        <v>999</v>
      </c>
      <c r="AC131" s="10" t="str">
        <f>SUBSTITUTE(SUBSTITUTE(PROPERTIES[[#This Row],[PURCHASECOST_VALUE]], "PURCHASECOST_", ""), "_VALUE", "")</f>
        <v>STEAMENGINE</v>
      </c>
      <c r="AD131" s="2" t="b">
        <v>0</v>
      </c>
      <c r="AV131"/>
      <c r="AW131"/>
      <c r="AX131"/>
    </row>
    <row r="132" spans="1:50">
      <c r="A132" s="2" t="s">
        <v>156</v>
      </c>
      <c r="B132">
        <v>1923</v>
      </c>
      <c r="C132">
        <v>0</v>
      </c>
      <c r="D132" t="s">
        <v>1967</v>
      </c>
      <c r="E132" t="str">
        <f>_xlfn.XLOOKUP(PROPERTIES[[#This Row],[COUNTRY]],COUNTRIES[COUNTRY_DESCRIPTION],COUNTRIES[COUNTRY_LABEL],"")</f>
        <v>NZ</v>
      </c>
      <c r="F132" t="s">
        <v>23</v>
      </c>
      <c r="G132" t="s">
        <v>20</v>
      </c>
      <c r="H132">
        <v>0</v>
      </c>
      <c r="I132">
        <v>6</v>
      </c>
      <c r="J132">
        <v>6</v>
      </c>
      <c r="K132" s="2" t="s">
        <v>24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4">
        <v>74</v>
      </c>
      <c r="P132">
        <v>1000</v>
      </c>
      <c r="Q132">
        <v>97</v>
      </c>
      <c r="R132" s="31">
        <v>99</v>
      </c>
      <c r="S132" s="30">
        <f>IFERROR(PROPERTIES[[#This Row],[TE_STARTING_KN]]/(PROPERTIES[[#This Row],[WEIGHT]]*9.81),0)</f>
        <v>0.13637490701710883</v>
      </c>
      <c r="T132" s="30">
        <v>0.14000000000000001</v>
      </c>
      <c r="U132" s="27">
        <f>ROUND(IF(IFERROR(PROPERTIES[[#This Row],[TE_COEFFICIENT_CALC]],0)=0,PROPERTIES[[#This Row],[TE_COEFFICIENT_MANUAL]],PROPERTIES[[#This Row],[TE_COEFFICIENT_CALC]]),3)</f>
        <v>0.13600000000000001</v>
      </c>
      <c r="V132" s="6">
        <v>40</v>
      </c>
      <c r="W132" s="10">
        <v>0</v>
      </c>
      <c r="X132" s="10">
        <v>0</v>
      </c>
      <c r="Y132" s="10"/>
      <c r="Z132" t="str">
        <f>"RUNNING_COST_"&amp;IF(PROPERTIES[[#This Row],[ENGINE_CLASS]]="MAGLEV","ELECTRIC",PROPERTIES[[#This Row],[ENGINE_CLASS]])</f>
        <v>RUNNING_COST_STEAM</v>
      </c>
      <c r="AA132" s="10" t="s">
        <v>998</v>
      </c>
      <c r="AB132" s="10" t="s">
        <v>999</v>
      </c>
      <c r="AC132" s="10" t="str">
        <f>SUBSTITUTE(SUBSTITUTE(PROPERTIES[[#This Row],[PURCHASECOST_VALUE]], "PURCHASECOST_", ""), "_VALUE", "")</f>
        <v>STEAMENGINE</v>
      </c>
      <c r="AD132" s="2" t="b">
        <v>0</v>
      </c>
      <c r="AV132"/>
      <c r="AW132"/>
      <c r="AX132"/>
    </row>
    <row r="133" spans="1:50">
      <c r="A133" s="2" t="s">
        <v>157</v>
      </c>
      <c r="B133">
        <v>1929</v>
      </c>
      <c r="C133">
        <v>0</v>
      </c>
      <c r="D133" t="s">
        <v>1810</v>
      </c>
      <c r="E133" t="str">
        <f>_xlfn.XLOOKUP(PROPERTIES[[#This Row],[COUNTRY]],COUNTRIES[COUNTRY_DESCRIPTION],COUNTRIES[COUNTRY_LABEL],"")</f>
        <v>AU</v>
      </c>
      <c r="F133" t="s">
        <v>23</v>
      </c>
      <c r="G133" t="s">
        <v>20</v>
      </c>
      <c r="H133">
        <v>0</v>
      </c>
      <c r="I133">
        <v>8</v>
      </c>
      <c r="J133">
        <v>10</v>
      </c>
      <c r="K133" s="2" t="s">
        <v>24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4">
        <v>231</v>
      </c>
      <c r="P133">
        <v>2800</v>
      </c>
      <c r="Q133">
        <v>80</v>
      </c>
      <c r="R133" s="31">
        <v>289.10000000000002</v>
      </c>
      <c r="S133" s="30">
        <f>IFERROR(PROPERTIES[[#This Row],[TE_STARTING_KN]]/(PROPERTIES[[#This Row],[WEIGHT]]*9.81),0)</f>
        <v>0.12757544867636611</v>
      </c>
      <c r="T133" s="30">
        <v>0.12</v>
      </c>
      <c r="U133" s="27">
        <f>ROUND(IF(IFERROR(PROPERTIES[[#This Row],[TE_COEFFICIENT_CALC]],0)=0,PROPERTIES[[#This Row],[TE_COEFFICIENT_MANUAL]],PROPERTIES[[#This Row],[TE_COEFFICIENT_CALC]]),3)</f>
        <v>0.128</v>
      </c>
      <c r="V133" s="6">
        <v>40</v>
      </c>
      <c r="W133" s="10">
        <v>0</v>
      </c>
      <c r="X133" s="10">
        <v>5</v>
      </c>
      <c r="Y133" s="10"/>
      <c r="Z133" t="str">
        <f>"RUNNING_COST_"&amp;IF(PROPERTIES[[#This Row],[ENGINE_CLASS]]="MAGLEV","ELECTRIC",PROPERTIES[[#This Row],[ENGINE_CLASS]])</f>
        <v>RUNNING_COST_STEAM</v>
      </c>
      <c r="AA133" s="10" t="s">
        <v>998</v>
      </c>
      <c r="AB133" s="10" t="s">
        <v>999</v>
      </c>
      <c r="AC133" s="10" t="str">
        <f>SUBSTITUTE(SUBSTITUTE(PROPERTIES[[#This Row],[PURCHASECOST_VALUE]], "PURCHASECOST_", ""), "_VALUE", "")</f>
        <v>STEAMENGINE</v>
      </c>
      <c r="AD133" s="2" t="b">
        <v>0</v>
      </c>
      <c r="AV133"/>
      <c r="AW133"/>
      <c r="AX133"/>
    </row>
    <row r="134" spans="1:50">
      <c r="A134" s="2" t="s">
        <v>158</v>
      </c>
      <c r="B134">
        <v>1943</v>
      </c>
      <c r="C134">
        <v>0</v>
      </c>
      <c r="D134" t="s">
        <v>1810</v>
      </c>
      <c r="E134" t="str">
        <f>_xlfn.XLOOKUP(PROPERTIES[[#This Row],[COUNTRY]],COUNTRIES[COUNTRY_DESCRIPTION],COUNTRIES[COUNTRY_LABEL],"")</f>
        <v>AU</v>
      </c>
      <c r="F134" t="s">
        <v>23</v>
      </c>
      <c r="G134" t="s">
        <v>20</v>
      </c>
      <c r="H134">
        <v>0</v>
      </c>
      <c r="I134">
        <v>8</v>
      </c>
      <c r="J134">
        <v>10</v>
      </c>
      <c r="K134" s="2" t="s">
        <v>24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4">
        <v>200</v>
      </c>
      <c r="P134">
        <v>2600</v>
      </c>
      <c r="Q134">
        <v>112</v>
      </c>
      <c r="R134" s="31">
        <v>145</v>
      </c>
      <c r="S134" s="30">
        <f>IFERROR(PROPERTIES[[#This Row],[TE_STARTING_KN]]/(PROPERTIES[[#This Row],[WEIGHT]]*9.81),0)</f>
        <v>7.3904179408766563E-2</v>
      </c>
      <c r="T134" s="30">
        <v>7.0000000000000007E-2</v>
      </c>
      <c r="U134" s="27">
        <f>ROUND(IF(IFERROR(PROPERTIES[[#This Row],[TE_COEFFICIENT_CALC]],0)=0,PROPERTIES[[#This Row],[TE_COEFFICIENT_MANUAL]],PROPERTIES[[#This Row],[TE_COEFFICIENT_CALC]]),3)</f>
        <v>7.3999999999999996E-2</v>
      </c>
      <c r="V134" s="6">
        <v>40</v>
      </c>
      <c r="W134" s="10">
        <v>0</v>
      </c>
      <c r="X134" s="10">
        <v>5</v>
      </c>
      <c r="Y134" s="10"/>
      <c r="Z134" t="str">
        <f>"RUNNING_COST_"&amp;IF(PROPERTIES[[#This Row],[ENGINE_CLASS]]="MAGLEV","ELECTRIC",PROPERTIES[[#This Row],[ENGINE_CLASS]])</f>
        <v>RUNNING_COST_STEAM</v>
      </c>
      <c r="AA134" s="10" t="s">
        <v>998</v>
      </c>
      <c r="AB134" s="10" t="s">
        <v>999</v>
      </c>
      <c r="AC134" s="10" t="str">
        <f>SUBSTITUTE(SUBSTITUTE(PROPERTIES[[#This Row],[PURCHASECOST_VALUE]], "PURCHASECOST_", ""), "_VALUE", "")</f>
        <v>STEAMENGINE</v>
      </c>
      <c r="AD134" s="2" t="b">
        <v>0</v>
      </c>
      <c r="AV134"/>
      <c r="AW134"/>
      <c r="AX134"/>
    </row>
    <row r="135" spans="1:50">
      <c r="A135" s="2" t="s">
        <v>159</v>
      </c>
      <c r="B135">
        <v>1952</v>
      </c>
      <c r="C135">
        <v>0</v>
      </c>
      <c r="D135" t="s">
        <v>1810</v>
      </c>
      <c r="E135" t="str">
        <f>_xlfn.XLOOKUP(PROPERTIES[[#This Row],[COUNTRY]],COUNTRIES[COUNTRY_DESCRIPTION],COUNTRIES[COUNTRY_LABEL],"")</f>
        <v>AU</v>
      </c>
      <c r="F135" t="s">
        <v>23</v>
      </c>
      <c r="G135" t="s">
        <v>20</v>
      </c>
      <c r="H135">
        <v>0</v>
      </c>
      <c r="I135">
        <v>4</v>
      </c>
      <c r="J135">
        <v>12</v>
      </c>
      <c r="K135" s="2" t="s">
        <v>24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4">
        <v>259</v>
      </c>
      <c r="P135">
        <v>3500</v>
      </c>
      <c r="Q135">
        <v>95</v>
      </c>
      <c r="R135" s="31">
        <f>264.9*2</f>
        <v>529.79999999999995</v>
      </c>
      <c r="S135" s="30">
        <f>IFERROR(PROPERTIES[[#This Row],[TE_STARTING_KN]]/(PROPERTIES[[#This Row],[WEIGHT]]*9.81),0)</f>
        <v>0.20851782319672227</v>
      </c>
      <c r="T135" s="30">
        <v>0.11</v>
      </c>
      <c r="U135" s="27">
        <f>ROUND(IF(IFERROR(PROPERTIES[[#This Row],[TE_COEFFICIENT_CALC]],0)=0,PROPERTIES[[#This Row],[TE_COEFFICIENT_MANUAL]],PROPERTIES[[#This Row],[TE_COEFFICIENT_CALC]]),3)</f>
        <v>0.20899999999999999</v>
      </c>
      <c r="V135" s="6">
        <v>40</v>
      </c>
      <c r="W135" s="10">
        <v>0</v>
      </c>
      <c r="X135" s="10">
        <v>0</v>
      </c>
      <c r="Y135" s="10"/>
      <c r="Z135" t="str">
        <f>"RUNNING_COST_"&amp;IF(PROPERTIES[[#This Row],[ENGINE_CLASS]]="MAGLEV","ELECTRIC",PROPERTIES[[#This Row],[ENGINE_CLASS]])</f>
        <v>RUNNING_COST_STEAM</v>
      </c>
      <c r="AA135" s="10" t="s">
        <v>998</v>
      </c>
      <c r="AB135" s="10" t="s">
        <v>999</v>
      </c>
      <c r="AC135" s="10" t="str">
        <f>SUBSTITUTE(SUBSTITUTE(PROPERTIES[[#This Row],[PURCHASECOST_VALUE]], "PURCHASECOST_", ""), "_VALUE", "")</f>
        <v>STEAMENGINE</v>
      </c>
      <c r="AD135" s="2" t="b">
        <v>0</v>
      </c>
      <c r="AV135"/>
      <c r="AW135"/>
      <c r="AX135"/>
    </row>
    <row r="136" spans="1:50">
      <c r="A136" s="2" t="s">
        <v>160</v>
      </c>
      <c r="B136">
        <v>1910</v>
      </c>
      <c r="C136">
        <v>0</v>
      </c>
      <c r="D136" t="s">
        <v>2030</v>
      </c>
      <c r="E136" t="str">
        <f>_xlfn.XLOOKUP(PROPERTIES[[#This Row],[COUNTRY]],COUNTRIES[COUNTRY_DESCRIPTION],COUNTRIES[COUNTRY_LABEL],"")</f>
        <v>UY</v>
      </c>
      <c r="F136" t="s">
        <v>23</v>
      </c>
      <c r="G136" t="s">
        <v>20</v>
      </c>
      <c r="H136">
        <v>0</v>
      </c>
      <c r="I136">
        <v>5</v>
      </c>
      <c r="J136">
        <v>6</v>
      </c>
      <c r="K136" s="2" t="s">
        <v>24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4">
        <v>84.5</v>
      </c>
      <c r="P136">
        <v>650</v>
      </c>
      <c r="Q136">
        <v>75</v>
      </c>
      <c r="R136" s="31">
        <v>0</v>
      </c>
      <c r="S136" s="30">
        <f>IFERROR(PROPERTIES[[#This Row],[TE_STARTING_KN]]/(PROPERTIES[[#This Row],[WEIGHT]]*9.81),0)</f>
        <v>0</v>
      </c>
      <c r="T136" s="30">
        <v>0.1</v>
      </c>
      <c r="U136" s="27">
        <f>ROUND(IF(IFERROR(PROPERTIES[[#This Row],[TE_COEFFICIENT_CALC]],0)=0,PROPERTIES[[#This Row],[TE_COEFFICIENT_MANUAL]],PROPERTIES[[#This Row],[TE_COEFFICIENT_CALC]]),3)</f>
        <v>0.1</v>
      </c>
      <c r="V136" s="6">
        <v>40</v>
      </c>
      <c r="W136" s="10">
        <v>0</v>
      </c>
      <c r="X136" s="10">
        <v>3</v>
      </c>
      <c r="Y136" s="10"/>
      <c r="Z136" t="str">
        <f>"RUNNING_COST_"&amp;IF(PROPERTIES[[#This Row],[ENGINE_CLASS]]="MAGLEV","ELECTRIC",PROPERTIES[[#This Row],[ENGINE_CLASS]])</f>
        <v>RUNNING_COST_STEAM</v>
      </c>
      <c r="AA136" s="10" t="s">
        <v>998</v>
      </c>
      <c r="AB136" s="10" t="s">
        <v>999</v>
      </c>
      <c r="AC136" s="10" t="str">
        <f>SUBSTITUTE(SUBSTITUTE(PROPERTIES[[#This Row],[PURCHASECOST_VALUE]], "PURCHASECOST_", ""), "_VALUE", "")</f>
        <v>STEAMENGINE</v>
      </c>
      <c r="AD136" s="2" t="b">
        <v>0</v>
      </c>
      <c r="AV136"/>
      <c r="AW136"/>
      <c r="AX136"/>
    </row>
    <row r="137" spans="1:50">
      <c r="A137" s="2" t="s">
        <v>161</v>
      </c>
      <c r="B137">
        <v>1930</v>
      </c>
      <c r="C137">
        <v>0</v>
      </c>
      <c r="D137" t="s">
        <v>1807</v>
      </c>
      <c r="E137" t="str">
        <f>_xlfn.XLOOKUP(PROPERTIES[[#This Row],[COUNTRY]],COUNTRIES[COUNTRY_DESCRIPTION],COUNTRIES[COUNTRY_LABEL],"")</f>
        <v>AR</v>
      </c>
      <c r="F137" t="s">
        <v>23</v>
      </c>
      <c r="G137" t="s">
        <v>20</v>
      </c>
      <c r="H137">
        <v>0</v>
      </c>
      <c r="I137">
        <v>8</v>
      </c>
      <c r="J137">
        <v>10</v>
      </c>
      <c r="K137" s="2" t="s">
        <v>24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4">
        <v>203</v>
      </c>
      <c r="P137">
        <v>1500</v>
      </c>
      <c r="Q137">
        <v>160</v>
      </c>
      <c r="R137" s="31">
        <v>0</v>
      </c>
      <c r="S137" s="30">
        <f>IFERROR(PROPERTIES[[#This Row],[TE_STARTING_KN]]/(PROPERTIES[[#This Row],[WEIGHT]]*9.81),0)</f>
        <v>0</v>
      </c>
      <c r="T137" s="30">
        <v>0.08</v>
      </c>
      <c r="U137" s="27">
        <f>ROUND(IF(IFERROR(PROPERTIES[[#This Row],[TE_COEFFICIENT_CALC]],0)=0,PROPERTIES[[#This Row],[TE_COEFFICIENT_MANUAL]],PROPERTIES[[#This Row],[TE_COEFFICIENT_CALC]]),3)</f>
        <v>0.08</v>
      </c>
      <c r="V137" s="6">
        <v>40</v>
      </c>
      <c r="W137" s="10">
        <v>0</v>
      </c>
      <c r="X137" s="10">
        <v>5</v>
      </c>
      <c r="Y137" s="10"/>
      <c r="Z137" t="str">
        <f>"RUNNING_COST_"&amp;IF(PROPERTIES[[#This Row],[ENGINE_CLASS]]="MAGLEV","ELECTRIC",PROPERTIES[[#This Row],[ENGINE_CLASS]])</f>
        <v>RUNNING_COST_STEAM</v>
      </c>
      <c r="AA137" s="10" t="s">
        <v>998</v>
      </c>
      <c r="AB137" s="10" t="s">
        <v>999</v>
      </c>
      <c r="AC137" s="10" t="str">
        <f>SUBSTITUTE(SUBSTITUTE(PROPERTIES[[#This Row],[PURCHASECOST_VALUE]], "PURCHASECOST_", ""), "_VALUE", "")</f>
        <v>STEAMENGINE</v>
      </c>
      <c r="AD137" s="2" t="b">
        <v>0</v>
      </c>
      <c r="AV137"/>
      <c r="AW137"/>
      <c r="AX137"/>
    </row>
    <row r="138" spans="1:50">
      <c r="A138" s="2" t="s">
        <v>162</v>
      </c>
      <c r="B138">
        <v>1873</v>
      </c>
      <c r="C138">
        <v>0</v>
      </c>
      <c r="D138" t="s">
        <v>2043</v>
      </c>
      <c r="E138" t="str">
        <f>_xlfn.XLOOKUP(PROPERTIES[[#This Row],[COUNTRY]],COUNTRIES[COUNTRY_DESCRIPTION],COUNTRIES[COUNTRY_LABEL],"")</f>
        <v>ZA</v>
      </c>
      <c r="F138" t="s">
        <v>23</v>
      </c>
      <c r="G138" t="s">
        <v>20</v>
      </c>
      <c r="H138">
        <v>0</v>
      </c>
      <c r="I138">
        <v>3</v>
      </c>
      <c r="J138">
        <v>3</v>
      </c>
      <c r="K138" s="2" t="s">
        <v>24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4">
        <v>14</v>
      </c>
      <c r="P138">
        <v>40</v>
      </c>
      <c r="Q138">
        <v>16</v>
      </c>
      <c r="R138" s="31">
        <v>14.6</v>
      </c>
      <c r="S138" s="30">
        <f>IFERROR(PROPERTIES[[#This Row],[TE_STARTING_KN]]/(PROPERTIES[[#This Row],[WEIGHT]]*9.81),0)</f>
        <v>0.10630551914955584</v>
      </c>
      <c r="T138" s="30">
        <v>0.06</v>
      </c>
      <c r="U138" s="27">
        <f>ROUND(IF(IFERROR(PROPERTIES[[#This Row],[TE_COEFFICIENT_CALC]],0)=0,PROPERTIES[[#This Row],[TE_COEFFICIENT_MANUAL]],PROPERTIES[[#This Row],[TE_COEFFICIENT_CALC]]),3)</f>
        <v>0.106</v>
      </c>
      <c r="V138" s="6">
        <v>40</v>
      </c>
      <c r="W138" s="10">
        <v>0</v>
      </c>
      <c r="X138" s="10">
        <v>0</v>
      </c>
      <c r="Y138" s="10"/>
      <c r="Z138" t="str">
        <f>"RUNNING_COST_"&amp;IF(PROPERTIES[[#This Row],[ENGINE_CLASS]]="MAGLEV","ELECTRIC",PROPERTIES[[#This Row],[ENGINE_CLASS]])</f>
        <v>RUNNING_COST_STEAM</v>
      </c>
      <c r="AA138" s="10" t="s">
        <v>998</v>
      </c>
      <c r="AB138" s="10" t="s">
        <v>999</v>
      </c>
      <c r="AC138" s="10" t="str">
        <f>SUBSTITUTE(SUBSTITUTE(PROPERTIES[[#This Row],[PURCHASECOST_VALUE]], "PURCHASECOST_", ""), "_VALUE", "")</f>
        <v>STEAMENGINE</v>
      </c>
      <c r="AD138" s="2" t="b">
        <v>0</v>
      </c>
      <c r="AV138"/>
      <c r="AW138"/>
      <c r="AX138"/>
    </row>
    <row r="139" spans="1:50">
      <c r="A139" s="2" t="s">
        <v>163</v>
      </c>
      <c r="B139">
        <v>1895</v>
      </c>
      <c r="C139">
        <v>0</v>
      </c>
      <c r="D139" t="s">
        <v>1955</v>
      </c>
      <c r="E139" t="str">
        <f>_xlfn.XLOOKUP(PROPERTIES[[#This Row],[COUNTRY]],COUNTRIES[COUNTRY_DESCRIPTION],COUNTRIES[COUNTRY_LABEL],"")</f>
        <v>MZ</v>
      </c>
      <c r="F139" t="s">
        <v>23</v>
      </c>
      <c r="G139" t="s">
        <v>20</v>
      </c>
      <c r="H139">
        <v>0</v>
      </c>
      <c r="I139">
        <v>4</v>
      </c>
      <c r="J139">
        <v>6</v>
      </c>
      <c r="K139" s="2" t="s">
        <v>24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4">
        <v>20</v>
      </c>
      <c r="P139">
        <v>120</v>
      </c>
      <c r="Q139">
        <v>30</v>
      </c>
      <c r="R139" s="31">
        <v>13</v>
      </c>
      <c r="S139" s="30">
        <f>IFERROR(PROPERTIES[[#This Row],[TE_STARTING_KN]]/(PROPERTIES[[#This Row],[WEIGHT]]*9.81),0)</f>
        <v>6.6258919469928637E-2</v>
      </c>
      <c r="T139" s="30">
        <v>0.08</v>
      </c>
      <c r="U139" s="27">
        <f>ROUND(IF(IFERROR(PROPERTIES[[#This Row],[TE_COEFFICIENT_CALC]],0)=0,PROPERTIES[[#This Row],[TE_COEFFICIENT_MANUAL]],PROPERTIES[[#This Row],[TE_COEFFICIENT_CALC]]),3)</f>
        <v>6.6000000000000003E-2</v>
      </c>
      <c r="V139" s="6">
        <v>40</v>
      </c>
      <c r="W139" s="10">
        <v>0</v>
      </c>
      <c r="X139" s="10">
        <v>3</v>
      </c>
      <c r="Y139" s="10"/>
      <c r="Z139" t="str">
        <f>"RUNNING_COST_"&amp;IF(PROPERTIES[[#This Row],[ENGINE_CLASS]]="MAGLEV","ELECTRIC",PROPERTIES[[#This Row],[ENGINE_CLASS]])</f>
        <v>RUNNING_COST_STEAM</v>
      </c>
      <c r="AA139" s="10" t="s">
        <v>998</v>
      </c>
      <c r="AB139" s="10" t="s">
        <v>999</v>
      </c>
      <c r="AC139" s="10" t="str">
        <f>SUBSTITUTE(SUBSTITUTE(PROPERTIES[[#This Row],[PURCHASECOST_VALUE]], "PURCHASECOST_", ""), "_VALUE", "")</f>
        <v>STEAMENGINE</v>
      </c>
      <c r="AD139" s="2" t="b">
        <v>0</v>
      </c>
      <c r="AV139"/>
      <c r="AW139"/>
      <c r="AX139"/>
    </row>
    <row r="140" spans="1:50">
      <c r="A140" s="2" t="s">
        <v>164</v>
      </c>
      <c r="B140">
        <v>1911</v>
      </c>
      <c r="C140">
        <v>0</v>
      </c>
      <c r="D140" t="s">
        <v>1864</v>
      </c>
      <c r="E140" t="str">
        <f>_xlfn.XLOOKUP(PROPERTIES[[#This Row],[COUNTRY]],COUNTRIES[COUNTRY_DESCRIPTION],COUNTRIES[COUNTRY_LABEL],"")</f>
        <v>ER</v>
      </c>
      <c r="F140" t="s">
        <v>23</v>
      </c>
      <c r="G140" t="s">
        <v>20</v>
      </c>
      <c r="H140">
        <v>0</v>
      </c>
      <c r="I140">
        <v>5</v>
      </c>
      <c r="J140">
        <v>5</v>
      </c>
      <c r="K140" s="2" t="s">
        <v>24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4">
        <v>35</v>
      </c>
      <c r="P140">
        <v>250</v>
      </c>
      <c r="Q140">
        <v>40</v>
      </c>
      <c r="R140" s="31">
        <v>48</v>
      </c>
      <c r="S140" s="30">
        <f>IFERROR(PROPERTIES[[#This Row],[TE_STARTING_KN]]/(PROPERTIES[[#This Row],[WEIGHT]]*9.81),0)</f>
        <v>0.13979903888160769</v>
      </c>
      <c r="T140" s="30">
        <v>0.14000000000000001</v>
      </c>
      <c r="U140" s="27">
        <f>ROUND(IF(IFERROR(PROPERTIES[[#This Row],[TE_COEFFICIENT_CALC]],0)=0,PROPERTIES[[#This Row],[TE_COEFFICIENT_MANUAL]],PROPERTIES[[#This Row],[TE_COEFFICIENT_CALC]]),3)</f>
        <v>0.14000000000000001</v>
      </c>
      <c r="V140" s="6">
        <v>40</v>
      </c>
      <c r="W140" s="10">
        <v>0</v>
      </c>
      <c r="X140" s="10">
        <v>0</v>
      </c>
      <c r="Y140" s="10"/>
      <c r="Z140" t="str">
        <f>"RUNNING_COST_"&amp;IF(PROPERTIES[[#This Row],[ENGINE_CLASS]]="MAGLEV","ELECTRIC",PROPERTIES[[#This Row],[ENGINE_CLASS]])</f>
        <v>RUNNING_COST_STEAM</v>
      </c>
      <c r="AA140" s="10" t="s">
        <v>998</v>
      </c>
      <c r="AB140" s="10" t="s">
        <v>999</v>
      </c>
      <c r="AC140" s="10" t="str">
        <f>SUBSTITUTE(SUBSTITUTE(PROPERTIES[[#This Row],[PURCHASECOST_VALUE]], "PURCHASECOST_", ""), "_VALUE", "")</f>
        <v>STEAMENGINE</v>
      </c>
      <c r="AD140" s="2" t="b">
        <v>0</v>
      </c>
      <c r="AV140"/>
      <c r="AW140"/>
      <c r="AX140"/>
    </row>
    <row r="141" spans="1:50">
      <c r="A141" s="2" t="s">
        <v>165</v>
      </c>
      <c r="B141">
        <v>1923</v>
      </c>
      <c r="C141">
        <v>0</v>
      </c>
      <c r="D141" t="s">
        <v>1911</v>
      </c>
      <c r="E141" t="str">
        <f>_xlfn.XLOOKUP(PROPERTIES[[#This Row],[COUNTRY]],COUNTRIES[COUNTRY_DESCRIPTION],COUNTRIES[COUNTRY_LABEL],"")</f>
        <v>KE</v>
      </c>
      <c r="F141" t="s">
        <v>23</v>
      </c>
      <c r="G141" t="s">
        <v>20</v>
      </c>
      <c r="H141">
        <v>0</v>
      </c>
      <c r="I141">
        <v>5</v>
      </c>
      <c r="J141">
        <v>6</v>
      </c>
      <c r="K141" s="2" t="s">
        <v>24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4">
        <v>108</v>
      </c>
      <c r="P141">
        <v>1100</v>
      </c>
      <c r="Q141">
        <v>75</v>
      </c>
      <c r="R141" s="31">
        <v>108.49</v>
      </c>
      <c r="S141" s="30">
        <f>IFERROR(PROPERTIES[[#This Row],[TE_STARTING_KN]]/(PROPERTIES[[#This Row],[WEIGHT]]*9.81),0)</f>
        <v>0.10239929021784271</v>
      </c>
      <c r="T141" s="30">
        <v>0.14000000000000001</v>
      </c>
      <c r="U141" s="27">
        <f>ROUND(IF(IFERROR(PROPERTIES[[#This Row],[TE_COEFFICIENT_CALC]],0)=0,PROPERTIES[[#This Row],[TE_COEFFICIENT_MANUAL]],PROPERTIES[[#This Row],[TE_COEFFICIENT_CALC]]),3)</f>
        <v>0.10199999999999999</v>
      </c>
      <c r="V141" s="6">
        <v>40</v>
      </c>
      <c r="W141" s="10">
        <v>0</v>
      </c>
      <c r="X141" s="10">
        <v>3</v>
      </c>
      <c r="Y141" s="10"/>
      <c r="Z141" t="str">
        <f>"RUNNING_COST_"&amp;IF(PROPERTIES[[#This Row],[ENGINE_CLASS]]="MAGLEV","ELECTRIC",PROPERTIES[[#This Row],[ENGINE_CLASS]])</f>
        <v>RUNNING_COST_STEAM</v>
      </c>
      <c r="AA141" s="10" t="s">
        <v>998</v>
      </c>
      <c r="AB141" s="10" t="s">
        <v>999</v>
      </c>
      <c r="AC141" s="10" t="str">
        <f>SUBSTITUTE(SUBSTITUTE(PROPERTIES[[#This Row],[PURCHASECOST_VALUE]], "PURCHASECOST_", ""), "_VALUE", "")</f>
        <v>STEAMENGINE</v>
      </c>
      <c r="AD141" s="2" t="b">
        <v>0</v>
      </c>
      <c r="AV141"/>
      <c r="AW141"/>
      <c r="AX141"/>
    </row>
    <row r="142" spans="1:50">
      <c r="A142" s="2" t="s">
        <v>166</v>
      </c>
      <c r="B142">
        <v>1928</v>
      </c>
      <c r="C142">
        <v>0</v>
      </c>
      <c r="D142" t="s">
        <v>1911</v>
      </c>
      <c r="E142" t="str">
        <f>_xlfn.XLOOKUP(PROPERTIES[[#This Row],[COUNTRY]],COUNTRIES[COUNTRY_DESCRIPTION],COUNTRIES[COUNTRY_LABEL],"")</f>
        <v>KE</v>
      </c>
      <c r="F142" t="s">
        <v>23</v>
      </c>
      <c r="G142" t="s">
        <v>20</v>
      </c>
      <c r="H142">
        <v>0</v>
      </c>
      <c r="I142">
        <v>6</v>
      </c>
      <c r="J142">
        <v>6</v>
      </c>
      <c r="K142" s="2" t="s">
        <v>24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4">
        <v>94.2</v>
      </c>
      <c r="P142">
        <v>900</v>
      </c>
      <c r="Q142">
        <v>65</v>
      </c>
      <c r="R142" s="31">
        <v>108.09</v>
      </c>
      <c r="S142" s="30">
        <f>IFERROR(PROPERTIES[[#This Row],[TE_STARTING_KN]]/(PROPERTIES[[#This Row],[WEIGHT]]*9.81),0)</f>
        <v>0.11696760747190245</v>
      </c>
      <c r="T142" s="30">
        <v>0.13</v>
      </c>
      <c r="U142" s="27">
        <f>ROUND(IF(IFERROR(PROPERTIES[[#This Row],[TE_COEFFICIENT_CALC]],0)=0,PROPERTIES[[#This Row],[TE_COEFFICIENT_MANUAL]],PROPERTIES[[#This Row],[TE_COEFFICIENT_CALC]]),3)</f>
        <v>0.11700000000000001</v>
      </c>
      <c r="V142" s="6">
        <v>40</v>
      </c>
      <c r="W142" s="10">
        <v>0</v>
      </c>
      <c r="X142" s="10">
        <v>3</v>
      </c>
      <c r="Y142" s="10"/>
      <c r="Z142" t="str">
        <f>"RUNNING_COST_"&amp;IF(PROPERTIES[[#This Row],[ENGINE_CLASS]]="MAGLEV","ELECTRIC",PROPERTIES[[#This Row],[ENGINE_CLASS]])</f>
        <v>RUNNING_COST_STEAM</v>
      </c>
      <c r="AA142" s="10" t="s">
        <v>998</v>
      </c>
      <c r="AB142" s="10" t="s">
        <v>999</v>
      </c>
      <c r="AC142" s="10" t="str">
        <f>SUBSTITUTE(SUBSTITUTE(PROPERTIES[[#This Row],[PURCHASECOST_VALUE]], "PURCHASECOST_", ""), "_VALUE", "")</f>
        <v>STEAMENGINE</v>
      </c>
      <c r="AD142" s="2" t="b">
        <v>0</v>
      </c>
      <c r="AV142"/>
      <c r="AW142"/>
      <c r="AX142"/>
    </row>
    <row r="143" spans="1:50">
      <c r="A143" s="2" t="s">
        <v>167</v>
      </c>
      <c r="B143">
        <v>1940</v>
      </c>
      <c r="C143">
        <v>0</v>
      </c>
      <c r="D143" t="s">
        <v>2045</v>
      </c>
      <c r="E143" t="str">
        <f>_xlfn.XLOOKUP(PROPERTIES[[#This Row],[COUNTRY]],COUNTRIES[COUNTRY_DESCRIPTION],COUNTRIES[COUNTRY_LABEL],"")</f>
        <v>ZW</v>
      </c>
      <c r="F143" t="s">
        <v>23</v>
      </c>
      <c r="G143" t="s">
        <v>20</v>
      </c>
      <c r="H143">
        <v>0</v>
      </c>
      <c r="I143">
        <v>4</v>
      </c>
      <c r="J143">
        <v>12</v>
      </c>
      <c r="K143" s="2" t="s">
        <v>24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4">
        <v>179.5</v>
      </c>
      <c r="P143">
        <v>1600</v>
      </c>
      <c r="Q143">
        <v>100</v>
      </c>
      <c r="R143" s="31">
        <v>190.1</v>
      </c>
      <c r="S143" s="30">
        <f>IFERROR(PROPERTIES[[#This Row],[TE_STARTING_KN]]/(PROPERTIES[[#This Row],[WEIGHT]]*9.81),0)</f>
        <v>0.10795646532019229</v>
      </c>
      <c r="T143" s="30">
        <v>0.1</v>
      </c>
      <c r="U143" s="27">
        <f>ROUND(IF(IFERROR(PROPERTIES[[#This Row],[TE_COEFFICIENT_CALC]],0)=0,PROPERTIES[[#This Row],[TE_COEFFICIENT_MANUAL]],PROPERTIES[[#This Row],[TE_COEFFICIENT_CALC]]),3)</f>
        <v>0.108</v>
      </c>
      <c r="V143" s="6">
        <v>40</v>
      </c>
      <c r="W143" s="10">
        <v>0</v>
      </c>
      <c r="X143" s="10">
        <v>0</v>
      </c>
      <c r="Y143" s="10"/>
      <c r="Z143" t="str">
        <f>"RUNNING_COST_"&amp;IF(PROPERTIES[[#This Row],[ENGINE_CLASS]]="MAGLEV","ELECTRIC",PROPERTIES[[#This Row],[ENGINE_CLASS]])</f>
        <v>RUNNING_COST_STEAM</v>
      </c>
      <c r="AA143" s="10" t="s">
        <v>998</v>
      </c>
      <c r="AB143" s="10" t="s">
        <v>999</v>
      </c>
      <c r="AC143" s="10" t="str">
        <f>SUBSTITUTE(SUBSTITUTE(PROPERTIES[[#This Row],[PURCHASECOST_VALUE]], "PURCHASECOST_", ""), "_VALUE", "")</f>
        <v>STEAMENGINE</v>
      </c>
      <c r="AD143" s="2" t="b">
        <v>0</v>
      </c>
      <c r="AV143"/>
      <c r="AW143"/>
      <c r="AX143"/>
    </row>
    <row r="144" spans="1:50">
      <c r="A144" s="2" t="s">
        <v>168</v>
      </c>
      <c r="B144">
        <v>1953</v>
      </c>
      <c r="C144">
        <v>0</v>
      </c>
      <c r="D144" t="s">
        <v>2043</v>
      </c>
      <c r="E144" t="str">
        <f>_xlfn.XLOOKUP(PROPERTIES[[#This Row],[COUNTRY]],COUNTRIES[COUNTRY_DESCRIPTION],COUNTRIES[COUNTRY_LABEL],"")</f>
        <v>ZA</v>
      </c>
      <c r="F144" t="s">
        <v>23</v>
      </c>
      <c r="G144" t="s">
        <v>20</v>
      </c>
      <c r="H144">
        <v>0</v>
      </c>
      <c r="I144">
        <v>7</v>
      </c>
      <c r="J144">
        <v>12</v>
      </c>
      <c r="K144" s="2" t="s">
        <v>24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4">
        <v>241.3</v>
      </c>
      <c r="P144">
        <v>2500</v>
      </c>
      <c r="Q144">
        <v>85</v>
      </c>
      <c r="R144" s="31">
        <v>430</v>
      </c>
      <c r="S144" s="30">
        <f>IFERROR(PROPERTIES[[#This Row],[TE_STARTING_KN]]/(PROPERTIES[[#This Row],[WEIGHT]]*9.81),0)</f>
        <v>0.1816528124713527</v>
      </c>
      <c r="T144" s="30">
        <v>0.13</v>
      </c>
      <c r="U144" s="27">
        <f>ROUND(IF(IFERROR(PROPERTIES[[#This Row],[TE_COEFFICIENT_CALC]],0)=0,PROPERTIES[[#This Row],[TE_COEFFICIENT_MANUAL]],PROPERTIES[[#This Row],[TE_COEFFICIENT_CALC]]),3)</f>
        <v>0.182</v>
      </c>
      <c r="V144" s="6">
        <v>40</v>
      </c>
      <c r="W144" s="10">
        <v>0</v>
      </c>
      <c r="X144" s="10">
        <v>0</v>
      </c>
      <c r="Y144" s="10"/>
      <c r="Z144" t="str">
        <f>"RUNNING_COST_"&amp;IF(PROPERTIES[[#This Row],[ENGINE_CLASS]]="MAGLEV","ELECTRIC",PROPERTIES[[#This Row],[ENGINE_CLASS]])</f>
        <v>RUNNING_COST_STEAM</v>
      </c>
      <c r="AA144" s="10" t="s">
        <v>998</v>
      </c>
      <c r="AB144" s="10" t="s">
        <v>999</v>
      </c>
      <c r="AC144" s="10" t="str">
        <f>SUBSTITUTE(SUBSTITUTE(PROPERTIES[[#This Row],[PURCHASECOST_VALUE]], "PURCHASECOST_", ""), "_VALUE", "")</f>
        <v>STEAMENGINE</v>
      </c>
      <c r="AD144" s="2" t="b">
        <v>0</v>
      </c>
      <c r="AV144"/>
      <c r="AW144"/>
      <c r="AX144"/>
    </row>
    <row r="145" spans="1:50">
      <c r="A145" s="2" t="s">
        <v>169</v>
      </c>
      <c r="B145">
        <v>1955</v>
      </c>
      <c r="C145">
        <v>0</v>
      </c>
      <c r="D145" t="s">
        <v>1911</v>
      </c>
      <c r="E145" t="str">
        <f>_xlfn.XLOOKUP(PROPERTIES[[#This Row],[COUNTRY]],COUNTRIES[COUNTRY_DESCRIPTION],COUNTRIES[COUNTRY_LABEL],"")</f>
        <v>KE</v>
      </c>
      <c r="F145" t="s">
        <v>23</v>
      </c>
      <c r="G145" t="s">
        <v>20</v>
      </c>
      <c r="H145">
        <v>0</v>
      </c>
      <c r="I145">
        <v>7</v>
      </c>
      <c r="J145">
        <v>8</v>
      </c>
      <c r="K145" s="2" t="s">
        <v>24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4">
        <v>135.19999999999999</v>
      </c>
      <c r="P145">
        <v>1650</v>
      </c>
      <c r="Q145">
        <v>95</v>
      </c>
      <c r="R145" s="31">
        <v>118.32</v>
      </c>
      <c r="S145" s="30">
        <f>IFERROR(PROPERTIES[[#This Row],[TE_STARTING_KN]]/(PROPERTIES[[#This Row],[WEIGHT]]*9.81),0)</f>
        <v>8.9209778694605793E-2</v>
      </c>
      <c r="T145" s="30">
        <v>0.1</v>
      </c>
      <c r="U145" s="27">
        <f>ROUND(IF(IFERROR(PROPERTIES[[#This Row],[TE_COEFFICIENT_CALC]],0)=0,PROPERTIES[[#This Row],[TE_COEFFICIENT_MANUAL]],PROPERTIES[[#This Row],[TE_COEFFICIENT_CALC]]),3)</f>
        <v>8.8999999999999996E-2</v>
      </c>
      <c r="V145" s="6">
        <v>40</v>
      </c>
      <c r="W145" s="10">
        <v>0</v>
      </c>
      <c r="X145" s="10">
        <v>4</v>
      </c>
      <c r="Y145" s="10"/>
      <c r="Z145" t="str">
        <f>"RUNNING_COST_"&amp;IF(PROPERTIES[[#This Row],[ENGINE_CLASS]]="MAGLEV","ELECTRIC",PROPERTIES[[#This Row],[ENGINE_CLASS]])</f>
        <v>RUNNING_COST_STEAM</v>
      </c>
      <c r="AA145" s="10" t="s">
        <v>998</v>
      </c>
      <c r="AB145" s="10" t="s">
        <v>999</v>
      </c>
      <c r="AC145" s="10" t="str">
        <f>SUBSTITUTE(SUBSTITUTE(PROPERTIES[[#This Row],[PURCHASECOST_VALUE]], "PURCHASECOST_", ""), "_VALUE", "")</f>
        <v>STEAMENGINE</v>
      </c>
      <c r="AD145" s="2" t="b">
        <v>0</v>
      </c>
      <c r="AV145"/>
      <c r="AW145"/>
      <c r="AX145"/>
    </row>
    <row r="146" spans="1:50">
      <c r="A146" s="2" t="s">
        <v>170</v>
      </c>
      <c r="B146">
        <v>1855</v>
      </c>
      <c r="C146">
        <v>0</v>
      </c>
      <c r="D146" t="s">
        <v>1901</v>
      </c>
      <c r="E146" t="str">
        <f>_xlfn.XLOOKUP(PROPERTIES[[#This Row],[COUNTRY]],COUNTRIES[COUNTRY_DESCRIPTION],COUNTRIES[COUNTRY_LABEL],"")</f>
        <v>IN</v>
      </c>
      <c r="F146" t="s">
        <v>23</v>
      </c>
      <c r="G146" t="s">
        <v>20</v>
      </c>
      <c r="H146">
        <v>0</v>
      </c>
      <c r="I146">
        <v>5</v>
      </c>
      <c r="J146">
        <v>5</v>
      </c>
      <c r="K146" s="2" t="s">
        <v>24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4">
        <v>28</v>
      </c>
      <c r="P146">
        <v>130</v>
      </c>
      <c r="Q146">
        <v>40</v>
      </c>
      <c r="R146" s="31">
        <v>20</v>
      </c>
      <c r="S146" s="30">
        <f>IFERROR(PROPERTIES[[#This Row],[TE_STARTING_KN]]/(PROPERTIES[[#This Row],[WEIGHT]]*9.81),0)</f>
        <v>7.2811999417504006E-2</v>
      </c>
      <c r="T146" s="30">
        <v>0.16</v>
      </c>
      <c r="U146" s="27">
        <f>ROUND(IF(IFERROR(PROPERTIES[[#This Row],[TE_COEFFICIENT_CALC]],0)=0,PROPERTIES[[#This Row],[TE_COEFFICIENT_MANUAL]],PROPERTIES[[#This Row],[TE_COEFFICIENT_CALC]]),3)</f>
        <v>7.2999999999999995E-2</v>
      </c>
      <c r="V146" s="6">
        <v>40</v>
      </c>
      <c r="W146" s="10">
        <v>0</v>
      </c>
      <c r="X146" s="10">
        <v>0</v>
      </c>
      <c r="Y146" s="10"/>
      <c r="Z146" t="str">
        <f>"RUNNING_COST_"&amp;IF(PROPERTIES[[#This Row],[ENGINE_CLASS]]="MAGLEV","ELECTRIC",PROPERTIES[[#This Row],[ENGINE_CLASS]])</f>
        <v>RUNNING_COST_STEAM</v>
      </c>
      <c r="AA146" s="10" t="s">
        <v>998</v>
      </c>
      <c r="AB146" s="10" t="s">
        <v>999</v>
      </c>
      <c r="AC146" s="10" t="str">
        <f>SUBSTITUTE(SUBSTITUTE(PROPERTIES[[#This Row],[PURCHASECOST_VALUE]], "PURCHASECOST_", ""), "_VALUE", "")</f>
        <v>STEAMENGINE</v>
      </c>
      <c r="AD146" s="2" t="b">
        <v>0</v>
      </c>
      <c r="AV146"/>
      <c r="AW146"/>
      <c r="AX146"/>
    </row>
    <row r="147" spans="1:50">
      <c r="A147" s="2" t="s">
        <v>171</v>
      </c>
      <c r="B147">
        <v>1889</v>
      </c>
      <c r="C147">
        <v>0</v>
      </c>
      <c r="D147" t="s">
        <v>1901</v>
      </c>
      <c r="E147" t="str">
        <f>_xlfn.XLOOKUP(PROPERTIES[[#This Row],[COUNTRY]],COUNTRIES[COUNTRY_DESCRIPTION],COUNTRIES[COUNTRY_LABEL],"")</f>
        <v>IN</v>
      </c>
      <c r="F147" t="s">
        <v>23</v>
      </c>
      <c r="G147" t="s">
        <v>20</v>
      </c>
      <c r="H147">
        <v>0</v>
      </c>
      <c r="I147">
        <v>5</v>
      </c>
      <c r="J147">
        <v>4</v>
      </c>
      <c r="K147" s="2" t="s">
        <v>24</v>
      </c>
      <c r="L147">
        <f>_xlfn.XLOOKUP("LOADINGSPEEDDEF_"&amp;PROPERTIES[[#This Row],[LOADINGSPEED]],LOADINGSPEEDDEF[TYPE],LOADINGSPEEDDEF[SPEED])</f>
        <v>40</v>
      </c>
      <c r="M147" t="s">
        <v>21</v>
      </c>
      <c r="N147">
        <v>1</v>
      </c>
      <c r="O147" s="34">
        <v>14.2</v>
      </c>
      <c r="P147">
        <v>100</v>
      </c>
      <c r="Q147">
        <v>25</v>
      </c>
      <c r="R147" s="31">
        <v>34.47</v>
      </c>
      <c r="S147" s="30">
        <f>IFERROR(PROPERTIES[[#This Row],[TE_STARTING_KN]]/(PROPERTIES[[#This Row],[WEIGHT]]*9.81),0)</f>
        <v>0.24744799069647241</v>
      </c>
      <c r="T147" s="30">
        <v>0.18</v>
      </c>
      <c r="U147" s="27">
        <f>ROUND(IF(IFERROR(PROPERTIES[[#This Row],[TE_COEFFICIENT_CALC]],0)=0,PROPERTIES[[#This Row],[TE_COEFFICIENT_MANUAL]],PROPERTIES[[#This Row],[TE_COEFFICIENT_CALC]]),3)</f>
        <v>0.247</v>
      </c>
      <c r="V147" s="6">
        <v>40</v>
      </c>
      <c r="W147" s="10">
        <v>0</v>
      </c>
      <c r="X147" s="10">
        <v>2</v>
      </c>
      <c r="Y147" s="10"/>
      <c r="Z147" t="str">
        <f>"RUNNING_COST_"&amp;IF(PROPERTIES[[#This Row],[ENGINE_CLASS]]="MAGLEV","ELECTRIC",PROPERTIES[[#This Row],[ENGINE_CLASS]])</f>
        <v>RUNNING_COST_STEAM</v>
      </c>
      <c r="AA147" s="10" t="s">
        <v>998</v>
      </c>
      <c r="AB147" s="10" t="s">
        <v>999</v>
      </c>
      <c r="AC147" s="10" t="str">
        <f>SUBSTITUTE(SUBSTITUTE(PROPERTIES[[#This Row],[PURCHASECOST_VALUE]], "PURCHASECOST_", ""), "_VALUE", "")</f>
        <v>STEAMENGINE</v>
      </c>
      <c r="AD147" s="2" t="b">
        <v>0</v>
      </c>
      <c r="AV147"/>
      <c r="AW147"/>
      <c r="AX147"/>
    </row>
    <row r="148" spans="1:50">
      <c r="A148" s="2" t="s">
        <v>172</v>
      </c>
      <c r="B148">
        <v>1895</v>
      </c>
      <c r="C148">
        <v>0</v>
      </c>
      <c r="D148" t="s">
        <v>1845</v>
      </c>
      <c r="E148" t="str">
        <f>_xlfn.XLOOKUP(PROPERTIES[[#This Row],[COUNTRY]],COUNTRIES[COUNTRY_DESCRIPTION],COUNTRIES[COUNTRY_LABEL],"")</f>
        <v>CN</v>
      </c>
      <c r="F148" t="s">
        <v>23</v>
      </c>
      <c r="G148" t="s">
        <v>20</v>
      </c>
      <c r="H148">
        <v>0</v>
      </c>
      <c r="I148">
        <v>5</v>
      </c>
      <c r="J148">
        <v>6</v>
      </c>
      <c r="K148" s="2" t="s">
        <v>24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4">
        <v>102.5</v>
      </c>
      <c r="P148">
        <v>850</v>
      </c>
      <c r="Q148">
        <v>70</v>
      </c>
      <c r="R148" s="31">
        <v>130</v>
      </c>
      <c r="S148" s="30">
        <f>IFERROR(PROPERTIES[[#This Row],[TE_STARTING_KN]]/(PROPERTIES[[#This Row],[WEIGHT]]*9.81),0)</f>
        <v>0.12928569652669003</v>
      </c>
      <c r="T148" s="30">
        <v>0.16</v>
      </c>
      <c r="U148" s="27">
        <f>ROUND(IF(IFERROR(PROPERTIES[[#This Row],[TE_COEFFICIENT_CALC]],0)=0,PROPERTIES[[#This Row],[TE_COEFFICIENT_MANUAL]],PROPERTIES[[#This Row],[TE_COEFFICIENT_CALC]]),3)</f>
        <v>0.129</v>
      </c>
      <c r="V148" s="6">
        <v>40</v>
      </c>
      <c r="W148" s="10">
        <v>0</v>
      </c>
      <c r="X148" s="10">
        <v>3</v>
      </c>
      <c r="Y148" s="10"/>
      <c r="Z148" t="str">
        <f>"RUNNING_COST_"&amp;IF(PROPERTIES[[#This Row],[ENGINE_CLASS]]="MAGLEV","ELECTRIC",PROPERTIES[[#This Row],[ENGINE_CLASS]])</f>
        <v>RUNNING_COST_STEAM</v>
      </c>
      <c r="AA148" s="10" t="s">
        <v>998</v>
      </c>
      <c r="AB148" s="10" t="s">
        <v>999</v>
      </c>
      <c r="AC148" s="10" t="str">
        <f>SUBSTITUTE(SUBSTITUTE(PROPERTIES[[#This Row],[PURCHASECOST_VALUE]], "PURCHASECOST_", ""), "_VALUE", "")</f>
        <v>STEAMENGINE</v>
      </c>
      <c r="AD148" s="2" t="b">
        <v>0</v>
      </c>
      <c r="AV148"/>
      <c r="AW148"/>
      <c r="AX148"/>
    </row>
    <row r="149" spans="1:50">
      <c r="A149" s="2" t="s">
        <v>173</v>
      </c>
      <c r="B149">
        <v>1906</v>
      </c>
      <c r="C149">
        <v>0</v>
      </c>
      <c r="D149" t="s">
        <v>1987</v>
      </c>
      <c r="E149" t="str">
        <f>_xlfn.XLOOKUP(PROPERTIES[[#This Row],[COUNTRY]],COUNTRIES[COUNTRY_DESCRIPTION],COUNTRIES[COUNTRY_LABEL],"")</f>
        <v>RU</v>
      </c>
      <c r="F149" t="s">
        <v>23</v>
      </c>
      <c r="G149" t="s">
        <v>20</v>
      </c>
      <c r="H149">
        <v>0</v>
      </c>
      <c r="I149">
        <v>5</v>
      </c>
      <c r="J149">
        <v>6</v>
      </c>
      <c r="K149" s="2" t="s">
        <v>24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4">
        <v>126.5</v>
      </c>
      <c r="P149">
        <v>1200</v>
      </c>
      <c r="Q149">
        <v>115</v>
      </c>
      <c r="R149" s="31">
        <v>87</v>
      </c>
      <c r="S149" s="30">
        <f>IFERROR(PROPERTIES[[#This Row],[TE_STARTING_KN]]/(PROPERTIES[[#This Row],[WEIGHT]]*9.81),0)</f>
        <v>7.0106731454956411E-2</v>
      </c>
      <c r="T149" s="30">
        <v>0.13</v>
      </c>
      <c r="U149" s="27">
        <f>ROUND(IF(IFERROR(PROPERTIES[[#This Row],[TE_COEFFICIENT_CALC]],0)=0,PROPERTIES[[#This Row],[TE_COEFFICIENT_MANUAL]],PROPERTIES[[#This Row],[TE_COEFFICIENT_CALC]]),3)</f>
        <v>7.0000000000000007E-2</v>
      </c>
      <c r="V149" s="6">
        <v>40</v>
      </c>
      <c r="W149" s="10">
        <v>0</v>
      </c>
      <c r="X149" s="10">
        <v>3</v>
      </c>
      <c r="Y149" s="10"/>
      <c r="Z149" t="str">
        <f>"RUNNING_COST_"&amp;IF(PROPERTIES[[#This Row],[ENGINE_CLASS]]="MAGLEV","ELECTRIC",PROPERTIES[[#This Row],[ENGINE_CLASS]])</f>
        <v>RUNNING_COST_STEAM</v>
      </c>
      <c r="AA149" s="10" t="s">
        <v>998</v>
      </c>
      <c r="AB149" s="10" t="s">
        <v>999</v>
      </c>
      <c r="AC149" s="10" t="str">
        <f>SUBSTITUTE(SUBSTITUTE(PROPERTIES[[#This Row],[PURCHASECOST_VALUE]], "PURCHASECOST_", ""), "_VALUE", "")</f>
        <v>STEAMENGINE</v>
      </c>
      <c r="AD149" s="2" t="b">
        <v>0</v>
      </c>
      <c r="AV149"/>
      <c r="AW149"/>
      <c r="AX149"/>
    </row>
    <row r="150" spans="1:50">
      <c r="A150" s="2" t="s">
        <v>174</v>
      </c>
      <c r="B150">
        <v>1915</v>
      </c>
      <c r="C150">
        <v>0</v>
      </c>
      <c r="D150" t="s">
        <v>1987</v>
      </c>
      <c r="E150" t="str">
        <f>_xlfn.XLOOKUP(PROPERTIES[[#This Row],[COUNTRY]],COUNTRIES[COUNTRY_DESCRIPTION],COUNTRIES[COUNTRY_LABEL],"")</f>
        <v>RU</v>
      </c>
      <c r="F150" t="s">
        <v>23</v>
      </c>
      <c r="G150" t="s">
        <v>20</v>
      </c>
      <c r="H150">
        <v>0</v>
      </c>
      <c r="I150">
        <v>5</v>
      </c>
      <c r="J150">
        <v>6</v>
      </c>
      <c r="K150" s="2" t="s">
        <v>24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4">
        <v>155</v>
      </c>
      <c r="P150">
        <v>1600</v>
      </c>
      <c r="Q150">
        <v>89</v>
      </c>
      <c r="R150" s="31">
        <v>229.08</v>
      </c>
      <c r="S150" s="30">
        <f>IFERROR(PROPERTIES[[#This Row],[TE_STARTING_KN]]/(PROPERTIES[[#This Row],[WEIGHT]]*9.81),0)</f>
        <v>0.15065601262700995</v>
      </c>
      <c r="T150" s="30">
        <v>0.22</v>
      </c>
      <c r="U150" s="27">
        <f>ROUND(IF(IFERROR(PROPERTIES[[#This Row],[TE_COEFFICIENT_CALC]],0)=0,PROPERTIES[[#This Row],[TE_COEFFICIENT_MANUAL]],PROPERTIES[[#This Row],[TE_COEFFICIENT_CALC]]),3)</f>
        <v>0.151</v>
      </c>
      <c r="V150" s="6">
        <v>40</v>
      </c>
      <c r="W150" s="10">
        <v>0</v>
      </c>
      <c r="X150" s="10">
        <v>3</v>
      </c>
      <c r="Y150" s="10"/>
      <c r="Z150" t="str">
        <f>"RUNNING_COST_"&amp;IF(PROPERTIES[[#This Row],[ENGINE_CLASS]]="MAGLEV","ELECTRIC",PROPERTIES[[#This Row],[ENGINE_CLASS]])</f>
        <v>RUNNING_COST_STEAM</v>
      </c>
      <c r="AA150" s="10" t="s">
        <v>998</v>
      </c>
      <c r="AB150" s="10" t="s">
        <v>999</v>
      </c>
      <c r="AC150" s="10" t="str">
        <f>SUBSTITUTE(SUBSTITUTE(PROPERTIES[[#This Row],[PURCHASECOST_VALUE]], "PURCHASECOST_", ""), "_VALUE", "")</f>
        <v>STEAMENGINE</v>
      </c>
      <c r="AD150" s="2" t="b">
        <v>0</v>
      </c>
      <c r="AV150"/>
      <c r="AW150"/>
      <c r="AX150"/>
    </row>
    <row r="151" spans="1:50">
      <c r="A151" s="2" t="s">
        <v>175</v>
      </c>
      <c r="B151">
        <v>1918</v>
      </c>
      <c r="C151">
        <v>0</v>
      </c>
      <c r="D151" t="s">
        <v>1899</v>
      </c>
      <c r="E151" t="str">
        <f>_xlfn.XLOOKUP(PROPERTIES[[#This Row],[COUNTRY]],COUNTRIES[COUNTRY_DESCRIPTION],COUNTRIES[COUNTRY_LABEL],"")</f>
        <v>IL</v>
      </c>
      <c r="F151" t="s">
        <v>23</v>
      </c>
      <c r="G151" t="s">
        <v>20</v>
      </c>
      <c r="H151">
        <v>0</v>
      </c>
      <c r="I151">
        <v>5</v>
      </c>
      <c r="J151">
        <v>6</v>
      </c>
      <c r="K151" s="2" t="s">
        <v>24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4">
        <v>119</v>
      </c>
      <c r="P151">
        <v>1050</v>
      </c>
      <c r="Q151">
        <v>85</v>
      </c>
      <c r="R151" s="31">
        <v>108.9</v>
      </c>
      <c r="S151" s="30">
        <f>IFERROR(PROPERTIES[[#This Row],[TE_STARTING_KN]]/(PROPERTIES[[#This Row],[WEIGHT]]*9.81),0)</f>
        <v>9.3285020430190421E-2</v>
      </c>
      <c r="T151" s="30">
        <v>0.09</v>
      </c>
      <c r="U151" s="27">
        <f>ROUND(IF(IFERROR(PROPERTIES[[#This Row],[TE_COEFFICIENT_CALC]],0)=0,PROPERTIES[[#This Row],[TE_COEFFICIENT_MANUAL]],PROPERTIES[[#This Row],[TE_COEFFICIENT_CALC]]),3)</f>
        <v>9.2999999999999999E-2</v>
      </c>
      <c r="V151" s="6">
        <v>40</v>
      </c>
      <c r="W151" s="10">
        <v>0</v>
      </c>
      <c r="X151" s="10">
        <v>3</v>
      </c>
      <c r="Y151" s="10"/>
      <c r="Z151" t="str">
        <f>"RUNNING_COST_"&amp;IF(PROPERTIES[[#This Row],[ENGINE_CLASS]]="MAGLEV","ELECTRIC",PROPERTIES[[#This Row],[ENGINE_CLASS]])</f>
        <v>RUNNING_COST_STEAM</v>
      </c>
      <c r="AA151" s="10" t="s">
        <v>998</v>
      </c>
      <c r="AB151" s="10" t="s">
        <v>999</v>
      </c>
      <c r="AC151" s="10" t="str">
        <f>SUBSTITUTE(SUBSTITUTE(PROPERTIES[[#This Row],[PURCHASECOST_VALUE]], "PURCHASECOST_", ""), "_VALUE", "")</f>
        <v>STEAMENGINE</v>
      </c>
      <c r="AD151" s="2" t="b">
        <v>0</v>
      </c>
      <c r="AV151"/>
      <c r="AW151"/>
      <c r="AX151"/>
    </row>
    <row r="152" spans="1:50">
      <c r="A152" s="2" t="s">
        <v>176</v>
      </c>
      <c r="B152">
        <v>1923</v>
      </c>
      <c r="C152">
        <v>0</v>
      </c>
      <c r="D152" t="s">
        <v>1906</v>
      </c>
      <c r="E152" t="str">
        <f>_xlfn.XLOOKUP(PROPERTIES[[#This Row],[COUNTRY]],COUNTRIES[COUNTRY_DESCRIPTION],COUNTRIES[COUNTRY_LABEL],"")</f>
        <v>IT</v>
      </c>
      <c r="F152" t="s">
        <v>23</v>
      </c>
      <c r="G152" t="s">
        <v>20</v>
      </c>
      <c r="H152">
        <v>0</v>
      </c>
      <c r="I152">
        <v>6</v>
      </c>
      <c r="J152">
        <v>8</v>
      </c>
      <c r="K152" s="2" t="s">
        <v>24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4">
        <v>128.80000000000001</v>
      </c>
      <c r="P152">
        <v>1500</v>
      </c>
      <c r="Q152">
        <v>70</v>
      </c>
      <c r="R152" s="31">
        <v>177.4</v>
      </c>
      <c r="S152" s="30">
        <f>IFERROR(PROPERTIES[[#This Row],[TE_STARTING_KN]]/(PROPERTIES[[#This Row],[WEIGHT]]*9.81),0)</f>
        <v>0.14040052931157834</v>
      </c>
      <c r="T152" s="30">
        <v>0.13</v>
      </c>
      <c r="U152" s="27">
        <f>ROUND(IF(IFERROR(PROPERTIES[[#This Row],[TE_COEFFICIENT_CALC]],0)=0,PROPERTIES[[#This Row],[TE_COEFFICIENT_MANUAL]],PROPERTIES[[#This Row],[TE_COEFFICIENT_CALC]]),3)</f>
        <v>0.14000000000000001</v>
      </c>
      <c r="V152" s="6">
        <v>40</v>
      </c>
      <c r="W152" s="10">
        <v>0</v>
      </c>
      <c r="X152" s="10">
        <v>4</v>
      </c>
      <c r="Y152" s="10"/>
      <c r="Z152" t="str">
        <f>"RUNNING_COST_"&amp;IF(PROPERTIES[[#This Row],[ENGINE_CLASS]]="MAGLEV","ELECTRIC",PROPERTIES[[#This Row],[ENGINE_CLASS]])</f>
        <v>RUNNING_COST_STEAM</v>
      </c>
      <c r="AA152" s="10" t="s">
        <v>998</v>
      </c>
      <c r="AB152" s="10" t="s">
        <v>999</v>
      </c>
      <c r="AC152" s="10" t="str">
        <f>SUBSTITUTE(SUBSTITUTE(PROPERTIES[[#This Row],[PURCHASECOST_VALUE]], "PURCHASECOST_", ""), "_VALUE", "")</f>
        <v>STEAMENGINE</v>
      </c>
      <c r="AD152" s="2" t="b">
        <v>0</v>
      </c>
      <c r="AV152"/>
      <c r="AW152"/>
      <c r="AX152"/>
    </row>
    <row r="153" spans="1:50">
      <c r="A153" s="2" t="s">
        <v>177</v>
      </c>
      <c r="B153">
        <v>1928</v>
      </c>
      <c r="C153">
        <v>0</v>
      </c>
      <c r="D153" t="s">
        <v>1906</v>
      </c>
      <c r="E153" t="str">
        <f>_xlfn.XLOOKUP(PROPERTIES[[#This Row],[COUNTRY]],COUNTRIES[COUNTRY_DESCRIPTION],COUNTRIES[COUNTRY_LABEL],"")</f>
        <v>IT</v>
      </c>
      <c r="F153" t="s">
        <v>23</v>
      </c>
      <c r="G153" t="s">
        <v>20</v>
      </c>
      <c r="H153">
        <v>0</v>
      </c>
      <c r="I153">
        <v>6</v>
      </c>
      <c r="J153">
        <v>8</v>
      </c>
      <c r="K153" s="2" t="s">
        <v>24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4">
        <v>144</v>
      </c>
      <c r="P153">
        <v>1750</v>
      </c>
      <c r="Q153">
        <v>130</v>
      </c>
      <c r="R153" s="31">
        <v>145</v>
      </c>
      <c r="S153" s="30">
        <f>IFERROR(PROPERTIES[[#This Row],[TE_STARTING_KN]]/(PROPERTIES[[#This Row],[WEIGHT]]*9.81),0)</f>
        <v>0.10264469362328689</v>
      </c>
      <c r="T153" s="30">
        <v>0.1</v>
      </c>
      <c r="U153" s="27">
        <f>ROUND(IF(IFERROR(PROPERTIES[[#This Row],[TE_COEFFICIENT_CALC]],0)=0,PROPERTIES[[#This Row],[TE_COEFFICIENT_MANUAL]],PROPERTIES[[#This Row],[TE_COEFFICIENT_CALC]]),3)</f>
        <v>0.10299999999999999</v>
      </c>
      <c r="V153" s="6">
        <v>40</v>
      </c>
      <c r="W153" s="10">
        <v>0</v>
      </c>
      <c r="X153" s="10">
        <v>4</v>
      </c>
      <c r="Y153" s="10"/>
      <c r="Z153" t="str">
        <f>"RUNNING_COST_"&amp;IF(PROPERTIES[[#This Row],[ENGINE_CLASS]]="MAGLEV","ELECTRIC",PROPERTIES[[#This Row],[ENGINE_CLASS]])</f>
        <v>RUNNING_COST_STEAM</v>
      </c>
      <c r="AA153" s="10" t="s">
        <v>998</v>
      </c>
      <c r="AB153" s="10" t="s">
        <v>999</v>
      </c>
      <c r="AC153" s="10" t="str">
        <f>SUBSTITUTE(SUBSTITUTE(PROPERTIES[[#This Row],[PURCHASECOST_VALUE]], "PURCHASECOST_", ""), "_VALUE", "")</f>
        <v>STEAMENGINE</v>
      </c>
      <c r="AD153" s="2" t="b">
        <v>0</v>
      </c>
      <c r="AV153"/>
      <c r="AW153"/>
      <c r="AX153"/>
    </row>
    <row r="154" spans="1:50">
      <c r="A154" s="2" t="s">
        <v>178</v>
      </c>
      <c r="B154">
        <v>1943</v>
      </c>
      <c r="C154">
        <v>0</v>
      </c>
      <c r="D154" t="s">
        <v>1885</v>
      </c>
      <c r="E154" t="str">
        <f>_xlfn.XLOOKUP(PROPERTIES[[#This Row],[COUNTRY]],COUNTRIES[COUNTRY_DESCRIPTION],COUNTRIES[COUNTRY_LABEL],"")</f>
        <v>GR</v>
      </c>
      <c r="F154" t="s">
        <v>23</v>
      </c>
      <c r="G154" t="s">
        <v>20</v>
      </c>
      <c r="H154">
        <v>0</v>
      </c>
      <c r="I154">
        <v>7</v>
      </c>
      <c r="J154">
        <v>8</v>
      </c>
      <c r="K154" s="2" t="s">
        <v>24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4">
        <v>138.5</v>
      </c>
      <c r="P154">
        <v>1600</v>
      </c>
      <c r="Q154">
        <v>75</v>
      </c>
      <c r="R154" s="31">
        <v>152.19999999999999</v>
      </c>
      <c r="S154" s="30">
        <f>IFERROR(PROPERTIES[[#This Row],[TE_STARTING_KN]]/(PROPERTIES[[#This Row],[WEIGHT]]*9.81),0)</f>
        <v>0.11202007823741336</v>
      </c>
      <c r="T154" s="30">
        <v>0.11</v>
      </c>
      <c r="U154" s="27">
        <f>ROUND(IF(IFERROR(PROPERTIES[[#This Row],[TE_COEFFICIENT_CALC]],0)=0,PROPERTIES[[#This Row],[TE_COEFFICIENT_MANUAL]],PROPERTIES[[#This Row],[TE_COEFFICIENT_CALC]]),3)</f>
        <v>0.112</v>
      </c>
      <c r="V154" s="6">
        <v>40</v>
      </c>
      <c r="W154" s="10">
        <v>0</v>
      </c>
      <c r="X154" s="10">
        <v>4</v>
      </c>
      <c r="Y154" s="10"/>
      <c r="Z154" t="str">
        <f>"RUNNING_COST_"&amp;IF(PROPERTIES[[#This Row],[ENGINE_CLASS]]="MAGLEV","ELECTRIC",PROPERTIES[[#This Row],[ENGINE_CLASS]])</f>
        <v>RUNNING_COST_STEAM</v>
      </c>
      <c r="AA154" s="10" t="s">
        <v>998</v>
      </c>
      <c r="AB154" s="10" t="s">
        <v>999</v>
      </c>
      <c r="AC154" s="10" t="str">
        <f>SUBSTITUTE(SUBSTITUTE(PROPERTIES[[#This Row],[PURCHASECOST_VALUE]], "PURCHASECOST_", ""), "_VALUE", "")</f>
        <v>STEAMENGINE</v>
      </c>
      <c r="AD154" s="2" t="b">
        <v>0</v>
      </c>
      <c r="AV154"/>
      <c r="AW154"/>
      <c r="AX154"/>
    </row>
    <row r="155" spans="1:50">
      <c r="A155" s="2" t="s">
        <v>179</v>
      </c>
      <c r="B155">
        <v>1951</v>
      </c>
      <c r="C155">
        <v>0</v>
      </c>
      <c r="D155" t="s">
        <v>2049</v>
      </c>
      <c r="E155" t="str">
        <f>_xlfn.XLOOKUP(PROPERTIES[[#This Row],[COUNTRY]],COUNTRIES[COUNTRY_DESCRIPTION],COUNTRIES[COUNTRY_LABEL],"")</f>
        <v>YU</v>
      </c>
      <c r="F155" t="s">
        <v>23</v>
      </c>
      <c r="G155" t="s">
        <v>20</v>
      </c>
      <c r="H155">
        <v>0</v>
      </c>
      <c r="I155">
        <v>5</v>
      </c>
      <c r="J155">
        <v>5</v>
      </c>
      <c r="K155" s="2" t="s">
        <v>24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4">
        <v>123.5</v>
      </c>
      <c r="P155">
        <v>1200</v>
      </c>
      <c r="Q155">
        <v>80</v>
      </c>
      <c r="R155" s="31">
        <v>138</v>
      </c>
      <c r="S155" s="30">
        <f>IFERROR(PROPERTIES[[#This Row],[TE_STARTING_KN]]/(PROPERTIES[[#This Row],[WEIGHT]]*9.81),0)</f>
        <v>0.11390508734786861</v>
      </c>
      <c r="T155" s="30">
        <v>0.14000000000000001</v>
      </c>
      <c r="U155" s="27">
        <f>ROUND(IF(IFERROR(PROPERTIES[[#This Row],[TE_COEFFICIENT_CALC]],0)=0,PROPERTIES[[#This Row],[TE_COEFFICIENT_MANUAL]],PROPERTIES[[#This Row],[TE_COEFFICIENT_CALC]]),3)</f>
        <v>0.114</v>
      </c>
      <c r="V155" s="6">
        <v>40</v>
      </c>
      <c r="W155" s="10">
        <v>0</v>
      </c>
      <c r="X155" s="10">
        <v>0</v>
      </c>
      <c r="Y155" s="10"/>
      <c r="Z155" t="str">
        <f>"RUNNING_COST_"&amp;IF(PROPERTIES[[#This Row],[ENGINE_CLASS]]="MAGLEV","ELECTRIC",PROPERTIES[[#This Row],[ENGINE_CLASS]])</f>
        <v>RUNNING_COST_STEAM</v>
      </c>
      <c r="AA155" s="10" t="s">
        <v>998</v>
      </c>
      <c r="AB155" s="10" t="s">
        <v>999</v>
      </c>
      <c r="AC155" s="10" t="str">
        <f>SUBSTITUTE(SUBSTITUTE(PROPERTIES[[#This Row],[PURCHASECOST_VALUE]], "PURCHASECOST_", ""), "_VALUE", "")</f>
        <v>STEAMENGINE</v>
      </c>
      <c r="AD155" s="2" t="b">
        <v>0</v>
      </c>
      <c r="AV155"/>
      <c r="AW155"/>
      <c r="AX155"/>
    </row>
    <row r="156" spans="1:50">
      <c r="A156" s="2" t="s">
        <v>180</v>
      </c>
      <c r="B156">
        <v>1955</v>
      </c>
      <c r="C156">
        <v>0</v>
      </c>
      <c r="D156" t="s">
        <v>1865</v>
      </c>
      <c r="E156" t="str">
        <f>_xlfn.XLOOKUP(PROPERTIES[[#This Row],[COUNTRY]],COUNTRIES[COUNTRY_DESCRIPTION],COUNTRIES[COUNTRY_LABEL],"")</f>
        <v>ES</v>
      </c>
      <c r="F156" t="s">
        <v>23</v>
      </c>
      <c r="G156" t="s">
        <v>20</v>
      </c>
      <c r="H156">
        <v>0</v>
      </c>
      <c r="I156">
        <v>8</v>
      </c>
      <c r="J156">
        <v>10</v>
      </c>
      <c r="K156" s="2" t="s">
        <v>24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4">
        <v>213.5</v>
      </c>
      <c r="P156">
        <v>3500</v>
      </c>
      <c r="Q156">
        <f>ROUND(1.62*75,0)</f>
        <v>122</v>
      </c>
      <c r="R156" s="31">
        <v>0</v>
      </c>
      <c r="S156" s="30">
        <f>IFERROR(PROPERTIES[[#This Row],[TE_STARTING_KN]]/(PROPERTIES[[#This Row],[WEIGHT]]*9.81),0)</f>
        <v>0</v>
      </c>
      <c r="T156" s="30">
        <v>0.11</v>
      </c>
      <c r="U156" s="27">
        <f>ROUND(IF(IFERROR(PROPERTIES[[#This Row],[TE_COEFFICIENT_CALC]],0)=0,PROPERTIES[[#This Row],[TE_COEFFICIENT_MANUAL]],PROPERTIES[[#This Row],[TE_COEFFICIENT_CALC]]),3)</f>
        <v>0.11</v>
      </c>
      <c r="V156" s="6">
        <v>40</v>
      </c>
      <c r="W156" s="10">
        <v>0</v>
      </c>
      <c r="X156" s="10">
        <v>5</v>
      </c>
      <c r="Y156" s="10"/>
      <c r="Z156" t="str">
        <f>"RUNNING_COST_"&amp;IF(PROPERTIES[[#This Row],[ENGINE_CLASS]]="MAGLEV","ELECTRIC",PROPERTIES[[#This Row],[ENGINE_CLASS]])</f>
        <v>RUNNING_COST_STEAM</v>
      </c>
      <c r="AA156" s="10" t="s">
        <v>998</v>
      </c>
      <c r="AB156" s="10" t="s">
        <v>999</v>
      </c>
      <c r="AC156" s="10" t="str">
        <f>SUBSTITUTE(SUBSTITUTE(PROPERTIES[[#This Row],[PURCHASECOST_VALUE]], "PURCHASECOST_", ""), "_VALUE", "")</f>
        <v>STEAMENGINE</v>
      </c>
      <c r="AD156" s="2" t="b">
        <v>0</v>
      </c>
      <c r="AV156"/>
      <c r="AW156"/>
      <c r="AX156"/>
    </row>
    <row r="157" spans="1:50">
      <c r="A157" s="2" t="s">
        <v>181</v>
      </c>
      <c r="B157">
        <v>1910</v>
      </c>
      <c r="C157">
        <v>0</v>
      </c>
      <c r="D157" t="s">
        <v>1853</v>
      </c>
      <c r="E157" t="str">
        <f>_xlfn.XLOOKUP(PROPERTIES[[#This Row],[COUNTRY]],COUNTRIES[COUNTRY_DESCRIPTION],COUNTRIES[COUNTRY_LABEL],"")</f>
        <v>CZ</v>
      </c>
      <c r="F157" t="s">
        <v>23</v>
      </c>
      <c r="G157" t="s">
        <v>20</v>
      </c>
      <c r="H157">
        <v>0</v>
      </c>
      <c r="I157">
        <v>7</v>
      </c>
      <c r="J157">
        <v>6</v>
      </c>
      <c r="K157" s="2" t="s">
        <v>24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4">
        <v>132</v>
      </c>
      <c r="P157">
        <v>1400</v>
      </c>
      <c r="Q157">
        <v>60</v>
      </c>
      <c r="R157" s="31">
        <v>195</v>
      </c>
      <c r="S157" s="30">
        <f>IFERROR(PROPERTIES[[#This Row],[TE_STARTING_KN]]/(PROPERTIES[[#This Row],[WEIGHT]]*9.81),0)</f>
        <v>0.15058845334074691</v>
      </c>
      <c r="T157" s="30">
        <v>0.31</v>
      </c>
      <c r="U157" s="27">
        <f>ROUND(IF(IFERROR(PROPERTIES[[#This Row],[TE_COEFFICIENT_CALC]],0)=0,PROPERTIES[[#This Row],[TE_COEFFICIENT_MANUAL]],PROPERTIES[[#This Row],[TE_COEFFICIENT_CALC]]),3)</f>
        <v>0.151</v>
      </c>
      <c r="V157" s="6">
        <v>40</v>
      </c>
      <c r="W157" s="10">
        <v>0</v>
      </c>
      <c r="X157" s="10">
        <v>3</v>
      </c>
      <c r="Y157" s="10"/>
      <c r="Z157" t="str">
        <f>"RUNNING_COST_"&amp;IF(PROPERTIES[[#This Row],[ENGINE_CLASS]]="MAGLEV","ELECTRIC",PROPERTIES[[#This Row],[ENGINE_CLASS]])</f>
        <v>RUNNING_COST_STEAM</v>
      </c>
      <c r="AA157" s="10" t="s">
        <v>998</v>
      </c>
      <c r="AB157" s="10" t="s">
        <v>999</v>
      </c>
      <c r="AC157" s="10" t="str">
        <f>SUBSTITUTE(SUBSTITUTE(PROPERTIES[[#This Row],[PURCHASECOST_VALUE]], "PURCHASECOST_", ""), "_VALUE", "")</f>
        <v>STEAMENGINE</v>
      </c>
      <c r="AD157" s="2" t="b">
        <v>0</v>
      </c>
      <c r="AV157"/>
      <c r="AW157"/>
      <c r="AX157"/>
    </row>
    <row r="158" spans="1:50">
      <c r="A158" s="2" t="s">
        <v>182</v>
      </c>
      <c r="B158">
        <v>1923</v>
      </c>
      <c r="C158">
        <v>0</v>
      </c>
      <c r="D158" t="s">
        <v>1975</v>
      </c>
      <c r="E158" t="str">
        <f>_xlfn.XLOOKUP(PROPERTIES[[#This Row],[COUNTRY]],COUNTRIES[COUNTRY_DESCRIPTION],COUNTRIES[COUNTRY_LABEL],"")</f>
        <v>PL</v>
      </c>
      <c r="F158" t="s">
        <v>23</v>
      </c>
      <c r="G158" t="s">
        <v>20</v>
      </c>
      <c r="H158">
        <v>0</v>
      </c>
      <c r="I158">
        <v>6</v>
      </c>
      <c r="J158">
        <v>6</v>
      </c>
      <c r="K158" s="2" t="s">
        <v>24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4">
        <v>133</v>
      </c>
      <c r="P158">
        <v>980</v>
      </c>
      <c r="Q158">
        <v>100</v>
      </c>
      <c r="R158" s="31">
        <v>123</v>
      </c>
      <c r="S158" s="30">
        <f>IFERROR(PROPERTIES[[#This Row],[TE_STARTING_KN]]/(PROPERTIES[[#This Row],[WEIGHT]]*9.81),0)</f>
        <v>9.4272378193189399E-2</v>
      </c>
      <c r="T158" s="30">
        <v>0.06</v>
      </c>
      <c r="U158" s="27">
        <f>ROUND(IF(IFERROR(PROPERTIES[[#This Row],[TE_COEFFICIENT_CALC]],0)=0,PROPERTIES[[#This Row],[TE_COEFFICIENT_MANUAL]],PROPERTIES[[#This Row],[TE_COEFFICIENT_CALC]]),3)</f>
        <v>9.4E-2</v>
      </c>
      <c r="V158" s="6">
        <v>40</v>
      </c>
      <c r="W158" s="10">
        <v>0</v>
      </c>
      <c r="X158" s="10">
        <v>3</v>
      </c>
      <c r="Y158" s="10"/>
      <c r="Z158" t="str">
        <f>"RUNNING_COST_"&amp;IF(PROPERTIES[[#This Row],[ENGINE_CLASS]]="MAGLEV","ELECTRIC",PROPERTIES[[#This Row],[ENGINE_CLASS]])</f>
        <v>RUNNING_COST_STEAM</v>
      </c>
      <c r="AA158" s="10" t="s">
        <v>998</v>
      </c>
      <c r="AB158" s="10" t="s">
        <v>999</v>
      </c>
      <c r="AC158" s="10" t="str">
        <f>SUBSTITUTE(SUBSTITUTE(PROPERTIES[[#This Row],[PURCHASECOST_VALUE]], "PURCHASECOST_", ""), "_VALUE", "")</f>
        <v>STEAMENGINE</v>
      </c>
      <c r="AD158" s="2" t="b">
        <v>0</v>
      </c>
      <c r="AV158"/>
      <c r="AW158"/>
      <c r="AX158"/>
    </row>
    <row r="159" spans="1:50">
      <c r="A159" s="2" t="s">
        <v>183</v>
      </c>
      <c r="B159">
        <v>1924</v>
      </c>
      <c r="C159">
        <v>0</v>
      </c>
      <c r="D159" t="s">
        <v>1894</v>
      </c>
      <c r="E159" t="str">
        <f>_xlfn.XLOOKUP(PROPERTIES[[#This Row],[COUNTRY]],COUNTRIES[COUNTRY_DESCRIPTION],COUNTRIES[COUNTRY_LABEL],"")</f>
        <v>HR</v>
      </c>
      <c r="F159" t="s">
        <v>23</v>
      </c>
      <c r="G159" t="s">
        <v>20</v>
      </c>
      <c r="H159">
        <v>0</v>
      </c>
      <c r="I159">
        <v>7</v>
      </c>
      <c r="J159">
        <v>8</v>
      </c>
      <c r="K159" s="2" t="s">
        <v>24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4">
        <v>145.19999999999999</v>
      </c>
      <c r="P159">
        <v>1350</v>
      </c>
      <c r="Q159">
        <v>90</v>
      </c>
      <c r="R159" s="31">
        <v>113.2</v>
      </c>
      <c r="S159" s="30">
        <f>IFERROR(PROPERTIES[[#This Row],[TE_STARTING_KN]]/(PROPERTIES[[#This Row],[WEIGHT]]*9.81),0)</f>
        <v>7.9471388895909323E-2</v>
      </c>
      <c r="T159" s="30">
        <v>0.13</v>
      </c>
      <c r="U159" s="27">
        <f>ROUND(IF(IFERROR(PROPERTIES[[#This Row],[TE_COEFFICIENT_CALC]],0)=0,PROPERTIES[[#This Row],[TE_COEFFICIENT_MANUAL]],PROPERTIES[[#This Row],[TE_COEFFICIENT_CALC]]),3)</f>
        <v>7.9000000000000001E-2</v>
      </c>
      <c r="V159" s="6">
        <v>40</v>
      </c>
      <c r="W159" s="10">
        <v>0</v>
      </c>
      <c r="X159" s="10">
        <v>4</v>
      </c>
      <c r="Y159" s="10"/>
      <c r="Z159" t="str">
        <f>"RUNNING_COST_"&amp;IF(PROPERTIES[[#This Row],[ENGINE_CLASS]]="MAGLEV","ELECTRIC",PROPERTIES[[#This Row],[ENGINE_CLASS]])</f>
        <v>RUNNING_COST_STEAM</v>
      </c>
      <c r="AA159" s="10" t="s">
        <v>998</v>
      </c>
      <c r="AB159" s="10" t="s">
        <v>999</v>
      </c>
      <c r="AC159" s="10" t="str">
        <f>SUBSTITUTE(SUBSTITUTE(PROPERTIES[[#This Row],[PURCHASECOST_VALUE]], "PURCHASECOST_", ""), "_VALUE", "")</f>
        <v>STEAMENGINE</v>
      </c>
      <c r="AD159" s="2" t="b">
        <v>0</v>
      </c>
      <c r="AV159"/>
      <c r="AW159"/>
      <c r="AX159"/>
    </row>
    <row r="160" spans="1:50">
      <c r="A160" s="2" t="s">
        <v>184</v>
      </c>
      <c r="B160">
        <v>1936</v>
      </c>
      <c r="C160">
        <v>0</v>
      </c>
      <c r="D160" t="s">
        <v>1896</v>
      </c>
      <c r="E160" t="str">
        <f>_xlfn.XLOOKUP(PROPERTIES[[#This Row],[COUNTRY]],COUNTRIES[COUNTRY_DESCRIPTION],COUNTRIES[COUNTRY_LABEL],"")</f>
        <v>HU</v>
      </c>
      <c r="F160" t="s">
        <v>23</v>
      </c>
      <c r="G160" t="s">
        <v>20</v>
      </c>
      <c r="H160">
        <v>0</v>
      </c>
      <c r="I160">
        <v>7</v>
      </c>
      <c r="J160">
        <v>7</v>
      </c>
      <c r="K160" s="2" t="s">
        <v>24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4">
        <v>85</v>
      </c>
      <c r="P160">
        <v>618</v>
      </c>
      <c r="Q160">
        <v>120</v>
      </c>
      <c r="R160" s="31">
        <v>65</v>
      </c>
      <c r="S160" s="30">
        <f>IFERROR(PROPERTIES[[#This Row],[TE_STARTING_KN]]/(PROPERTIES[[#This Row],[WEIGHT]]*9.81),0)</f>
        <v>7.7951669964621939E-2</v>
      </c>
      <c r="T160" s="30">
        <v>0.08</v>
      </c>
      <c r="U160" s="27">
        <f>ROUND(IF(IFERROR(PROPERTIES[[#This Row],[TE_COEFFICIENT_CALC]],0)=0,PROPERTIES[[#This Row],[TE_COEFFICIENT_MANUAL]],PROPERTIES[[#This Row],[TE_COEFFICIENT_CALC]]),3)</f>
        <v>7.8E-2</v>
      </c>
      <c r="V160" s="6">
        <v>40</v>
      </c>
      <c r="W160" s="10">
        <v>0</v>
      </c>
      <c r="X160" s="10">
        <v>0</v>
      </c>
      <c r="Y160" s="10"/>
      <c r="Z160" t="str">
        <f>"RUNNING_COST_"&amp;IF(PROPERTIES[[#This Row],[ENGINE_CLASS]]="MAGLEV","ELECTRIC",PROPERTIES[[#This Row],[ENGINE_CLASS]])</f>
        <v>RUNNING_COST_STEAM</v>
      </c>
      <c r="AA160" s="10" t="s">
        <v>998</v>
      </c>
      <c r="AB160" s="10" t="s">
        <v>999</v>
      </c>
      <c r="AC160" s="10" t="str">
        <f>SUBSTITUTE(SUBSTITUTE(PROPERTIES[[#This Row],[PURCHASECOST_VALUE]], "PURCHASECOST_", ""), "_VALUE", "")</f>
        <v>STEAMENGINE</v>
      </c>
      <c r="AD160" s="2" t="b">
        <v>0</v>
      </c>
      <c r="AV160"/>
      <c r="AW160"/>
      <c r="AX160"/>
    </row>
    <row r="161" spans="1:50">
      <c r="A161" s="2" t="s">
        <v>185</v>
      </c>
      <c r="B161">
        <v>1946</v>
      </c>
      <c r="C161">
        <v>0</v>
      </c>
      <c r="D161" t="s">
        <v>1853</v>
      </c>
      <c r="E161" t="str">
        <f>_xlfn.XLOOKUP(PROPERTIES[[#This Row],[COUNTRY]],COUNTRIES[COUNTRY_DESCRIPTION],COUNTRIES[COUNTRY_LABEL],"")</f>
        <v>CZ</v>
      </c>
      <c r="F161" t="s">
        <v>23</v>
      </c>
      <c r="G161" t="s">
        <v>20</v>
      </c>
      <c r="H161">
        <v>0</v>
      </c>
      <c r="I161">
        <v>5</v>
      </c>
      <c r="J161">
        <v>6</v>
      </c>
      <c r="K161" s="2" t="s">
        <v>24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4">
        <v>143.69999999999999</v>
      </c>
      <c r="P161">
        <v>1857</v>
      </c>
      <c r="Q161">
        <v>80</v>
      </c>
      <c r="R161" s="31">
        <v>200</v>
      </c>
      <c r="S161" s="30">
        <f>IFERROR(PROPERTIES[[#This Row],[TE_STARTING_KN]]/(PROPERTIES[[#This Row],[WEIGHT]]*9.81),0)</f>
        <v>0.14187445954698066</v>
      </c>
      <c r="T161" s="30">
        <v>0.2</v>
      </c>
      <c r="U161" s="27">
        <f>ROUND(IF(IFERROR(PROPERTIES[[#This Row],[TE_COEFFICIENT_CALC]],0)=0,PROPERTIES[[#This Row],[TE_COEFFICIENT_MANUAL]],PROPERTIES[[#This Row],[TE_COEFFICIENT_CALC]]),3)</f>
        <v>0.14199999999999999</v>
      </c>
      <c r="V161" s="6">
        <v>40</v>
      </c>
      <c r="W161" s="10">
        <v>0</v>
      </c>
      <c r="X161" s="10">
        <v>3</v>
      </c>
      <c r="Y161" s="10"/>
      <c r="Z161" t="str">
        <f>"RUNNING_COST_"&amp;IF(PROPERTIES[[#This Row],[ENGINE_CLASS]]="MAGLEV","ELECTRIC",PROPERTIES[[#This Row],[ENGINE_CLASS]])</f>
        <v>RUNNING_COST_STEAM</v>
      </c>
      <c r="AA161" s="10" t="s">
        <v>998</v>
      </c>
      <c r="AB161" s="10" t="s">
        <v>999</v>
      </c>
      <c r="AC161" s="10" t="str">
        <f>SUBSTITUTE(SUBSTITUTE(PROPERTIES[[#This Row],[PURCHASECOST_VALUE]], "PURCHASECOST_", ""), "_VALUE", "")</f>
        <v>STEAMENGINE</v>
      </c>
      <c r="AD161" s="2" t="b">
        <v>0</v>
      </c>
      <c r="AV161"/>
      <c r="AW161"/>
      <c r="AX161"/>
    </row>
    <row r="162" spans="1:50">
      <c r="A162" s="2" t="s">
        <v>186</v>
      </c>
      <c r="B162">
        <v>1951</v>
      </c>
      <c r="C162">
        <v>0</v>
      </c>
      <c r="D162" t="s">
        <v>1975</v>
      </c>
      <c r="E162" t="str">
        <f>_xlfn.XLOOKUP(PROPERTIES[[#This Row],[COUNTRY]],COUNTRIES[COUNTRY_DESCRIPTION],COUNTRIES[COUNTRY_LABEL],"")</f>
        <v>PL</v>
      </c>
      <c r="F162" t="s">
        <v>23</v>
      </c>
      <c r="G162" t="s">
        <v>20</v>
      </c>
      <c r="H162">
        <v>0</v>
      </c>
      <c r="I162">
        <v>7</v>
      </c>
      <c r="J162">
        <v>8</v>
      </c>
      <c r="K162" s="2" t="s">
        <v>24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4">
        <v>144.9</v>
      </c>
      <c r="P162">
        <v>1290</v>
      </c>
      <c r="Q162">
        <v>100</v>
      </c>
      <c r="R162" s="31">
        <v>125</v>
      </c>
      <c r="S162" s="30">
        <f>IFERROR(PROPERTIES[[#This Row],[TE_STARTING_KN]]/(PROPERTIES[[#This Row],[WEIGHT]]*9.81),0)</f>
        <v>8.7937197364135272E-2</v>
      </c>
      <c r="T162" s="30">
        <v>0.1</v>
      </c>
      <c r="U162" s="27">
        <f>ROUND(IF(IFERROR(PROPERTIES[[#This Row],[TE_COEFFICIENT_CALC]],0)=0,PROPERTIES[[#This Row],[TE_COEFFICIENT_MANUAL]],PROPERTIES[[#This Row],[TE_COEFFICIENT_CALC]]),3)</f>
        <v>8.7999999999999995E-2</v>
      </c>
      <c r="V162" s="6">
        <v>40</v>
      </c>
      <c r="W162" s="10">
        <v>0</v>
      </c>
      <c r="X162" s="10">
        <v>4</v>
      </c>
      <c r="Y162" s="10"/>
      <c r="Z162" t="str">
        <f>"RUNNING_COST_"&amp;IF(PROPERTIES[[#This Row],[ENGINE_CLASS]]="MAGLEV","ELECTRIC",PROPERTIES[[#This Row],[ENGINE_CLASS]])</f>
        <v>RUNNING_COST_STEAM</v>
      </c>
      <c r="AA162" s="10" t="s">
        <v>998</v>
      </c>
      <c r="AB162" s="10" t="s">
        <v>999</v>
      </c>
      <c r="AC162" s="10" t="str">
        <f>SUBSTITUTE(SUBSTITUTE(PROPERTIES[[#This Row],[PURCHASECOST_VALUE]], "PURCHASECOST_", ""), "_VALUE", "")</f>
        <v>STEAMENGINE</v>
      </c>
      <c r="AD162" s="2" t="b">
        <v>0</v>
      </c>
      <c r="AV162"/>
      <c r="AW162"/>
      <c r="AX162"/>
    </row>
    <row r="163" spans="1:50">
      <c r="A163" s="2" t="s">
        <v>187</v>
      </c>
      <c r="B163">
        <v>1911</v>
      </c>
      <c r="C163">
        <v>0</v>
      </c>
      <c r="D163" t="s">
        <v>1809</v>
      </c>
      <c r="E163" t="str">
        <f>_xlfn.XLOOKUP(PROPERTIES[[#This Row],[COUNTRY]],COUNTRIES[COUNTRY_DESCRIPTION],COUNTRIES[COUNTRY_LABEL],"")</f>
        <v>AT</v>
      </c>
      <c r="F163" t="s">
        <v>23</v>
      </c>
      <c r="G163" t="s">
        <v>20</v>
      </c>
      <c r="H163">
        <v>0</v>
      </c>
      <c r="I163">
        <v>7</v>
      </c>
      <c r="J163">
        <v>8</v>
      </c>
      <c r="K163" s="2" t="s">
        <v>24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4">
        <v>138</v>
      </c>
      <c r="P163">
        <v>1885</v>
      </c>
      <c r="Q163">
        <v>100</v>
      </c>
      <c r="R163" s="31">
        <v>96.39</v>
      </c>
      <c r="S163" s="30">
        <f>IFERROR(PROPERTIES[[#This Row],[TE_STARTING_KN]]/(PROPERTIES[[#This Row],[WEIGHT]]*9.81),0)</f>
        <v>7.1200638213003598E-2</v>
      </c>
      <c r="T163" s="30">
        <v>0.17</v>
      </c>
      <c r="U163" s="27">
        <f>ROUND(IF(IFERROR(PROPERTIES[[#This Row],[TE_COEFFICIENT_CALC]],0)=0,PROPERTIES[[#This Row],[TE_COEFFICIENT_MANUAL]],PROPERTIES[[#This Row],[TE_COEFFICIENT_CALC]]),3)</f>
        <v>7.0999999999999994E-2</v>
      </c>
      <c r="V163" s="6">
        <v>40</v>
      </c>
      <c r="W163" s="10">
        <v>0</v>
      </c>
      <c r="X163" s="10">
        <v>4</v>
      </c>
      <c r="Y163" s="10"/>
      <c r="Z163" t="str">
        <f>"RUNNING_COST_"&amp;IF(PROPERTIES[[#This Row],[ENGINE_CLASS]]="MAGLEV","ELECTRIC",PROPERTIES[[#This Row],[ENGINE_CLASS]])</f>
        <v>RUNNING_COST_STEAM</v>
      </c>
      <c r="AA163" s="10" t="s">
        <v>998</v>
      </c>
      <c r="AB163" s="10" t="s">
        <v>999</v>
      </c>
      <c r="AC163" s="10" t="str">
        <f>SUBSTITUTE(SUBSTITUTE(PROPERTIES[[#This Row],[PURCHASECOST_VALUE]], "PURCHASECOST_", ""), "_VALUE", "")</f>
        <v>STEAMENGINE</v>
      </c>
      <c r="AD163" s="2" t="b">
        <v>0</v>
      </c>
      <c r="AV163"/>
      <c r="AW163"/>
      <c r="AX163"/>
    </row>
    <row r="164" spans="1:50">
      <c r="A164" s="2" t="s">
        <v>188</v>
      </c>
      <c r="B164">
        <v>1941</v>
      </c>
      <c r="C164">
        <v>0</v>
      </c>
      <c r="D164" t="s">
        <v>2029</v>
      </c>
      <c r="E164" t="str">
        <f>_xlfn.XLOOKUP(PROPERTIES[[#This Row],[COUNTRY]],COUNTRIES[COUNTRY_DESCRIPTION],COUNTRIES[COUNTRY_LABEL],"")</f>
        <v>US</v>
      </c>
      <c r="F164" t="s">
        <v>23</v>
      </c>
      <c r="G164" t="s">
        <v>20</v>
      </c>
      <c r="H164">
        <v>0</v>
      </c>
      <c r="I164">
        <v>8</v>
      </c>
      <c r="J164">
        <v>12</v>
      </c>
      <c r="K164" s="2" t="s">
        <v>24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4">
        <v>390</v>
      </c>
      <c r="P164">
        <v>5500</v>
      </c>
      <c r="Q164">
        <v>177</v>
      </c>
      <c r="R164" s="31">
        <v>349.85</v>
      </c>
      <c r="S164" s="30">
        <f>IFERROR(PROPERTIES[[#This Row],[TE_STARTING_KN]]/(PROPERTIES[[#This Row],[WEIGHT]]*9.81),0)</f>
        <v>9.1442536396664845E-2</v>
      </c>
      <c r="T164" s="30">
        <v>0.09</v>
      </c>
      <c r="U164" s="27">
        <f>ROUND(IF(IFERROR(PROPERTIES[[#This Row],[TE_COEFFICIENT_CALC]],0)=0,PROPERTIES[[#This Row],[TE_COEFFICIENT_MANUAL]],PROPERTIES[[#This Row],[TE_COEFFICIENT_CALC]]),3)</f>
        <v>9.0999999999999998E-2</v>
      </c>
      <c r="V164" s="6">
        <v>40</v>
      </c>
      <c r="W164" s="10">
        <v>0</v>
      </c>
      <c r="X164" s="10">
        <v>6</v>
      </c>
      <c r="Y164" s="10"/>
      <c r="Z164" t="str">
        <f>"RUNNING_COST_"&amp;IF(PROPERTIES[[#This Row],[ENGINE_CLASS]]="MAGLEV","ELECTRIC",PROPERTIES[[#This Row],[ENGINE_CLASS]])</f>
        <v>RUNNING_COST_STEAM</v>
      </c>
      <c r="AA164" s="10" t="s">
        <v>998</v>
      </c>
      <c r="AB164" s="10" t="s">
        <v>999</v>
      </c>
      <c r="AC164" s="10" t="str">
        <f>SUBSTITUTE(SUBSTITUTE(PROPERTIES[[#This Row],[PURCHASECOST_VALUE]], "PURCHASECOST_", ""), "_VALUE", "")</f>
        <v>STEAMENGINE</v>
      </c>
      <c r="AD164" s="2" t="b">
        <v>0</v>
      </c>
      <c r="AV164"/>
      <c r="AW164"/>
      <c r="AX164"/>
    </row>
    <row r="165" spans="1:50">
      <c r="A165" s="2" t="s">
        <v>189</v>
      </c>
      <c r="B165">
        <v>1866</v>
      </c>
      <c r="C165">
        <v>0</v>
      </c>
      <c r="D165" t="s">
        <v>1898</v>
      </c>
      <c r="E165" t="str">
        <f>_xlfn.XLOOKUP(PROPERTIES[[#This Row],[COUNTRY]],COUNTRIES[COUNTRY_DESCRIPTION],COUNTRIES[COUNTRY_LABEL],"")</f>
        <v>IE</v>
      </c>
      <c r="F165" t="s">
        <v>23</v>
      </c>
      <c r="G165" t="s">
        <v>20</v>
      </c>
      <c r="H165">
        <v>0</v>
      </c>
      <c r="I165">
        <v>5</v>
      </c>
      <c r="J165">
        <v>6</v>
      </c>
      <c r="K165" s="2" t="s">
        <v>20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4">
        <v>74.5</v>
      </c>
      <c r="P165">
        <v>650</v>
      </c>
      <c r="Q165">
        <v>60</v>
      </c>
      <c r="R165" s="31">
        <v>76.400000000000006</v>
      </c>
      <c r="S165" s="30">
        <f>IFERROR(PROPERTIES[[#This Row],[TE_STARTING_KN]]/(PROPERTIES[[#This Row],[WEIGHT]]*9.81),0)</f>
        <v>0.10453652963350643</v>
      </c>
      <c r="T165" s="30">
        <v>0.13</v>
      </c>
      <c r="U165" s="27">
        <f>ROUND(IF(IFERROR(PROPERTIES[[#This Row],[TE_COEFFICIENT_CALC]],0)=0,PROPERTIES[[#This Row],[TE_COEFFICIENT_MANUAL]],PROPERTIES[[#This Row],[TE_COEFFICIENT_CALC]]),3)</f>
        <v>0.105</v>
      </c>
      <c r="V165" s="6">
        <v>40</v>
      </c>
      <c r="W165" s="10">
        <v>0</v>
      </c>
      <c r="X165" s="10">
        <v>3</v>
      </c>
      <c r="Y165" s="10"/>
      <c r="Z165" t="str">
        <f>"RUNNING_COST_"&amp;IF(PROPERTIES[[#This Row],[ENGINE_CLASS]]="MAGLEV","ELECTRIC",PROPERTIES[[#This Row],[ENGINE_CLASS]])</f>
        <v>RUNNING_COST_STEAM</v>
      </c>
      <c r="AA165" s="10" t="s">
        <v>998</v>
      </c>
      <c r="AB165" s="10" t="s">
        <v>999</v>
      </c>
      <c r="AC165" s="10" t="str">
        <f>SUBSTITUTE(SUBSTITUTE(PROPERTIES[[#This Row],[PURCHASECOST_VALUE]], "PURCHASECOST_", ""), "_VALUE", "")</f>
        <v>STEAMENGINE</v>
      </c>
      <c r="AD165" s="2" t="b">
        <v>0</v>
      </c>
      <c r="AV165"/>
      <c r="AW165"/>
      <c r="AX165"/>
    </row>
    <row r="166" spans="1:50">
      <c r="A166" s="2" t="s">
        <v>190</v>
      </c>
      <c r="B166">
        <v>1914</v>
      </c>
      <c r="C166">
        <v>0</v>
      </c>
      <c r="D166" t="s">
        <v>2029</v>
      </c>
      <c r="E166" t="str">
        <f>_xlfn.XLOOKUP(PROPERTIES[[#This Row],[COUNTRY]],COUNTRIES[COUNTRY_DESCRIPTION],COUNTRIES[COUNTRY_LABEL],"")</f>
        <v>US</v>
      </c>
      <c r="F166" t="s">
        <v>23</v>
      </c>
      <c r="G166" t="s">
        <v>20</v>
      </c>
      <c r="H166">
        <v>0</v>
      </c>
      <c r="I166">
        <v>6</v>
      </c>
      <c r="J166">
        <v>8</v>
      </c>
      <c r="K166" s="2" t="s">
        <v>20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4">
        <v>217</v>
      </c>
      <c r="P166">
        <v>2990</v>
      </c>
      <c r="Q166">
        <v>96</v>
      </c>
      <c r="R166" s="31">
        <v>243.42</v>
      </c>
      <c r="S166" s="30">
        <f>IFERROR(PROPERTIES[[#This Row],[TE_STARTING_KN]]/(PROPERTIES[[#This Row],[WEIGHT]]*9.81),0)</f>
        <v>0.11434772192392789</v>
      </c>
      <c r="T166" s="30">
        <v>0.11</v>
      </c>
      <c r="U166" s="27">
        <f>ROUND(IF(IFERROR(PROPERTIES[[#This Row],[TE_COEFFICIENT_CALC]],0)=0,PROPERTIES[[#This Row],[TE_COEFFICIENT_MANUAL]],PROPERTIES[[#This Row],[TE_COEFFICIENT_CALC]]),3)</f>
        <v>0.114</v>
      </c>
      <c r="V166" s="6">
        <v>40</v>
      </c>
      <c r="W166" s="10">
        <v>0</v>
      </c>
      <c r="X166" s="10">
        <v>4</v>
      </c>
      <c r="Y166" s="10"/>
      <c r="Z166" t="str">
        <f>"RUNNING_COST_"&amp;IF(PROPERTIES[[#This Row],[ENGINE_CLASS]]="MAGLEV","ELECTRIC",PROPERTIES[[#This Row],[ENGINE_CLASS]])</f>
        <v>RUNNING_COST_STEAM</v>
      </c>
      <c r="AA166" s="10" t="s">
        <v>998</v>
      </c>
      <c r="AB166" s="10" t="s">
        <v>999</v>
      </c>
      <c r="AC166" s="10" t="str">
        <f>SUBSTITUTE(SUBSTITUTE(PROPERTIES[[#This Row],[PURCHASECOST_VALUE]], "PURCHASECOST_", ""), "_VALUE", "")</f>
        <v>STEAMENGINE</v>
      </c>
      <c r="AD166" s="2" t="b">
        <v>0</v>
      </c>
      <c r="AV166"/>
      <c r="AW166"/>
      <c r="AX166"/>
    </row>
    <row r="167" spans="1:50">
      <c r="A167" s="2" t="s">
        <v>191</v>
      </c>
      <c r="B167">
        <v>1871</v>
      </c>
      <c r="C167">
        <v>0</v>
      </c>
      <c r="D167" t="s">
        <v>1807</v>
      </c>
      <c r="E167" t="str">
        <f>_xlfn.XLOOKUP(PROPERTIES[[#This Row],[COUNTRY]],COUNTRIES[COUNTRY_DESCRIPTION],COUNTRIES[COUNTRY_LABEL],"")</f>
        <v>AR</v>
      </c>
      <c r="F167" t="s">
        <v>23</v>
      </c>
      <c r="G167" t="s">
        <v>20</v>
      </c>
      <c r="H167">
        <v>0</v>
      </c>
      <c r="I167">
        <v>4</v>
      </c>
      <c r="J167">
        <v>4</v>
      </c>
      <c r="K167" s="2" t="s">
        <v>20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4">
        <v>48</v>
      </c>
      <c r="P167">
        <v>145</v>
      </c>
      <c r="Q167">
        <v>45</v>
      </c>
      <c r="R167" s="31">
        <v>62</v>
      </c>
      <c r="S167" s="30">
        <f>IFERROR(PROPERTIES[[#This Row],[TE_STARTING_KN]]/(PROPERTIES[[#This Row],[WEIGHT]]*9.81),0)</f>
        <v>0.13166836561331974</v>
      </c>
      <c r="T167" s="30">
        <v>0.04</v>
      </c>
      <c r="U167" s="27">
        <f>ROUND(IF(IFERROR(PROPERTIES[[#This Row],[TE_COEFFICIENT_CALC]],0)=0,PROPERTIES[[#This Row],[TE_COEFFICIENT_MANUAL]],PROPERTIES[[#This Row],[TE_COEFFICIENT_CALC]]),3)</f>
        <v>0.13200000000000001</v>
      </c>
      <c r="V167" s="6">
        <v>40</v>
      </c>
      <c r="W167" s="10">
        <v>0</v>
      </c>
      <c r="X167" s="10">
        <v>0</v>
      </c>
      <c r="Y167" s="10"/>
      <c r="Z167" t="str">
        <f>"RUNNING_COST_"&amp;IF(PROPERTIES[[#This Row],[ENGINE_CLASS]]="MAGLEV","ELECTRIC",PROPERTIES[[#This Row],[ENGINE_CLASS]])</f>
        <v>RUNNING_COST_STEAM</v>
      </c>
      <c r="AA167" s="10" t="s">
        <v>998</v>
      </c>
      <c r="AB167" s="10" t="s">
        <v>999</v>
      </c>
      <c r="AC167" s="10" t="str">
        <f>SUBSTITUTE(SUBSTITUTE(PROPERTIES[[#This Row],[PURCHASECOST_VALUE]], "PURCHASECOST_", ""), "_VALUE", "")</f>
        <v>STEAMENGINE</v>
      </c>
      <c r="AD167" s="2" t="b">
        <v>0</v>
      </c>
      <c r="AV167"/>
      <c r="AW167"/>
      <c r="AX167"/>
    </row>
    <row r="168" spans="1:50">
      <c r="A168" s="2" t="s">
        <v>192</v>
      </c>
      <c r="B168">
        <v>1914</v>
      </c>
      <c r="C168">
        <v>0</v>
      </c>
      <c r="D168" t="s">
        <v>1810</v>
      </c>
      <c r="E168" t="str">
        <f>_xlfn.XLOOKUP(PROPERTIES[[#This Row],[COUNTRY]],COUNTRIES[COUNTRY_DESCRIPTION],COUNTRIES[COUNTRY_LABEL],"")</f>
        <v>AU</v>
      </c>
      <c r="F168" t="s">
        <v>23</v>
      </c>
      <c r="G168" t="s">
        <v>20</v>
      </c>
      <c r="H168">
        <v>0</v>
      </c>
      <c r="I168">
        <v>6</v>
      </c>
      <c r="J168">
        <v>8</v>
      </c>
      <c r="K168" s="2" t="s">
        <v>20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4">
        <v>126</v>
      </c>
      <c r="P168">
        <v>1400</v>
      </c>
      <c r="Q168">
        <v>80</v>
      </c>
      <c r="R168" s="31">
        <v>129.80000000000001</v>
      </c>
      <c r="S168" s="30">
        <f>IFERROR(PROPERTIES[[#This Row],[TE_STARTING_KN]]/(PROPERTIES[[#This Row],[WEIGHT]]*9.81),0)</f>
        <v>0.10501108360435576</v>
      </c>
      <c r="T168" s="30">
        <v>0.1</v>
      </c>
      <c r="U168" s="27">
        <f>ROUND(IF(IFERROR(PROPERTIES[[#This Row],[TE_COEFFICIENT_CALC]],0)=0,PROPERTIES[[#This Row],[TE_COEFFICIENT_MANUAL]],PROPERTIES[[#This Row],[TE_COEFFICIENT_CALC]]),3)</f>
        <v>0.105</v>
      </c>
      <c r="V168" s="6">
        <v>40</v>
      </c>
      <c r="W168" s="10">
        <v>0</v>
      </c>
      <c r="X168" s="10">
        <v>4</v>
      </c>
      <c r="Y168" s="10"/>
      <c r="Z168" t="str">
        <f>"RUNNING_COST_"&amp;IF(PROPERTIES[[#This Row],[ENGINE_CLASS]]="MAGLEV","ELECTRIC",PROPERTIES[[#This Row],[ENGINE_CLASS]])</f>
        <v>RUNNING_COST_STEAM</v>
      </c>
      <c r="AA168" s="10" t="s">
        <v>998</v>
      </c>
      <c r="AB168" s="10" t="s">
        <v>999</v>
      </c>
      <c r="AC168" s="10" t="str">
        <f>SUBSTITUTE(SUBSTITUTE(PROPERTIES[[#This Row],[PURCHASECOST_VALUE]], "PURCHASECOST_", ""), "_VALUE", "")</f>
        <v>STEAMENGINE</v>
      </c>
      <c r="AD168" s="2" t="b">
        <v>0</v>
      </c>
      <c r="AV168"/>
      <c r="AW168"/>
      <c r="AX168"/>
    </row>
    <row r="169" spans="1:50">
      <c r="A169" s="2" t="s">
        <v>193</v>
      </c>
      <c r="B169">
        <v>1945</v>
      </c>
      <c r="C169">
        <v>0</v>
      </c>
      <c r="D169" t="s">
        <v>1817</v>
      </c>
      <c r="E169" t="str">
        <f>_xlfn.XLOOKUP(PROPERTIES[[#This Row],[COUNTRY]],COUNTRIES[COUNTRY_DESCRIPTION],COUNTRIES[COUNTRY_LABEL],"")</f>
        <v>BE</v>
      </c>
      <c r="F169" t="s">
        <v>23</v>
      </c>
      <c r="G169" t="s">
        <v>20</v>
      </c>
      <c r="H169">
        <v>0</v>
      </c>
      <c r="I169">
        <v>7</v>
      </c>
      <c r="J169">
        <v>8</v>
      </c>
      <c r="K169" s="2" t="s">
        <v>20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4">
        <v>127</v>
      </c>
      <c r="P169">
        <v>1970</v>
      </c>
      <c r="Q169">
        <v>96</v>
      </c>
      <c r="R169" s="31">
        <v>138</v>
      </c>
      <c r="S169" s="30">
        <f>IFERROR(PROPERTIES[[#This Row],[TE_STARTING_KN]]/(PROPERTIES[[#This Row],[WEIGHT]]*9.81),0)</f>
        <v>0.11076597076741553</v>
      </c>
      <c r="T169" s="30">
        <v>0.15</v>
      </c>
      <c r="U169" s="27">
        <f>ROUND(IF(IFERROR(PROPERTIES[[#This Row],[TE_COEFFICIENT_CALC]],0)=0,PROPERTIES[[#This Row],[TE_COEFFICIENT_MANUAL]],PROPERTIES[[#This Row],[TE_COEFFICIENT_CALC]]),3)</f>
        <v>0.111</v>
      </c>
      <c r="V169" s="6">
        <v>40</v>
      </c>
      <c r="W169" s="10">
        <v>0</v>
      </c>
      <c r="X169" s="10">
        <v>4</v>
      </c>
      <c r="Y169" s="10"/>
      <c r="Z169" t="str">
        <f>"RUNNING_COST_"&amp;IF(PROPERTIES[[#This Row],[ENGINE_CLASS]]="MAGLEV","ELECTRIC",PROPERTIES[[#This Row],[ENGINE_CLASS]])</f>
        <v>RUNNING_COST_STEAM</v>
      </c>
      <c r="AA169" s="10" t="s">
        <v>998</v>
      </c>
      <c r="AB169" s="10" t="s">
        <v>999</v>
      </c>
      <c r="AC169" s="10" t="str">
        <f>SUBSTITUTE(SUBSTITUTE(PROPERTIES[[#This Row],[PURCHASECOST_VALUE]], "PURCHASECOST_", ""), "_VALUE", "")</f>
        <v>STEAMENGINE</v>
      </c>
      <c r="AD169" s="2" t="b">
        <v>0</v>
      </c>
      <c r="AV169"/>
      <c r="AW169"/>
      <c r="AX169"/>
    </row>
    <row r="170" spans="1:50">
      <c r="A170" s="2" t="s">
        <v>194</v>
      </c>
      <c r="B170">
        <v>1954</v>
      </c>
      <c r="C170">
        <v>0</v>
      </c>
      <c r="D170" t="s">
        <v>1843</v>
      </c>
      <c r="E170" t="str">
        <f>_xlfn.XLOOKUP(PROPERTIES[[#This Row],[COUNTRY]],COUNTRIES[COUNTRY_DESCRIPTION],COUNTRIES[COUNTRY_LABEL],"")</f>
        <v>CL</v>
      </c>
      <c r="F170" t="s">
        <v>23</v>
      </c>
      <c r="G170" t="s">
        <v>20</v>
      </c>
      <c r="H170">
        <v>0</v>
      </c>
      <c r="I170">
        <v>7</v>
      </c>
      <c r="J170">
        <v>8</v>
      </c>
      <c r="K170" s="2" t="s">
        <v>20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4">
        <v>146</v>
      </c>
      <c r="P170">
        <v>1457</v>
      </c>
      <c r="Q170">
        <v>85</v>
      </c>
      <c r="R170" s="31">
        <v>151</v>
      </c>
      <c r="S170" s="30">
        <f>IFERROR(PROPERTIES[[#This Row],[TE_STARTING_KN]]/(PROPERTIES[[#This Row],[WEIGHT]]*9.81),0)</f>
        <v>0.10542778545794758</v>
      </c>
      <c r="T170" s="30">
        <v>0.1</v>
      </c>
      <c r="U170" s="27">
        <f>ROUND(IF(IFERROR(PROPERTIES[[#This Row],[TE_COEFFICIENT_CALC]],0)=0,PROPERTIES[[#This Row],[TE_COEFFICIENT_MANUAL]],PROPERTIES[[#This Row],[TE_COEFFICIENT_CALC]]),3)</f>
        <v>0.105</v>
      </c>
      <c r="V170" s="6">
        <v>40</v>
      </c>
      <c r="W170" s="10">
        <v>0</v>
      </c>
      <c r="X170" s="10">
        <v>4</v>
      </c>
      <c r="Y170" s="10"/>
      <c r="Z170" t="str">
        <f>"RUNNING_COST_"&amp;IF(PROPERTIES[[#This Row],[ENGINE_CLASS]]="MAGLEV","ELECTRIC",PROPERTIES[[#This Row],[ENGINE_CLASS]])</f>
        <v>RUNNING_COST_STEAM</v>
      </c>
      <c r="AA170" s="10" t="s">
        <v>998</v>
      </c>
      <c r="AB170" s="10" t="s">
        <v>999</v>
      </c>
      <c r="AC170" s="10" t="str">
        <f>SUBSTITUTE(SUBSTITUTE(PROPERTIES[[#This Row],[PURCHASECOST_VALUE]], "PURCHASECOST_", ""), "_VALUE", "")</f>
        <v>STEAMENGINE</v>
      </c>
      <c r="AD170" s="2" t="b">
        <v>0</v>
      </c>
      <c r="AV170"/>
      <c r="AW170"/>
      <c r="AX170"/>
    </row>
    <row r="171" spans="1:50">
      <c r="A171" s="2" t="s">
        <v>195</v>
      </c>
      <c r="B171">
        <v>1956</v>
      </c>
      <c r="C171">
        <v>0</v>
      </c>
      <c r="D171" t="s">
        <v>1845</v>
      </c>
      <c r="E171" t="str">
        <f>_xlfn.XLOOKUP(PROPERTIES[[#This Row],[COUNTRY]],COUNTRIES[COUNTRY_DESCRIPTION],COUNTRIES[COUNTRY_LABEL],"")</f>
        <v>CN</v>
      </c>
      <c r="F171" t="s">
        <v>23</v>
      </c>
      <c r="G171" t="s">
        <v>20</v>
      </c>
      <c r="H171">
        <v>0</v>
      </c>
      <c r="I171">
        <v>8</v>
      </c>
      <c r="J171">
        <v>12</v>
      </c>
      <c r="K171" s="2" t="s">
        <v>24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4">
        <v>203.2</v>
      </c>
      <c r="P171">
        <v>2980</v>
      </c>
      <c r="Q171">
        <v>80</v>
      </c>
      <c r="R171" s="31">
        <v>281.75</v>
      </c>
      <c r="S171" s="30">
        <f>IFERROR(PROPERTIES[[#This Row],[TE_STARTING_KN]]/(PROPERTIES[[#This Row],[WEIGHT]]*9.81),0)</f>
        <v>0.1413419939480042</v>
      </c>
      <c r="T171" s="30">
        <v>0.21</v>
      </c>
      <c r="U171" s="27">
        <f>ROUND(IF(IFERROR(PROPERTIES[[#This Row],[TE_COEFFICIENT_CALC]],0)=0,PROPERTIES[[#This Row],[TE_COEFFICIENT_MANUAL]],PROPERTIES[[#This Row],[TE_COEFFICIENT_CALC]]),3)</f>
        <v>0.14099999999999999</v>
      </c>
      <c r="V171" s="6">
        <v>40</v>
      </c>
      <c r="W171" s="10">
        <v>0</v>
      </c>
      <c r="X171" s="10">
        <v>6</v>
      </c>
      <c r="Y171" s="10"/>
      <c r="Z171" t="str">
        <f>"RUNNING_COST_"&amp;IF(PROPERTIES[[#This Row],[ENGINE_CLASS]]="MAGLEV","ELECTRIC",PROPERTIES[[#This Row],[ENGINE_CLASS]])</f>
        <v>RUNNING_COST_STEAM</v>
      </c>
      <c r="AA171" s="10" t="s">
        <v>998</v>
      </c>
      <c r="AB171" s="10" t="s">
        <v>999</v>
      </c>
      <c r="AC171" s="10" t="str">
        <f>SUBSTITUTE(SUBSTITUTE(PROPERTIES[[#This Row],[PURCHASECOST_VALUE]], "PURCHASECOST_", ""), "_VALUE", "")</f>
        <v>STEAMENGINE</v>
      </c>
      <c r="AD171" s="2" t="b">
        <v>0</v>
      </c>
      <c r="AV171"/>
      <c r="AW171"/>
      <c r="AX171"/>
    </row>
    <row r="172" spans="1:50">
      <c r="A172" s="2" t="s">
        <v>196</v>
      </c>
      <c r="B172">
        <v>1930</v>
      </c>
      <c r="C172">
        <v>0</v>
      </c>
      <c r="D172" t="s">
        <v>1854</v>
      </c>
      <c r="E172" t="str">
        <f>_xlfn.XLOOKUP(PROPERTIES[[#This Row],[COUNTRY]],COUNTRIES[COUNTRY_DESCRIPTION],COUNTRIES[COUNTRY_LABEL],"")</f>
        <v>DE</v>
      </c>
      <c r="F172" t="s">
        <v>35</v>
      </c>
      <c r="G172" t="s">
        <v>20</v>
      </c>
      <c r="H172">
        <v>0</v>
      </c>
      <c r="I172">
        <v>4</v>
      </c>
      <c r="J172">
        <v>4</v>
      </c>
      <c r="K172" s="2" t="s">
        <v>20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4">
        <v>15</v>
      </c>
      <c r="P172">
        <v>60</v>
      </c>
      <c r="Q172">
        <v>30</v>
      </c>
      <c r="R172" s="31">
        <v>30</v>
      </c>
      <c r="S172" s="30">
        <f>IFERROR(PROPERTIES[[#This Row],[TE_STARTING_KN]]/(PROPERTIES[[#This Row],[WEIGHT]]*9.81),0)</f>
        <v>0.2038735983690112</v>
      </c>
      <c r="T172" s="30">
        <v>0.39</v>
      </c>
      <c r="U172" s="27">
        <f>ROUND(IF(IFERROR(PROPERTIES[[#This Row],[TE_COEFFICIENT_CALC]],0)=0,PROPERTIES[[#This Row],[TE_COEFFICIENT_MANUAL]],PROPERTIES[[#This Row],[TE_COEFFICIENT_CALC]]),3)</f>
        <v>0.20399999999999999</v>
      </c>
      <c r="V172" s="6">
        <v>40</v>
      </c>
      <c r="W172" s="10">
        <v>0</v>
      </c>
      <c r="X172" s="10">
        <v>0</v>
      </c>
      <c r="Y172" s="10"/>
      <c r="Z172" t="str">
        <f>"RUNNING_COST_"&amp;IF(PROPERTIES[[#This Row],[ENGINE_CLASS]]="MAGLEV","ELECTRIC",PROPERTIES[[#This Row],[ENGINE_CLASS]])</f>
        <v>RUNNING_COST_DIESEL</v>
      </c>
      <c r="AA172" s="10" t="s">
        <v>1000</v>
      </c>
      <c r="AB172" s="10" t="s">
        <v>1001</v>
      </c>
      <c r="AC172" s="10" t="str">
        <f>SUBSTITUTE(SUBSTITUTE(PROPERTIES[[#This Row],[PURCHASECOST_VALUE]], "PURCHASECOST_", ""), "_VALUE", "")</f>
        <v>DIESELENGINE</v>
      </c>
      <c r="AD172" s="2" t="b">
        <v>0</v>
      </c>
      <c r="AV172"/>
      <c r="AW172"/>
      <c r="AX172"/>
    </row>
    <row r="173" spans="1:50">
      <c r="A173" s="2" t="s">
        <v>197</v>
      </c>
      <c r="B173">
        <v>1931</v>
      </c>
      <c r="C173">
        <v>0</v>
      </c>
      <c r="D173" t="s">
        <v>2029</v>
      </c>
      <c r="E173" t="str">
        <f>_xlfn.XLOOKUP(PROPERTIES[[#This Row],[COUNTRY]],COUNTRIES[COUNTRY_DESCRIPTION],COUNTRIES[COUNTRY_LABEL],"")</f>
        <v>US</v>
      </c>
      <c r="F173" t="s">
        <v>35</v>
      </c>
      <c r="G173" t="s">
        <v>20</v>
      </c>
      <c r="H173">
        <v>0</v>
      </c>
      <c r="I173">
        <v>4</v>
      </c>
      <c r="J173">
        <v>4</v>
      </c>
      <c r="K173" s="2" t="s">
        <v>20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4">
        <v>90.7</v>
      </c>
      <c r="P173">
        <v>600</v>
      </c>
      <c r="Q173">
        <v>55</v>
      </c>
      <c r="R173" s="31">
        <v>250</v>
      </c>
      <c r="S173" s="30">
        <f>IFERROR(PROPERTIES[[#This Row],[TE_STARTING_KN]]/(PROPERTIES[[#This Row],[WEIGHT]]*9.81),0)</f>
        <v>0.28097243435641017</v>
      </c>
      <c r="T173" s="30">
        <v>0.11</v>
      </c>
      <c r="U173" s="27">
        <f>ROUND(IF(IFERROR(PROPERTIES[[#This Row],[TE_COEFFICIENT_CALC]],0)=0,PROPERTIES[[#This Row],[TE_COEFFICIENT_MANUAL]],PROPERTIES[[#This Row],[TE_COEFFICIENT_CALC]]),3)</f>
        <v>0.28100000000000003</v>
      </c>
      <c r="V173" s="6">
        <v>40</v>
      </c>
      <c r="W173" s="10">
        <v>0</v>
      </c>
      <c r="X173" s="10">
        <v>0</v>
      </c>
      <c r="Y173" s="10"/>
      <c r="Z173" t="str">
        <f>"RUNNING_COST_"&amp;IF(PROPERTIES[[#This Row],[ENGINE_CLASS]]="MAGLEV","ELECTRIC",PROPERTIES[[#This Row],[ENGINE_CLASS]])</f>
        <v>RUNNING_COST_DIESEL</v>
      </c>
      <c r="AA173" s="10" t="s">
        <v>1000</v>
      </c>
      <c r="AB173" s="10" t="s">
        <v>1001</v>
      </c>
      <c r="AC173" s="10" t="str">
        <f>SUBSTITUTE(SUBSTITUTE(PROPERTIES[[#This Row],[PURCHASECOST_VALUE]], "PURCHASECOST_", ""), "_VALUE", "")</f>
        <v>DIESELENGINE</v>
      </c>
      <c r="AD173" s="2" t="b">
        <v>0</v>
      </c>
      <c r="AV173"/>
      <c r="AW173"/>
      <c r="AX173"/>
    </row>
    <row r="174" spans="1:50">
      <c r="A174" s="2" t="s">
        <v>198</v>
      </c>
      <c r="B174">
        <v>1934</v>
      </c>
      <c r="C174">
        <v>0</v>
      </c>
      <c r="D174" t="s">
        <v>1962</v>
      </c>
      <c r="E174" t="str">
        <f>_xlfn.XLOOKUP(PROPERTIES[[#This Row],[COUNTRY]],COUNTRIES[COUNTRY_DESCRIPTION],COUNTRIES[COUNTRY_LABEL],"")</f>
        <v>NL</v>
      </c>
      <c r="F174" t="s">
        <v>35</v>
      </c>
      <c r="G174" t="s">
        <v>20</v>
      </c>
      <c r="H174">
        <v>0</v>
      </c>
      <c r="I174">
        <v>4</v>
      </c>
      <c r="J174">
        <v>4</v>
      </c>
      <c r="K174" s="2" t="s">
        <v>20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4">
        <v>21</v>
      </c>
      <c r="P174">
        <v>72</v>
      </c>
      <c r="Q174">
        <v>60</v>
      </c>
      <c r="R174" s="31">
        <v>45</v>
      </c>
      <c r="S174" s="30">
        <f>IFERROR(PROPERTIES[[#This Row],[TE_STARTING_KN]]/(PROPERTIES[[#This Row],[WEIGHT]]*9.81),0)</f>
        <v>0.218435998252512</v>
      </c>
      <c r="T174" s="30">
        <v>0.19</v>
      </c>
      <c r="U174" s="27">
        <f>ROUND(IF(IFERROR(PROPERTIES[[#This Row],[TE_COEFFICIENT_CALC]],0)=0,PROPERTIES[[#This Row],[TE_COEFFICIENT_MANUAL]],PROPERTIES[[#This Row],[TE_COEFFICIENT_CALC]]),3)</f>
        <v>0.218</v>
      </c>
      <c r="V174" s="6">
        <v>40</v>
      </c>
      <c r="W174" s="10">
        <v>0</v>
      </c>
      <c r="X174" s="10">
        <v>0</v>
      </c>
      <c r="Y174" s="10"/>
      <c r="Z174" t="str">
        <f>"RUNNING_COST_"&amp;IF(PROPERTIES[[#This Row],[ENGINE_CLASS]]="MAGLEV","ELECTRIC",PROPERTIES[[#This Row],[ENGINE_CLASS]])</f>
        <v>RUNNING_COST_DIESEL</v>
      </c>
      <c r="AA174" s="10" t="s">
        <v>1000</v>
      </c>
      <c r="AB174" s="10" t="s">
        <v>1001</v>
      </c>
      <c r="AC174" s="10" t="str">
        <f>SUBSTITUTE(SUBSTITUTE(PROPERTIES[[#This Row],[PURCHASECOST_VALUE]], "PURCHASECOST_", ""), "_VALUE", "")</f>
        <v>DIESELENGINE</v>
      </c>
      <c r="AD174" s="2" t="b">
        <v>0</v>
      </c>
      <c r="AV174"/>
      <c r="AW174"/>
      <c r="AX174"/>
    </row>
    <row r="175" spans="1:50">
      <c r="A175" s="2" t="s">
        <v>199</v>
      </c>
      <c r="B175">
        <v>1936</v>
      </c>
      <c r="C175">
        <v>0</v>
      </c>
      <c r="D175" t="s">
        <v>1854</v>
      </c>
      <c r="E175" t="str">
        <f>_xlfn.XLOOKUP(PROPERTIES[[#This Row],[COUNTRY]],COUNTRIES[COUNTRY_DESCRIPTION],COUNTRIES[COUNTRY_LABEL],"")</f>
        <v>DE</v>
      </c>
      <c r="F175" t="s">
        <v>35</v>
      </c>
      <c r="G175" t="s">
        <v>20</v>
      </c>
      <c r="H175">
        <v>0</v>
      </c>
      <c r="I175">
        <v>5</v>
      </c>
      <c r="J175">
        <v>5</v>
      </c>
      <c r="K175" s="2" t="s">
        <v>20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4">
        <v>26</v>
      </c>
      <c r="P175">
        <v>200</v>
      </c>
      <c r="Q175">
        <v>55</v>
      </c>
      <c r="R175" s="31">
        <v>68</v>
      </c>
      <c r="S175" s="30">
        <f>IFERROR(PROPERTIES[[#This Row],[TE_STARTING_KN]]/(PROPERTIES[[#This Row],[WEIGHT]]*9.81),0)</f>
        <v>0.26660393632870699</v>
      </c>
      <c r="T175" s="30">
        <v>0.31</v>
      </c>
      <c r="U175" s="27">
        <f>ROUND(IF(IFERROR(PROPERTIES[[#This Row],[TE_COEFFICIENT_CALC]],0)=0,PROPERTIES[[#This Row],[TE_COEFFICIENT_MANUAL]],PROPERTIES[[#This Row],[TE_COEFFICIENT_CALC]]),3)</f>
        <v>0.26700000000000002</v>
      </c>
      <c r="V175" s="6">
        <v>40</v>
      </c>
      <c r="W175" s="10">
        <v>0</v>
      </c>
      <c r="X175" s="10">
        <v>0</v>
      </c>
      <c r="Y175" s="10"/>
      <c r="Z175" t="str">
        <f>"RUNNING_COST_"&amp;IF(PROPERTIES[[#This Row],[ENGINE_CLASS]]="MAGLEV","ELECTRIC",PROPERTIES[[#This Row],[ENGINE_CLASS]])</f>
        <v>RUNNING_COST_DIESEL</v>
      </c>
      <c r="AA175" s="10" t="s">
        <v>1000</v>
      </c>
      <c r="AB175" s="10" t="s">
        <v>1001</v>
      </c>
      <c r="AC175" s="10" t="str">
        <f>SUBSTITUTE(SUBSTITUTE(PROPERTIES[[#This Row],[PURCHASECOST_VALUE]], "PURCHASECOST_", ""), "_VALUE", "")</f>
        <v>DIESELENGINE</v>
      </c>
      <c r="AD175" s="2" t="b">
        <v>0</v>
      </c>
      <c r="AV175"/>
      <c r="AW175"/>
      <c r="AX175"/>
    </row>
    <row r="176" spans="1:50">
      <c r="A176" s="2" t="s">
        <v>200</v>
      </c>
      <c r="B176">
        <v>1941</v>
      </c>
      <c r="C176">
        <v>0</v>
      </c>
      <c r="D176" t="s">
        <v>1840</v>
      </c>
      <c r="E176" t="str">
        <f>_xlfn.XLOOKUP(PROPERTIES[[#This Row],[COUNTRY]],COUNTRIES[COUNTRY_DESCRIPTION],COUNTRIES[COUNTRY_LABEL],"")</f>
        <v>CH</v>
      </c>
      <c r="F176" t="s">
        <v>35</v>
      </c>
      <c r="G176" t="s">
        <v>20</v>
      </c>
      <c r="H176">
        <v>0</v>
      </c>
      <c r="I176">
        <v>8</v>
      </c>
      <c r="J176">
        <v>8</v>
      </c>
      <c r="K176" s="2" t="s">
        <v>20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4">
        <v>92</v>
      </c>
      <c r="P176">
        <v>2170</v>
      </c>
      <c r="Q176">
        <v>110</v>
      </c>
      <c r="R176" s="31">
        <v>127</v>
      </c>
      <c r="S176" s="30">
        <f>IFERROR(PROPERTIES[[#This Row],[TE_STARTING_KN]]/(PROPERTIES[[#This Row],[WEIGHT]]*9.81),0)</f>
        <v>0.14071710322208925</v>
      </c>
      <c r="T176" s="30">
        <v>0.14000000000000001</v>
      </c>
      <c r="U176" s="27">
        <f>ROUND(IF(IFERROR(PROPERTIES[[#This Row],[TE_COEFFICIENT_CALC]],0)=0,PROPERTIES[[#This Row],[TE_COEFFICIENT_MANUAL]],PROPERTIES[[#This Row],[TE_COEFFICIENT_CALC]]),3)</f>
        <v>0.14099999999999999</v>
      </c>
      <c r="V176" s="6">
        <v>40</v>
      </c>
      <c r="W176" s="10">
        <v>0</v>
      </c>
      <c r="X176" s="10">
        <v>0</v>
      </c>
      <c r="Y176" s="10"/>
      <c r="Z176" t="str">
        <f>"RUNNING_COST_"&amp;IF(PROPERTIES[[#This Row],[ENGINE_CLASS]]="MAGLEV","ELECTRIC",PROPERTIES[[#This Row],[ENGINE_CLASS]])</f>
        <v>RUNNING_COST_DIESEL</v>
      </c>
      <c r="AA176" s="10" t="s">
        <v>1000</v>
      </c>
      <c r="AB176" s="10" t="s">
        <v>1001</v>
      </c>
      <c r="AC176" s="10" t="str">
        <f>SUBSTITUTE(SUBSTITUTE(PROPERTIES[[#This Row],[PURCHASECOST_VALUE]], "PURCHASECOST_", ""), "_VALUE", "")</f>
        <v>DIESELENGINE</v>
      </c>
      <c r="AD176" s="2" t="b">
        <v>0</v>
      </c>
      <c r="AV176"/>
      <c r="AW176"/>
      <c r="AX176"/>
    </row>
    <row r="177" spans="1:50">
      <c r="A177" s="2" t="s">
        <v>201</v>
      </c>
      <c r="B177">
        <v>1943</v>
      </c>
      <c r="C177">
        <v>0</v>
      </c>
      <c r="D177" t="s">
        <v>1810</v>
      </c>
      <c r="E177" t="str">
        <f>_xlfn.XLOOKUP(PROPERTIES[[#This Row],[COUNTRY]],COUNTRIES[COUNTRY_DESCRIPTION],COUNTRIES[COUNTRY_LABEL],"")</f>
        <v>AU</v>
      </c>
      <c r="F177" t="s">
        <v>35</v>
      </c>
      <c r="G177" t="s">
        <v>20</v>
      </c>
      <c r="H177">
        <v>0</v>
      </c>
      <c r="I177">
        <v>5</v>
      </c>
      <c r="J177">
        <v>5</v>
      </c>
      <c r="K177" s="2" t="s">
        <v>20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4">
        <v>40</v>
      </c>
      <c r="P177">
        <v>380</v>
      </c>
      <c r="Q177">
        <v>56</v>
      </c>
      <c r="R177" s="31">
        <v>57.83</v>
      </c>
      <c r="S177" s="30">
        <f>IFERROR(PROPERTIES[[#This Row],[TE_STARTING_KN]]/(PROPERTIES[[#This Row],[WEIGHT]]*9.81),0)</f>
        <v>0.14737512742099895</v>
      </c>
      <c r="T177" s="30">
        <v>0.15</v>
      </c>
      <c r="U177" s="27">
        <f>ROUND(IF(IFERROR(PROPERTIES[[#This Row],[TE_COEFFICIENT_CALC]],0)=0,PROPERTIES[[#This Row],[TE_COEFFICIENT_MANUAL]],PROPERTIES[[#This Row],[TE_COEFFICIENT_CALC]]),3)</f>
        <v>0.14699999999999999</v>
      </c>
      <c r="V177" s="6">
        <v>40</v>
      </c>
      <c r="W177" s="10">
        <v>0</v>
      </c>
      <c r="X177" s="10">
        <v>0</v>
      </c>
      <c r="Y177" s="10"/>
      <c r="Z177" t="str">
        <f>"RUNNING_COST_"&amp;IF(PROPERTIES[[#This Row],[ENGINE_CLASS]]="MAGLEV","ELECTRIC",PROPERTIES[[#This Row],[ENGINE_CLASS]])</f>
        <v>RUNNING_COST_DIESEL</v>
      </c>
      <c r="AA177" s="10" t="s">
        <v>1000</v>
      </c>
      <c r="AB177" s="10" t="s">
        <v>1001</v>
      </c>
      <c r="AC177" s="10" t="str">
        <f>SUBSTITUTE(SUBSTITUTE(PROPERTIES[[#This Row],[PURCHASECOST_VALUE]], "PURCHASECOST_", ""), "_VALUE", "")</f>
        <v>DIESELENGINE</v>
      </c>
      <c r="AD177" s="2" t="b">
        <v>0</v>
      </c>
      <c r="AV177"/>
      <c r="AW177"/>
      <c r="AX177"/>
    </row>
    <row r="178" spans="1:50">
      <c r="A178" s="2" t="s">
        <v>202</v>
      </c>
      <c r="B178">
        <v>1940</v>
      </c>
      <c r="C178">
        <v>0</v>
      </c>
      <c r="D178" t="s">
        <v>2029</v>
      </c>
      <c r="E178" t="str">
        <f>_xlfn.XLOOKUP(PROPERTIES[[#This Row],[COUNTRY]],COUNTRIES[COUNTRY_DESCRIPTION],COUNTRIES[COUNTRY_LABEL],"")</f>
        <v>US</v>
      </c>
      <c r="F178" t="s">
        <v>35</v>
      </c>
      <c r="G178" t="s">
        <v>20</v>
      </c>
      <c r="H178">
        <v>0</v>
      </c>
      <c r="I178">
        <v>6</v>
      </c>
      <c r="J178">
        <v>6</v>
      </c>
      <c r="K178" s="2" t="s">
        <v>20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4">
        <v>104</v>
      </c>
      <c r="P178">
        <v>1000</v>
      </c>
      <c r="Q178">
        <v>96</v>
      </c>
      <c r="R178" s="31">
        <v>261</v>
      </c>
      <c r="S178" s="30">
        <f>IFERROR(PROPERTIES[[#This Row],[TE_STARTING_KN]]/(PROPERTIES[[#This Row],[WEIGHT]]*9.81),0)</f>
        <v>0.25582215949188425</v>
      </c>
      <c r="T178" s="30">
        <v>0.15</v>
      </c>
      <c r="U178" s="27">
        <f>ROUND(IF(IFERROR(PROPERTIES[[#This Row],[TE_COEFFICIENT_CALC]],0)=0,PROPERTIES[[#This Row],[TE_COEFFICIENT_MANUAL]],PROPERTIES[[#This Row],[TE_COEFFICIENT_CALC]]),3)</f>
        <v>0.25600000000000001</v>
      </c>
      <c r="V178" s="6">
        <v>40</v>
      </c>
      <c r="W178" s="10">
        <v>0</v>
      </c>
      <c r="X178" s="10">
        <v>0</v>
      </c>
      <c r="Y178" s="10"/>
      <c r="Z178" t="str">
        <f>"RUNNING_COST_"&amp;IF(PROPERTIES[[#This Row],[ENGINE_CLASS]]="MAGLEV","ELECTRIC",PROPERTIES[[#This Row],[ENGINE_CLASS]])</f>
        <v>RUNNING_COST_DIESEL</v>
      </c>
      <c r="AA178" s="10" t="s">
        <v>1000</v>
      </c>
      <c r="AB178" s="10" t="s">
        <v>1001</v>
      </c>
      <c r="AC178" s="10" t="str">
        <f>SUBSTITUTE(SUBSTITUTE(PROPERTIES[[#This Row],[PURCHASECOST_VALUE]], "PURCHASECOST_", ""), "_VALUE", "")</f>
        <v>DIESELENGINE</v>
      </c>
      <c r="AD178" s="2" t="b">
        <v>0</v>
      </c>
      <c r="AV178"/>
      <c r="AW178"/>
      <c r="AX178"/>
    </row>
    <row r="179" spans="1:50">
      <c r="A179" s="2" t="s">
        <v>203</v>
      </c>
      <c r="B179">
        <v>1946</v>
      </c>
      <c r="C179">
        <v>0</v>
      </c>
      <c r="D179" t="s">
        <v>2029</v>
      </c>
      <c r="E179" t="str">
        <f>_xlfn.XLOOKUP(PROPERTIES[[#This Row],[COUNTRY]],COUNTRIES[COUNTRY_DESCRIPTION],COUNTRIES[COUNTRY_LABEL],"")</f>
        <v>US</v>
      </c>
      <c r="F179" t="s">
        <v>35</v>
      </c>
      <c r="G179" t="s">
        <v>20</v>
      </c>
      <c r="H179">
        <v>0</v>
      </c>
      <c r="I179">
        <v>7</v>
      </c>
      <c r="J179">
        <v>7</v>
      </c>
      <c r="K179" s="2" t="s">
        <v>20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4">
        <v>139</v>
      </c>
      <c r="P179">
        <v>1500</v>
      </c>
      <c r="Q179">
        <v>164</v>
      </c>
      <c r="R179" s="31">
        <v>250</v>
      </c>
      <c r="S179" s="30">
        <f>IFERROR(PROPERTIES[[#This Row],[TE_STARTING_KN]]/(PROPERTIES[[#This Row],[WEIGHT]]*9.81),0)</f>
        <v>0.1833395668786072</v>
      </c>
      <c r="T179" s="30">
        <v>0.16</v>
      </c>
      <c r="U179" s="27">
        <f>ROUND(IF(IFERROR(PROPERTIES[[#This Row],[TE_COEFFICIENT_CALC]],0)=0,PROPERTIES[[#This Row],[TE_COEFFICIENT_MANUAL]],PROPERTIES[[#This Row],[TE_COEFFICIENT_CALC]]),3)</f>
        <v>0.183</v>
      </c>
      <c r="V179" s="6">
        <v>40</v>
      </c>
      <c r="W179" s="10">
        <v>0</v>
      </c>
      <c r="X179" s="10">
        <v>0</v>
      </c>
      <c r="Y179" s="10"/>
      <c r="Z179" t="str">
        <f>"RUNNING_COST_"&amp;IF(PROPERTIES[[#This Row],[ENGINE_CLASS]]="MAGLEV","ELECTRIC",PROPERTIES[[#This Row],[ENGINE_CLASS]])</f>
        <v>RUNNING_COST_DIESEL</v>
      </c>
      <c r="AA179" s="10" t="s">
        <v>1000</v>
      </c>
      <c r="AB179" s="10" t="s">
        <v>1001</v>
      </c>
      <c r="AC179" s="10" t="str">
        <f>SUBSTITUTE(SUBSTITUTE(PROPERTIES[[#This Row],[PURCHASECOST_VALUE]], "PURCHASECOST_", ""), "_VALUE", "")</f>
        <v>DIESELENGINE</v>
      </c>
      <c r="AD179" s="2" t="b">
        <v>0</v>
      </c>
      <c r="AV179"/>
      <c r="AW179"/>
      <c r="AX179"/>
    </row>
    <row r="180" spans="1:50">
      <c r="A180" s="2" t="s">
        <v>204</v>
      </c>
      <c r="B180">
        <v>1949</v>
      </c>
      <c r="C180">
        <v>0</v>
      </c>
      <c r="D180" t="s">
        <v>2029</v>
      </c>
      <c r="E180" t="str">
        <f>_xlfn.XLOOKUP(PROPERTIES[[#This Row],[COUNTRY]],COUNTRIES[COUNTRY_DESCRIPTION],COUNTRIES[COUNTRY_LABEL],"")</f>
        <v>US</v>
      </c>
      <c r="F180" t="s">
        <v>35</v>
      </c>
      <c r="G180" t="s">
        <v>20</v>
      </c>
      <c r="H180">
        <v>0</v>
      </c>
      <c r="I180">
        <v>8</v>
      </c>
      <c r="J180">
        <v>8</v>
      </c>
      <c r="K180" s="2" t="s">
        <v>20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4">
        <v>143</v>
      </c>
      <c r="P180">
        <v>2250</v>
      </c>
      <c r="Q180">
        <v>188</v>
      </c>
      <c r="R180" s="31">
        <v>251</v>
      </c>
      <c r="S180" s="30">
        <f>IFERROR(PROPERTIES[[#This Row],[TE_STARTING_KN]]/(PROPERTIES[[#This Row],[WEIGHT]]*9.81),0)</f>
        <v>0.17892403213504129</v>
      </c>
      <c r="T180" s="30">
        <v>0.13</v>
      </c>
      <c r="U180" s="27">
        <f>ROUND(IF(IFERROR(PROPERTIES[[#This Row],[TE_COEFFICIENT_CALC]],0)=0,PROPERTIES[[#This Row],[TE_COEFFICIENT_MANUAL]],PROPERTIES[[#This Row],[TE_COEFFICIENT_CALC]]),3)</f>
        <v>0.17899999999999999</v>
      </c>
      <c r="V180" s="6">
        <v>40</v>
      </c>
      <c r="W180" s="10">
        <v>0</v>
      </c>
      <c r="X180" s="10">
        <v>0</v>
      </c>
      <c r="Y180" s="10"/>
      <c r="Z180" t="str">
        <f>"RUNNING_COST_"&amp;IF(PROPERTIES[[#This Row],[ENGINE_CLASS]]="MAGLEV","ELECTRIC",PROPERTIES[[#This Row],[ENGINE_CLASS]])</f>
        <v>RUNNING_COST_DIESEL</v>
      </c>
      <c r="AA180" s="10" t="s">
        <v>1000</v>
      </c>
      <c r="AB180" s="10" t="s">
        <v>1001</v>
      </c>
      <c r="AC180" s="10" t="str">
        <f>SUBSTITUTE(SUBSTITUTE(PROPERTIES[[#This Row],[PURCHASECOST_VALUE]], "PURCHASECOST_", ""), "_VALUE", "")</f>
        <v>DIESELENGINE</v>
      </c>
      <c r="AD180" s="2" t="b">
        <v>0</v>
      </c>
      <c r="AV180"/>
      <c r="AW180"/>
      <c r="AX180"/>
    </row>
    <row r="181" spans="1:50">
      <c r="A181" s="2" t="s">
        <v>205</v>
      </c>
      <c r="B181">
        <v>1950</v>
      </c>
      <c r="C181">
        <v>0</v>
      </c>
      <c r="D181" t="s">
        <v>1828</v>
      </c>
      <c r="E181" t="str">
        <f>_xlfn.XLOOKUP(PROPERTIES[[#This Row],[COUNTRY]],COUNTRIES[COUNTRY_DESCRIPTION],COUNTRIES[COUNTRY_LABEL],"")</f>
        <v>BR</v>
      </c>
      <c r="F181" t="s">
        <v>35</v>
      </c>
      <c r="G181" t="s">
        <v>20</v>
      </c>
      <c r="H181">
        <v>0</v>
      </c>
      <c r="I181">
        <v>7</v>
      </c>
      <c r="J181">
        <v>7</v>
      </c>
      <c r="K181" s="2" t="s">
        <v>20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4">
        <v>112</v>
      </c>
      <c r="P181">
        <v>1600</v>
      </c>
      <c r="Q181">
        <v>137</v>
      </c>
      <c r="R181" s="31">
        <v>274.8</v>
      </c>
      <c r="S181" s="30">
        <f>IFERROR(PROPERTIES[[#This Row],[TE_STARTING_KN]]/(PROPERTIES[[#This Row],[WEIGHT]]*9.81),0)</f>
        <v>0.25010921799912628</v>
      </c>
      <c r="T181" s="30">
        <v>0.1</v>
      </c>
      <c r="U181" s="27">
        <f>ROUND(IF(IFERROR(PROPERTIES[[#This Row],[TE_COEFFICIENT_CALC]],0)=0,PROPERTIES[[#This Row],[TE_COEFFICIENT_MANUAL]],PROPERTIES[[#This Row],[TE_COEFFICIENT_CALC]]),3)</f>
        <v>0.25</v>
      </c>
      <c r="V181" s="6">
        <v>40</v>
      </c>
      <c r="W181" s="10">
        <v>0</v>
      </c>
      <c r="X181" s="10">
        <v>0</v>
      </c>
      <c r="Y181" s="10"/>
      <c r="Z181" t="str">
        <f>"RUNNING_COST_"&amp;IF(PROPERTIES[[#This Row],[ENGINE_CLASS]]="MAGLEV","ELECTRIC",PROPERTIES[[#This Row],[ENGINE_CLASS]])</f>
        <v>RUNNING_COST_DIESEL</v>
      </c>
      <c r="AA181" s="10" t="s">
        <v>1000</v>
      </c>
      <c r="AB181" s="10" t="s">
        <v>1001</v>
      </c>
      <c r="AC181" s="10" t="str">
        <f>SUBSTITUTE(SUBSTITUTE(PROPERTIES[[#This Row],[PURCHASECOST_VALUE]], "PURCHASECOST_", ""), "_VALUE", "")</f>
        <v>DIESELENGINE</v>
      </c>
      <c r="AD181" s="2" t="b">
        <v>0</v>
      </c>
      <c r="AV181"/>
      <c r="AW181"/>
      <c r="AX181"/>
    </row>
    <row r="182" spans="1:50">
      <c r="A182" s="2" t="s">
        <v>206</v>
      </c>
      <c r="B182">
        <v>1950</v>
      </c>
      <c r="C182">
        <v>0</v>
      </c>
      <c r="D182" t="s">
        <v>1962</v>
      </c>
      <c r="E182" t="str">
        <f>_xlfn.XLOOKUP(PROPERTIES[[#This Row],[COUNTRY]],COUNTRIES[COUNTRY_DESCRIPTION],COUNTRIES[COUNTRY_LABEL],"")</f>
        <v>NL</v>
      </c>
      <c r="F182" t="s">
        <v>35</v>
      </c>
      <c r="G182" t="s">
        <v>20</v>
      </c>
      <c r="H182">
        <v>0</v>
      </c>
      <c r="I182">
        <v>5</v>
      </c>
      <c r="J182">
        <v>5</v>
      </c>
      <c r="K182" s="2" t="s">
        <v>20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4">
        <v>47</v>
      </c>
      <c r="P182">
        <v>400</v>
      </c>
      <c r="Q182">
        <v>30</v>
      </c>
      <c r="R182" s="31">
        <v>143</v>
      </c>
      <c r="S182" s="30">
        <f>IFERROR(PROPERTIES[[#This Row],[TE_STARTING_KN]]/(PROPERTIES[[#This Row],[WEIGHT]]*9.81),0)</f>
        <v>0.31014813368902766</v>
      </c>
      <c r="T182" s="30">
        <v>0.3</v>
      </c>
      <c r="U182" s="27">
        <f>ROUND(IF(IFERROR(PROPERTIES[[#This Row],[TE_COEFFICIENT_CALC]],0)=0,PROPERTIES[[#This Row],[TE_COEFFICIENT_MANUAL]],PROPERTIES[[#This Row],[TE_COEFFICIENT_CALC]]),3)</f>
        <v>0.31</v>
      </c>
      <c r="V182" s="6">
        <v>40</v>
      </c>
      <c r="W182" s="10">
        <v>0</v>
      </c>
      <c r="X182" s="10">
        <v>0</v>
      </c>
      <c r="Y182" s="10"/>
      <c r="Z182" t="str">
        <f>"RUNNING_COST_"&amp;IF(PROPERTIES[[#This Row],[ENGINE_CLASS]]="MAGLEV","ELECTRIC",PROPERTIES[[#This Row],[ENGINE_CLASS]])</f>
        <v>RUNNING_COST_DIESEL</v>
      </c>
      <c r="AA182" s="10" t="s">
        <v>1000</v>
      </c>
      <c r="AB182" s="10" t="s">
        <v>1001</v>
      </c>
      <c r="AC182" s="10" t="str">
        <f>SUBSTITUTE(SUBSTITUTE(PROPERTIES[[#This Row],[PURCHASECOST_VALUE]], "PURCHASECOST_", ""), "_VALUE", "")</f>
        <v>DIESELENGINE</v>
      </c>
      <c r="AD182" s="2" t="b">
        <v>0</v>
      </c>
      <c r="AV182"/>
      <c r="AW182"/>
      <c r="AX182"/>
    </row>
    <row r="183" spans="1:50">
      <c r="A183" s="2" t="s">
        <v>207</v>
      </c>
      <c r="B183">
        <v>1950</v>
      </c>
      <c r="C183">
        <v>0</v>
      </c>
      <c r="D183" t="s">
        <v>2029</v>
      </c>
      <c r="E183" t="str">
        <f>_xlfn.XLOOKUP(PROPERTIES[[#This Row],[COUNTRY]],COUNTRIES[COUNTRY_DESCRIPTION],COUNTRIES[COUNTRY_LABEL],"")</f>
        <v>US</v>
      </c>
      <c r="F183" t="s">
        <v>35</v>
      </c>
      <c r="G183" t="s">
        <v>20</v>
      </c>
      <c r="H183">
        <v>0</v>
      </c>
      <c r="I183">
        <v>7</v>
      </c>
      <c r="J183">
        <v>7</v>
      </c>
      <c r="K183" s="2" t="s">
        <v>20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4">
        <v>121</v>
      </c>
      <c r="P183">
        <v>1600</v>
      </c>
      <c r="Q183">
        <v>110</v>
      </c>
      <c r="R183" s="31">
        <v>216.18</v>
      </c>
      <c r="S183" s="30">
        <f>IFERROR(PROPERTIES[[#This Row],[TE_STARTING_KN]]/(PROPERTIES[[#This Row],[WEIGHT]]*9.81),0)</f>
        <v>0.18212146485707786</v>
      </c>
      <c r="T183" s="30">
        <v>0.16</v>
      </c>
      <c r="U183" s="27">
        <f>ROUND(IF(IFERROR(PROPERTIES[[#This Row],[TE_COEFFICIENT_CALC]],0)=0,PROPERTIES[[#This Row],[TE_COEFFICIENT_MANUAL]],PROPERTIES[[#This Row],[TE_COEFFICIENT_CALC]]),3)</f>
        <v>0.182</v>
      </c>
      <c r="V183" s="6">
        <v>40</v>
      </c>
      <c r="W183" s="10">
        <v>0</v>
      </c>
      <c r="X183" s="10">
        <v>0</v>
      </c>
      <c r="Y183" s="10"/>
      <c r="Z183" t="str">
        <f>"RUNNING_COST_"&amp;IF(PROPERTIES[[#This Row],[ENGINE_CLASS]]="MAGLEV","ELECTRIC",PROPERTIES[[#This Row],[ENGINE_CLASS]])</f>
        <v>RUNNING_COST_DIESEL</v>
      </c>
      <c r="AA183" s="10" t="s">
        <v>1000</v>
      </c>
      <c r="AB183" s="10" t="s">
        <v>1001</v>
      </c>
      <c r="AC183" s="10" t="str">
        <f>SUBSTITUTE(SUBSTITUTE(PROPERTIES[[#This Row],[PURCHASECOST_VALUE]], "PURCHASECOST_", ""), "_VALUE", "")</f>
        <v>DIESELENGINE</v>
      </c>
      <c r="AD183" s="2" t="b">
        <v>0</v>
      </c>
      <c r="AV183"/>
      <c r="AW183"/>
      <c r="AX183"/>
    </row>
    <row r="184" spans="1:50">
      <c r="A184" s="2" t="s">
        <v>208</v>
      </c>
      <c r="B184">
        <v>1952</v>
      </c>
      <c r="C184">
        <v>0</v>
      </c>
      <c r="D184" t="s">
        <v>2030</v>
      </c>
      <c r="E184" t="str">
        <f>_xlfn.XLOOKUP(PROPERTIES[[#This Row],[COUNTRY]],COUNTRIES[COUNTRY_DESCRIPTION],COUNTRIES[COUNTRY_LABEL],"")</f>
        <v>UY</v>
      </c>
      <c r="F184" t="s">
        <v>35</v>
      </c>
      <c r="G184" t="s">
        <v>20</v>
      </c>
      <c r="H184">
        <v>0</v>
      </c>
      <c r="I184">
        <v>8</v>
      </c>
      <c r="J184">
        <v>8</v>
      </c>
      <c r="K184" s="2" t="s">
        <v>20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4">
        <v>112</v>
      </c>
      <c r="P184">
        <v>1500</v>
      </c>
      <c r="Q184">
        <v>110</v>
      </c>
      <c r="R184" s="31">
        <v>255</v>
      </c>
      <c r="S184" s="30">
        <f>IFERROR(PROPERTIES[[#This Row],[TE_STARTING_KN]]/(PROPERTIES[[#This Row],[WEIGHT]]*9.81),0)</f>
        <v>0.23208824814329401</v>
      </c>
      <c r="T184" s="30">
        <v>0.18</v>
      </c>
      <c r="U184" s="27">
        <f>ROUND(IF(IFERROR(PROPERTIES[[#This Row],[TE_COEFFICIENT_CALC]],0)=0,PROPERTIES[[#This Row],[TE_COEFFICIENT_MANUAL]],PROPERTIES[[#This Row],[TE_COEFFICIENT_CALC]]),3)</f>
        <v>0.23200000000000001</v>
      </c>
      <c r="V184" s="6">
        <v>40</v>
      </c>
      <c r="W184" s="10">
        <v>0</v>
      </c>
      <c r="X184" s="10">
        <v>0</v>
      </c>
      <c r="Y184" s="10"/>
      <c r="Z184" t="str">
        <f>"RUNNING_COST_"&amp;IF(PROPERTIES[[#This Row],[ENGINE_CLASS]]="MAGLEV","ELECTRIC",PROPERTIES[[#This Row],[ENGINE_CLASS]])</f>
        <v>RUNNING_COST_DIESEL</v>
      </c>
      <c r="AA184" s="10" t="s">
        <v>1000</v>
      </c>
      <c r="AB184" s="10" t="s">
        <v>1001</v>
      </c>
      <c r="AC184" s="10" t="str">
        <f>SUBSTITUTE(SUBSTITUTE(PROPERTIES[[#This Row],[PURCHASECOST_VALUE]], "PURCHASECOST_", ""), "_VALUE", "")</f>
        <v>DIESELENGINE</v>
      </c>
      <c r="AD184" s="2" t="b">
        <v>0</v>
      </c>
      <c r="AV184"/>
      <c r="AW184"/>
      <c r="AX184"/>
    </row>
    <row r="185" spans="1:50">
      <c r="A185" s="2" t="s">
        <v>209</v>
      </c>
      <c r="B185">
        <v>1953</v>
      </c>
      <c r="C185">
        <v>0</v>
      </c>
      <c r="D185" t="s">
        <v>1835</v>
      </c>
      <c r="E185" t="str">
        <f>_xlfn.XLOOKUP(PROPERTIES[[#This Row],[COUNTRY]],COUNTRIES[COUNTRY_DESCRIPTION],COUNTRIES[COUNTRY_LABEL],"")</f>
        <v>CA</v>
      </c>
      <c r="F185" t="s">
        <v>35</v>
      </c>
      <c r="G185" t="s">
        <v>20</v>
      </c>
      <c r="H185">
        <v>0</v>
      </c>
      <c r="I185">
        <v>8</v>
      </c>
      <c r="J185">
        <v>8</v>
      </c>
      <c r="K185" s="2" t="s">
        <v>20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4">
        <v>170</v>
      </c>
      <c r="P185">
        <v>2400</v>
      </c>
      <c r="Q185">
        <v>105</v>
      </c>
      <c r="R185" s="31">
        <v>498.2</v>
      </c>
      <c r="S185" s="30">
        <f>IFERROR(PROPERTIES[[#This Row],[TE_STARTING_KN]]/(PROPERTIES[[#This Row],[WEIGHT]]*9.81),0)</f>
        <v>0.29873478443365115</v>
      </c>
      <c r="T185" s="30">
        <v>0.28999999999999998</v>
      </c>
      <c r="U185" s="27">
        <f>ROUND(IF(IFERROR(PROPERTIES[[#This Row],[TE_COEFFICIENT_CALC]],0)=0,PROPERTIES[[#This Row],[TE_COEFFICIENT_MANUAL]],PROPERTIES[[#This Row],[TE_COEFFICIENT_CALC]]),3)</f>
        <v>0.29899999999999999</v>
      </c>
      <c r="V185" s="6">
        <v>40</v>
      </c>
      <c r="W185" s="10">
        <v>0</v>
      </c>
      <c r="X185" s="10">
        <v>0</v>
      </c>
      <c r="Y185" s="10"/>
      <c r="Z185" t="str">
        <f>"RUNNING_COST_"&amp;IF(PROPERTIES[[#This Row],[ENGINE_CLASS]]="MAGLEV","ELECTRIC",PROPERTIES[[#This Row],[ENGINE_CLASS]])</f>
        <v>RUNNING_COST_DIESEL</v>
      </c>
      <c r="AA185" s="10" t="s">
        <v>1000</v>
      </c>
      <c r="AB185" s="10" t="s">
        <v>1001</v>
      </c>
      <c r="AC185" s="10" t="str">
        <f>SUBSTITUTE(SUBSTITUTE(PROPERTIES[[#This Row],[PURCHASECOST_VALUE]], "PURCHASECOST_", ""), "_VALUE", "")</f>
        <v>DIESELENGINE</v>
      </c>
      <c r="AD185" s="2" t="b">
        <v>0</v>
      </c>
      <c r="AV185"/>
      <c r="AW185"/>
      <c r="AX185"/>
    </row>
    <row r="186" spans="1:50">
      <c r="A186" s="2" t="s">
        <v>210</v>
      </c>
      <c r="B186">
        <v>1953</v>
      </c>
      <c r="C186">
        <v>0</v>
      </c>
      <c r="D186" t="s">
        <v>1927</v>
      </c>
      <c r="E186" t="str">
        <f>_xlfn.XLOOKUP(PROPERTIES[[#This Row],[COUNTRY]],COUNTRIES[COUNTRY_DESCRIPTION],COUNTRIES[COUNTRY_LABEL],"")</f>
        <v>LR</v>
      </c>
      <c r="F186" t="s">
        <v>35</v>
      </c>
      <c r="G186" t="s">
        <v>20</v>
      </c>
      <c r="H186">
        <v>0</v>
      </c>
      <c r="I186">
        <v>5</v>
      </c>
      <c r="J186">
        <v>5</v>
      </c>
      <c r="K186" s="2" t="s">
        <v>20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4">
        <v>50</v>
      </c>
      <c r="P186">
        <v>350</v>
      </c>
      <c r="Q186">
        <v>24</v>
      </c>
      <c r="R186" s="31">
        <v>160</v>
      </c>
      <c r="S186" s="30">
        <f>IFERROR(PROPERTIES[[#This Row],[TE_STARTING_KN]]/(PROPERTIES[[#This Row],[WEIGHT]]*9.81),0)</f>
        <v>0.32619775739041795</v>
      </c>
      <c r="T186" s="30">
        <v>0.32</v>
      </c>
      <c r="U186" s="27">
        <f>ROUND(IF(IFERROR(PROPERTIES[[#This Row],[TE_COEFFICIENT_CALC]],0)=0,PROPERTIES[[#This Row],[TE_COEFFICIENT_MANUAL]],PROPERTIES[[#This Row],[TE_COEFFICIENT_CALC]]),3)</f>
        <v>0.32600000000000001</v>
      </c>
      <c r="V186" s="6">
        <v>40</v>
      </c>
      <c r="W186" s="10">
        <v>0</v>
      </c>
      <c r="X186" s="10">
        <v>0</v>
      </c>
      <c r="Y186" s="10"/>
      <c r="Z186" t="str">
        <f>"RUNNING_COST_"&amp;IF(PROPERTIES[[#This Row],[ENGINE_CLASS]]="MAGLEV","ELECTRIC",PROPERTIES[[#This Row],[ENGINE_CLASS]])</f>
        <v>RUNNING_COST_DIESEL</v>
      </c>
      <c r="AA186" s="10" t="s">
        <v>1000</v>
      </c>
      <c r="AB186" s="10" t="s">
        <v>1001</v>
      </c>
      <c r="AC186" s="10" t="str">
        <f>SUBSTITUTE(SUBSTITUTE(PROPERTIES[[#This Row],[PURCHASECOST_VALUE]], "PURCHASECOST_", ""), "_VALUE", "")</f>
        <v>DIESELENGINE</v>
      </c>
      <c r="AD186" s="2" t="b">
        <v>0</v>
      </c>
      <c r="AV186"/>
      <c r="AW186"/>
      <c r="AX186"/>
    </row>
    <row r="187" spans="1:50">
      <c r="A187" s="2" t="s">
        <v>211</v>
      </c>
      <c r="B187">
        <v>1954</v>
      </c>
      <c r="C187">
        <v>0</v>
      </c>
      <c r="D187" t="s">
        <v>1809</v>
      </c>
      <c r="E187" t="str">
        <f>_xlfn.XLOOKUP(PROPERTIES[[#This Row],[COUNTRY]],COUNTRIES[COUNTRY_DESCRIPTION],COUNTRIES[COUNTRY_LABEL],"")</f>
        <v>AT</v>
      </c>
      <c r="F187" t="s">
        <v>35</v>
      </c>
      <c r="G187" t="s">
        <v>20</v>
      </c>
      <c r="H187">
        <v>0</v>
      </c>
      <c r="I187">
        <v>5</v>
      </c>
      <c r="J187">
        <v>5</v>
      </c>
      <c r="K187" s="2" t="s">
        <v>20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4">
        <v>28</v>
      </c>
      <c r="P187">
        <v>200</v>
      </c>
      <c r="Q187">
        <v>60</v>
      </c>
      <c r="R187" s="31">
        <v>79</v>
      </c>
      <c r="S187" s="30">
        <f>IFERROR(PROPERTIES[[#This Row],[TE_STARTING_KN]]/(PROPERTIES[[#This Row],[WEIGHT]]*9.81),0)</f>
        <v>0.28760739769914079</v>
      </c>
      <c r="T187" s="30">
        <v>0.28000000000000003</v>
      </c>
      <c r="U187" s="27">
        <f>ROUND(IF(IFERROR(PROPERTIES[[#This Row],[TE_COEFFICIENT_CALC]],0)=0,PROPERTIES[[#This Row],[TE_COEFFICIENT_MANUAL]],PROPERTIES[[#This Row],[TE_COEFFICIENT_CALC]]),3)</f>
        <v>0.28799999999999998</v>
      </c>
      <c r="V187" s="6">
        <v>40</v>
      </c>
      <c r="W187" s="10">
        <v>0</v>
      </c>
      <c r="X187" s="10">
        <v>0</v>
      </c>
      <c r="Y187" s="10"/>
      <c r="Z187" t="str">
        <f>"RUNNING_COST_"&amp;IF(PROPERTIES[[#This Row],[ENGINE_CLASS]]="MAGLEV","ELECTRIC",PROPERTIES[[#This Row],[ENGINE_CLASS]])</f>
        <v>RUNNING_COST_DIESEL</v>
      </c>
      <c r="AA187" s="10" t="s">
        <v>1000</v>
      </c>
      <c r="AB187" s="10" t="s">
        <v>1001</v>
      </c>
      <c r="AC187" s="10" t="str">
        <f>SUBSTITUTE(SUBSTITUTE(PROPERTIES[[#This Row],[PURCHASECOST_VALUE]], "PURCHASECOST_", ""), "_VALUE", "")</f>
        <v>DIESELENGINE</v>
      </c>
      <c r="AD187" s="2" t="b">
        <v>0</v>
      </c>
      <c r="AV187"/>
      <c r="AW187"/>
      <c r="AX187"/>
    </row>
    <row r="188" spans="1:50">
      <c r="A188" s="2" t="s">
        <v>212</v>
      </c>
      <c r="B188">
        <v>1954</v>
      </c>
      <c r="C188">
        <v>0</v>
      </c>
      <c r="D188" t="s">
        <v>1835</v>
      </c>
      <c r="E188" t="str">
        <f>_xlfn.XLOOKUP(PROPERTIES[[#This Row],[COUNTRY]],COUNTRIES[COUNTRY_DESCRIPTION],COUNTRIES[COUNTRY_LABEL],"")</f>
        <v>CA</v>
      </c>
      <c r="F188" t="s">
        <v>35</v>
      </c>
      <c r="G188" t="s">
        <v>20</v>
      </c>
      <c r="H188">
        <v>0</v>
      </c>
      <c r="I188">
        <v>6</v>
      </c>
      <c r="J188">
        <v>6</v>
      </c>
      <c r="K188" s="2" t="s">
        <v>20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4">
        <v>111</v>
      </c>
      <c r="P188">
        <v>1200</v>
      </c>
      <c r="Q188">
        <v>104</v>
      </c>
      <c r="R188" s="31">
        <v>0</v>
      </c>
      <c r="S188" s="30">
        <f>IFERROR(PROPERTIES[[#This Row],[TE_STARTING_KN]]/(PROPERTIES[[#This Row],[WEIGHT]]*9.81),0)</f>
        <v>0</v>
      </c>
      <c r="T188" s="30">
        <v>0.14000000000000001</v>
      </c>
      <c r="U188" s="27">
        <f>ROUND(IF(IFERROR(PROPERTIES[[#This Row],[TE_COEFFICIENT_CALC]],0)=0,PROPERTIES[[#This Row],[TE_COEFFICIENT_MANUAL]],PROPERTIES[[#This Row],[TE_COEFFICIENT_CALC]]),3)</f>
        <v>0.14000000000000001</v>
      </c>
      <c r="V188" s="6">
        <v>40</v>
      </c>
      <c r="W188" s="10">
        <v>0</v>
      </c>
      <c r="X188" s="10">
        <v>0</v>
      </c>
      <c r="Y188" s="10"/>
      <c r="Z188" t="str">
        <f>"RUNNING_COST_"&amp;IF(PROPERTIES[[#This Row],[ENGINE_CLASS]]="MAGLEV","ELECTRIC",PROPERTIES[[#This Row],[ENGINE_CLASS]])</f>
        <v>RUNNING_COST_DIESEL</v>
      </c>
      <c r="AA188" s="10" t="s">
        <v>1000</v>
      </c>
      <c r="AB188" s="10" t="s">
        <v>1001</v>
      </c>
      <c r="AC188" s="10" t="str">
        <f>SUBSTITUTE(SUBSTITUTE(PROPERTIES[[#This Row],[PURCHASECOST_VALUE]], "PURCHASECOST_", ""), "_VALUE", "")</f>
        <v>DIESELENGINE</v>
      </c>
      <c r="AD188" s="2" t="b">
        <v>0</v>
      </c>
      <c r="AV188"/>
      <c r="AW188"/>
      <c r="AX188"/>
    </row>
    <row r="189" spans="1:50">
      <c r="A189" s="2" t="s">
        <v>213</v>
      </c>
      <c r="B189">
        <v>1954</v>
      </c>
      <c r="C189">
        <v>0</v>
      </c>
      <c r="D189" t="s">
        <v>1835</v>
      </c>
      <c r="E189" t="str">
        <f>_xlfn.XLOOKUP(PROPERTIES[[#This Row],[COUNTRY]],COUNTRIES[COUNTRY_DESCRIPTION],COUNTRIES[COUNTRY_LABEL],"")</f>
        <v>CA</v>
      </c>
      <c r="F189" t="s">
        <v>35</v>
      </c>
      <c r="G189" t="s">
        <v>20</v>
      </c>
      <c r="H189">
        <v>0</v>
      </c>
      <c r="I189">
        <v>8</v>
      </c>
      <c r="J189">
        <v>8</v>
      </c>
      <c r="K189" s="2" t="s">
        <v>20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4">
        <v>104</v>
      </c>
      <c r="P189">
        <v>1800</v>
      </c>
      <c r="Q189">
        <v>144</v>
      </c>
      <c r="R189" s="31">
        <v>0</v>
      </c>
      <c r="S189" s="30">
        <f>IFERROR(PROPERTIES[[#This Row],[TE_STARTING_KN]]/(PROPERTIES[[#This Row],[WEIGHT]]*9.81),0)</f>
        <v>0</v>
      </c>
      <c r="T189" s="30">
        <v>0.19</v>
      </c>
      <c r="U189" s="27">
        <f>ROUND(IF(IFERROR(PROPERTIES[[#This Row],[TE_COEFFICIENT_CALC]],0)=0,PROPERTIES[[#This Row],[TE_COEFFICIENT_MANUAL]],PROPERTIES[[#This Row],[TE_COEFFICIENT_CALC]]),3)</f>
        <v>0.19</v>
      </c>
      <c r="V189" s="6">
        <v>40</v>
      </c>
      <c r="W189" s="10">
        <v>0</v>
      </c>
      <c r="X189" s="10">
        <v>0</v>
      </c>
      <c r="Y189" s="10">
        <v>55</v>
      </c>
      <c r="Z189" t="str">
        <f>"RUNNING_COST_"&amp;IF(PROPERTIES[[#This Row],[ENGINE_CLASS]]="MAGLEV","ELECTRIC",PROPERTIES[[#This Row],[ENGINE_CLASS]])</f>
        <v>RUNNING_COST_DIESEL</v>
      </c>
      <c r="AA189" s="10" t="s">
        <v>1000</v>
      </c>
      <c r="AB189" s="10" t="s">
        <v>1001</v>
      </c>
      <c r="AC189" s="10" t="str">
        <f>SUBSTITUTE(SUBSTITUTE(PROPERTIES[[#This Row],[PURCHASECOST_VALUE]], "PURCHASECOST_", ""), "_VALUE", "")</f>
        <v>DIESELENGINE</v>
      </c>
      <c r="AD189" s="2" t="b">
        <v>0</v>
      </c>
      <c r="AV189"/>
      <c r="AW189"/>
      <c r="AX189"/>
    </row>
    <row r="190" spans="1:50">
      <c r="A190" s="2" t="s">
        <v>214</v>
      </c>
      <c r="B190">
        <v>1954</v>
      </c>
      <c r="C190">
        <v>0</v>
      </c>
      <c r="D190" t="s">
        <v>1896</v>
      </c>
      <c r="E190" t="str">
        <f>_xlfn.XLOOKUP(PROPERTIES[[#This Row],[COUNTRY]],COUNTRIES[COUNTRY_DESCRIPTION],COUNTRIES[COUNTRY_LABEL],"")</f>
        <v>HU</v>
      </c>
      <c r="F190" t="s">
        <v>35</v>
      </c>
      <c r="G190" t="s">
        <v>20</v>
      </c>
      <c r="H190">
        <v>0</v>
      </c>
      <c r="I190">
        <v>6</v>
      </c>
      <c r="J190">
        <v>6</v>
      </c>
      <c r="K190" s="2" t="s">
        <v>20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4">
        <v>62</v>
      </c>
      <c r="P190">
        <v>590</v>
      </c>
      <c r="Q190">
        <v>80</v>
      </c>
      <c r="R190" s="31">
        <v>166.5</v>
      </c>
      <c r="S190" s="30">
        <f>IFERROR(PROPERTIES[[#This Row],[TE_STARTING_KN]]/(PROPERTIES[[#This Row],[WEIGHT]]*9.81),0)</f>
        <v>0.27374963006806746</v>
      </c>
      <c r="T190" s="30">
        <v>0.3</v>
      </c>
      <c r="U190" s="27">
        <f>ROUND(IF(IFERROR(PROPERTIES[[#This Row],[TE_COEFFICIENT_CALC]],0)=0,PROPERTIES[[#This Row],[TE_COEFFICIENT_MANUAL]],PROPERTIES[[#This Row],[TE_COEFFICIENT_CALC]]),3)</f>
        <v>0.27400000000000002</v>
      </c>
      <c r="V190" s="6">
        <v>40</v>
      </c>
      <c r="W190" s="10">
        <v>0</v>
      </c>
      <c r="X190" s="10">
        <v>0</v>
      </c>
      <c r="Y190" s="10"/>
      <c r="Z190" t="str">
        <f>"RUNNING_COST_"&amp;IF(PROPERTIES[[#This Row],[ENGINE_CLASS]]="MAGLEV","ELECTRIC",PROPERTIES[[#This Row],[ENGINE_CLASS]])</f>
        <v>RUNNING_COST_DIESEL</v>
      </c>
      <c r="AA190" s="10" t="s">
        <v>1000</v>
      </c>
      <c r="AB190" s="10" t="s">
        <v>1001</v>
      </c>
      <c r="AC190" s="10" t="str">
        <f>SUBSTITUTE(SUBSTITUTE(PROPERTIES[[#This Row],[PURCHASECOST_VALUE]], "PURCHASECOST_", ""), "_VALUE", "")</f>
        <v>DIESELENGINE</v>
      </c>
      <c r="AD190" s="2" t="b">
        <v>0</v>
      </c>
      <c r="AV190"/>
      <c r="AW190"/>
      <c r="AX190"/>
    </row>
    <row r="191" spans="1:50">
      <c r="A191" s="2" t="s">
        <v>215</v>
      </c>
      <c r="B191">
        <v>1955</v>
      </c>
      <c r="C191">
        <v>0</v>
      </c>
      <c r="D191" t="s">
        <v>1896</v>
      </c>
      <c r="E191" t="str">
        <f>_xlfn.XLOOKUP(PROPERTIES[[#This Row],[COUNTRY]],COUNTRIES[COUNTRY_DESCRIPTION],COUNTRIES[COUNTRY_LABEL],"")</f>
        <v>HU</v>
      </c>
      <c r="F191" t="s">
        <v>35</v>
      </c>
      <c r="G191" t="s">
        <v>20</v>
      </c>
      <c r="H191">
        <v>0</v>
      </c>
      <c r="I191">
        <v>4</v>
      </c>
      <c r="J191">
        <v>4</v>
      </c>
      <c r="K191" s="2" t="s">
        <v>20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4">
        <v>19</v>
      </c>
      <c r="P191">
        <v>135</v>
      </c>
      <c r="Q191">
        <v>50</v>
      </c>
      <c r="R191" s="31">
        <v>0</v>
      </c>
      <c r="S191" s="30">
        <f>IFERROR(PROPERTIES[[#This Row],[TE_STARTING_KN]]/(PROPERTIES[[#This Row],[WEIGHT]]*9.81),0)</f>
        <v>0</v>
      </c>
      <c r="T191" s="30">
        <v>0.32</v>
      </c>
      <c r="U191" s="27">
        <f>ROUND(IF(IFERROR(PROPERTIES[[#This Row],[TE_COEFFICIENT_CALC]],0)=0,PROPERTIES[[#This Row],[TE_COEFFICIENT_MANUAL]],PROPERTIES[[#This Row],[TE_COEFFICIENT_CALC]]),3)</f>
        <v>0.32</v>
      </c>
      <c r="V191" s="6">
        <v>40</v>
      </c>
      <c r="W191" s="10">
        <v>0</v>
      </c>
      <c r="X191" s="10">
        <v>0</v>
      </c>
      <c r="Y191" s="10"/>
      <c r="Z191" t="str">
        <f>"RUNNING_COST_"&amp;IF(PROPERTIES[[#This Row],[ENGINE_CLASS]]="MAGLEV","ELECTRIC",PROPERTIES[[#This Row],[ENGINE_CLASS]])</f>
        <v>RUNNING_COST_DIESEL</v>
      </c>
      <c r="AA191" s="10" t="s">
        <v>1000</v>
      </c>
      <c r="AB191" s="10" t="s">
        <v>1001</v>
      </c>
      <c r="AC191" s="10" t="str">
        <f>SUBSTITUTE(SUBSTITUTE(PROPERTIES[[#This Row],[PURCHASECOST_VALUE]], "PURCHASECOST_", ""), "_VALUE", "")</f>
        <v>DIESELENGINE</v>
      </c>
      <c r="AD191" s="2" t="b">
        <v>0</v>
      </c>
      <c r="AV191"/>
      <c r="AW191"/>
      <c r="AX191"/>
    </row>
    <row r="192" spans="1:50">
      <c r="A192" s="2" t="s">
        <v>216</v>
      </c>
      <c r="B192">
        <v>1956</v>
      </c>
      <c r="C192">
        <v>0</v>
      </c>
      <c r="D192" t="s">
        <v>1817</v>
      </c>
      <c r="E192" t="str">
        <f>_xlfn.XLOOKUP(PROPERTIES[[#This Row],[COUNTRY]],COUNTRIES[COUNTRY_DESCRIPTION],COUNTRIES[COUNTRY_LABEL],"")</f>
        <v>BE</v>
      </c>
      <c r="F192" t="s">
        <v>35</v>
      </c>
      <c r="G192" t="s">
        <v>20</v>
      </c>
      <c r="H192">
        <v>0</v>
      </c>
      <c r="I192">
        <v>5</v>
      </c>
      <c r="J192">
        <v>5</v>
      </c>
      <c r="K192" s="2" t="s">
        <v>20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4">
        <v>57</v>
      </c>
      <c r="P192">
        <v>440</v>
      </c>
      <c r="Q192">
        <v>50</v>
      </c>
      <c r="R192" s="31">
        <v>196</v>
      </c>
      <c r="S192" s="30">
        <f>IFERROR(PROPERTIES[[#This Row],[TE_STARTING_KN]]/(PROPERTIES[[#This Row],[WEIGHT]]*9.81),0)</f>
        <v>0.35051952000286135</v>
      </c>
      <c r="T192" s="30">
        <v>0.39</v>
      </c>
      <c r="U192" s="27">
        <f>ROUND(IF(IFERROR(PROPERTIES[[#This Row],[TE_COEFFICIENT_CALC]],0)=0,PROPERTIES[[#This Row],[TE_COEFFICIENT_MANUAL]],PROPERTIES[[#This Row],[TE_COEFFICIENT_CALC]]),3)</f>
        <v>0.35099999999999998</v>
      </c>
      <c r="V192" s="6">
        <v>40</v>
      </c>
      <c r="W192" s="10">
        <v>0</v>
      </c>
      <c r="X192" s="10">
        <v>0</v>
      </c>
      <c r="Y192" s="10"/>
      <c r="Z192" t="str">
        <f>"RUNNING_COST_"&amp;IF(PROPERTIES[[#This Row],[ENGINE_CLASS]]="MAGLEV","ELECTRIC",PROPERTIES[[#This Row],[ENGINE_CLASS]])</f>
        <v>RUNNING_COST_DIESEL</v>
      </c>
      <c r="AA192" s="10" t="s">
        <v>1000</v>
      </c>
      <c r="AB192" s="10" t="s">
        <v>1001</v>
      </c>
      <c r="AC192" s="10" t="str">
        <f>SUBSTITUTE(SUBSTITUTE(PROPERTIES[[#This Row],[PURCHASECOST_VALUE]], "PURCHASECOST_", ""), "_VALUE", "")</f>
        <v>DIESELENGINE</v>
      </c>
      <c r="AD192" s="2" t="b">
        <v>0</v>
      </c>
      <c r="AV192"/>
      <c r="AW192"/>
      <c r="AX192"/>
    </row>
    <row r="193" spans="1:50">
      <c r="A193" s="2" t="s">
        <v>217</v>
      </c>
      <c r="B193">
        <v>1956</v>
      </c>
      <c r="C193">
        <v>0</v>
      </c>
      <c r="D193" t="s">
        <v>2046</v>
      </c>
      <c r="E193" t="str">
        <f>_xlfn.XLOOKUP(PROPERTIES[[#This Row],[COUNTRY]],COUNTRIES[COUNTRY_DESCRIPTION],COUNTRIES[COUNTRY_LABEL],"")</f>
        <v>GDR</v>
      </c>
      <c r="F193" t="s">
        <v>35</v>
      </c>
      <c r="G193" t="s">
        <v>20</v>
      </c>
      <c r="H193">
        <v>0</v>
      </c>
      <c r="I193">
        <v>8</v>
      </c>
      <c r="J193">
        <v>8</v>
      </c>
      <c r="K193" s="2" t="s">
        <v>20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4">
        <v>81</v>
      </c>
      <c r="P193">
        <v>2169</v>
      </c>
      <c r="Q193">
        <v>140</v>
      </c>
      <c r="R193" s="31">
        <v>234</v>
      </c>
      <c r="S193" s="30">
        <f>IFERROR(PROPERTIES[[#This Row],[TE_STARTING_KN]]/(PROPERTIES[[#This Row],[WEIGHT]]*9.81),0)</f>
        <v>0.29448408653301616</v>
      </c>
      <c r="T193" s="30">
        <v>0.28999999999999998</v>
      </c>
      <c r="U193" s="27">
        <f>ROUND(IF(IFERROR(PROPERTIES[[#This Row],[TE_COEFFICIENT_CALC]],0)=0,PROPERTIES[[#This Row],[TE_COEFFICIENT_MANUAL]],PROPERTIES[[#This Row],[TE_COEFFICIENT_CALC]]),3)</f>
        <v>0.29399999999999998</v>
      </c>
      <c r="V193" s="6">
        <v>40</v>
      </c>
      <c r="W193" s="10">
        <v>0</v>
      </c>
      <c r="X193" s="10">
        <v>0</v>
      </c>
      <c r="Y193" s="10"/>
      <c r="Z193" t="str">
        <f>"RUNNING_COST_"&amp;IF(PROPERTIES[[#This Row],[ENGINE_CLASS]]="MAGLEV","ELECTRIC",PROPERTIES[[#This Row],[ENGINE_CLASS]])</f>
        <v>RUNNING_COST_DIESEL</v>
      </c>
      <c r="AA193" s="10" t="s">
        <v>1000</v>
      </c>
      <c r="AB193" s="10" t="s">
        <v>1001</v>
      </c>
      <c r="AC193" s="10" t="str">
        <f>SUBSTITUTE(SUBSTITUTE(PROPERTIES[[#This Row],[PURCHASECOST_VALUE]], "PURCHASECOST_", ""), "_VALUE", "")</f>
        <v>DIESELENGINE</v>
      </c>
      <c r="AD193" s="2" t="b">
        <v>0</v>
      </c>
      <c r="AV193"/>
      <c r="AW193"/>
      <c r="AX193"/>
    </row>
    <row r="194" spans="1:50">
      <c r="A194" s="2" t="s">
        <v>218</v>
      </c>
      <c r="B194">
        <v>1956</v>
      </c>
      <c r="C194">
        <v>0</v>
      </c>
      <c r="D194" t="s">
        <v>2029</v>
      </c>
      <c r="E194" t="str">
        <f>_xlfn.XLOOKUP(PROPERTIES[[#This Row],[COUNTRY]],COUNTRIES[COUNTRY_DESCRIPTION],COUNTRIES[COUNTRY_LABEL],"")</f>
        <v>US</v>
      </c>
      <c r="F194" t="s">
        <v>35</v>
      </c>
      <c r="G194" t="s">
        <v>20</v>
      </c>
      <c r="H194">
        <v>0</v>
      </c>
      <c r="I194">
        <v>8</v>
      </c>
      <c r="J194">
        <v>8</v>
      </c>
      <c r="K194" s="2" t="s">
        <v>20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4">
        <v>130</v>
      </c>
      <c r="P194">
        <v>1750</v>
      </c>
      <c r="Q194">
        <v>144</v>
      </c>
      <c r="R194" s="31">
        <v>253.28</v>
      </c>
      <c r="S194" s="30">
        <f>IFERROR(PROPERTIES[[#This Row],[TE_STARTING_KN]]/(PROPERTIES[[#This Row],[WEIGHT]]*9.81),0)</f>
        <v>0.19860424998039677</v>
      </c>
      <c r="T194" s="30">
        <v>0.2</v>
      </c>
      <c r="U194" s="27">
        <f>ROUND(IF(IFERROR(PROPERTIES[[#This Row],[TE_COEFFICIENT_CALC]],0)=0,PROPERTIES[[#This Row],[TE_COEFFICIENT_MANUAL]],PROPERTIES[[#This Row],[TE_COEFFICIENT_CALC]]),3)</f>
        <v>0.19900000000000001</v>
      </c>
      <c r="V194" s="6">
        <v>40</v>
      </c>
      <c r="W194" s="10">
        <v>0</v>
      </c>
      <c r="X194" s="10">
        <v>0</v>
      </c>
      <c r="Y194" s="10"/>
      <c r="Z194" t="str">
        <f>"RUNNING_COST_"&amp;IF(PROPERTIES[[#This Row],[ENGINE_CLASS]]="MAGLEV","ELECTRIC",PROPERTIES[[#This Row],[ENGINE_CLASS]])</f>
        <v>RUNNING_COST_DIESEL</v>
      </c>
      <c r="AA194" s="10" t="s">
        <v>1000</v>
      </c>
      <c r="AB194" s="10" t="s">
        <v>1001</v>
      </c>
      <c r="AC194" s="10" t="str">
        <f>SUBSTITUTE(SUBSTITUTE(PROPERTIES[[#This Row],[PURCHASECOST_VALUE]], "PURCHASECOST_", ""), "_VALUE", "")</f>
        <v>DIESELENGINE</v>
      </c>
      <c r="AD194" s="2" t="b">
        <v>0</v>
      </c>
      <c r="AV194"/>
      <c r="AW194"/>
      <c r="AX194"/>
    </row>
    <row r="195" spans="1:50">
      <c r="A195" s="2" t="s">
        <v>219</v>
      </c>
      <c r="B195">
        <v>1958</v>
      </c>
      <c r="C195">
        <v>0</v>
      </c>
      <c r="D195" t="s">
        <v>1853</v>
      </c>
      <c r="E195" t="str">
        <f>_xlfn.XLOOKUP(PROPERTIES[[#This Row],[COUNTRY]],COUNTRIES[COUNTRY_DESCRIPTION],COUNTRIES[COUNTRY_LABEL],"")</f>
        <v>CZ</v>
      </c>
      <c r="F195" t="s">
        <v>35</v>
      </c>
      <c r="G195" t="s">
        <v>20</v>
      </c>
      <c r="H195">
        <v>0</v>
      </c>
      <c r="I195">
        <v>6</v>
      </c>
      <c r="J195">
        <v>6</v>
      </c>
      <c r="K195" s="2" t="s">
        <v>20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4">
        <v>61</v>
      </c>
      <c r="P195">
        <v>740</v>
      </c>
      <c r="Q195">
        <v>80</v>
      </c>
      <c r="R195" s="31">
        <v>160</v>
      </c>
      <c r="S195" s="30">
        <f>IFERROR(PROPERTIES[[#This Row],[TE_STARTING_KN]]/(PROPERTIES[[#This Row],[WEIGHT]]*9.81),0)</f>
        <v>0.2673752109757524</v>
      </c>
      <c r="T195" s="30">
        <v>0.28000000000000003</v>
      </c>
      <c r="U195" s="27">
        <f>ROUND(IF(IFERROR(PROPERTIES[[#This Row],[TE_COEFFICIENT_CALC]],0)=0,PROPERTIES[[#This Row],[TE_COEFFICIENT_MANUAL]],PROPERTIES[[#This Row],[TE_COEFFICIENT_CALC]]),3)</f>
        <v>0.26700000000000002</v>
      </c>
      <c r="V195" s="6">
        <v>40</v>
      </c>
      <c r="W195" s="10">
        <v>0</v>
      </c>
      <c r="X195" s="10">
        <v>0</v>
      </c>
      <c r="Y195" s="10"/>
      <c r="Z195" t="str">
        <f>"RUNNING_COST_"&amp;IF(PROPERTIES[[#This Row],[ENGINE_CLASS]]="MAGLEV","ELECTRIC",PROPERTIES[[#This Row],[ENGINE_CLASS]])</f>
        <v>RUNNING_COST_DIESEL</v>
      </c>
      <c r="AA195" s="10" t="s">
        <v>1000</v>
      </c>
      <c r="AB195" s="10" t="s">
        <v>1001</v>
      </c>
      <c r="AC195" s="10" t="str">
        <f>SUBSTITUTE(SUBSTITUTE(PROPERTIES[[#This Row],[PURCHASECOST_VALUE]], "PURCHASECOST_", ""), "_VALUE", "")</f>
        <v>DIESELENGINE</v>
      </c>
      <c r="AD195" s="2" t="b">
        <v>0</v>
      </c>
      <c r="AV195"/>
      <c r="AW195"/>
      <c r="AX195"/>
    </row>
    <row r="196" spans="1:50">
      <c r="A196" s="2" t="s">
        <v>220</v>
      </c>
      <c r="B196">
        <v>1959</v>
      </c>
      <c r="C196">
        <v>0</v>
      </c>
      <c r="D196" t="s">
        <v>1867</v>
      </c>
      <c r="E196" t="str">
        <f>_xlfn.XLOOKUP(PROPERTIES[[#This Row],[COUNTRY]],COUNTRIES[COUNTRY_DESCRIPTION],COUNTRIES[COUNTRY_LABEL],"")</f>
        <v>FI</v>
      </c>
      <c r="F196" t="s">
        <v>35</v>
      </c>
      <c r="G196" t="s">
        <v>20</v>
      </c>
      <c r="H196">
        <v>0</v>
      </c>
      <c r="I196">
        <v>8</v>
      </c>
      <c r="J196">
        <v>8</v>
      </c>
      <c r="K196" s="2" t="s">
        <v>20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4">
        <v>122</v>
      </c>
      <c r="P196">
        <v>1900</v>
      </c>
      <c r="Q196">
        <v>120</v>
      </c>
      <c r="R196" s="31">
        <v>275</v>
      </c>
      <c r="S196" s="30">
        <f>IFERROR(PROPERTIES[[#This Row],[TE_STARTING_KN]]/(PROPERTIES[[#This Row],[WEIGHT]]*9.81),0)</f>
        <v>0.2297755719322872</v>
      </c>
      <c r="T196" s="30">
        <v>0.18</v>
      </c>
      <c r="U196" s="27">
        <f>ROUND(IF(IFERROR(PROPERTIES[[#This Row],[TE_COEFFICIENT_CALC]],0)=0,PROPERTIES[[#This Row],[TE_COEFFICIENT_MANUAL]],PROPERTIES[[#This Row],[TE_COEFFICIENT_CALC]]),3)</f>
        <v>0.23</v>
      </c>
      <c r="V196" s="6">
        <v>40</v>
      </c>
      <c r="W196" s="10">
        <v>0</v>
      </c>
      <c r="X196" s="10">
        <v>0</v>
      </c>
      <c r="Y196" s="10"/>
      <c r="Z196" t="str">
        <f>"RUNNING_COST_"&amp;IF(PROPERTIES[[#This Row],[ENGINE_CLASS]]="MAGLEV","ELECTRIC",PROPERTIES[[#This Row],[ENGINE_CLASS]])</f>
        <v>RUNNING_COST_DIESEL</v>
      </c>
      <c r="AA196" s="10" t="s">
        <v>1000</v>
      </c>
      <c r="AB196" s="10" t="s">
        <v>1001</v>
      </c>
      <c r="AC196" s="10" t="str">
        <f>SUBSTITUTE(SUBSTITUTE(PROPERTIES[[#This Row],[PURCHASECOST_VALUE]], "PURCHASECOST_", ""), "_VALUE", "")</f>
        <v>DIESELENGINE</v>
      </c>
      <c r="AD196" s="2" t="b">
        <v>0</v>
      </c>
      <c r="AV196"/>
      <c r="AW196"/>
      <c r="AX196"/>
    </row>
    <row r="197" spans="1:50">
      <c r="A197" s="2" t="s">
        <v>221</v>
      </c>
      <c r="B197">
        <v>1959</v>
      </c>
      <c r="C197">
        <v>0</v>
      </c>
      <c r="D197" t="s">
        <v>1985</v>
      </c>
      <c r="E197" t="str">
        <f>_xlfn.XLOOKUP(PROPERTIES[[#This Row],[COUNTRY]],COUNTRIES[COUNTRY_DESCRIPTION],COUNTRIES[COUNTRY_LABEL],"")</f>
        <v>RO</v>
      </c>
      <c r="F197" t="s">
        <v>35</v>
      </c>
      <c r="G197" t="s">
        <v>20</v>
      </c>
      <c r="H197">
        <v>0</v>
      </c>
      <c r="I197">
        <v>8</v>
      </c>
      <c r="J197">
        <v>8</v>
      </c>
      <c r="K197" s="2" t="s">
        <v>20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4">
        <v>116</v>
      </c>
      <c r="P197">
        <v>2070</v>
      </c>
      <c r="Q197">
        <v>100</v>
      </c>
      <c r="R197" s="31">
        <v>0</v>
      </c>
      <c r="S197" s="30">
        <f>IFERROR(PROPERTIES[[#This Row],[TE_STARTING_KN]]/(PROPERTIES[[#This Row],[WEIGHT]]*9.81),0)</f>
        <v>0</v>
      </c>
      <c r="T197" s="30">
        <v>0.27</v>
      </c>
      <c r="U197" s="27">
        <f>ROUND(IF(IFERROR(PROPERTIES[[#This Row],[TE_COEFFICIENT_CALC]],0)=0,PROPERTIES[[#This Row],[TE_COEFFICIENT_MANUAL]],PROPERTIES[[#This Row],[TE_COEFFICIENT_CALC]]),3)</f>
        <v>0.27</v>
      </c>
      <c r="V197" s="6">
        <v>40</v>
      </c>
      <c r="W197" s="10">
        <v>0</v>
      </c>
      <c r="X197" s="10">
        <v>0</v>
      </c>
      <c r="Y197" s="10"/>
      <c r="Z197" t="str">
        <f>"RUNNING_COST_"&amp;IF(PROPERTIES[[#This Row],[ENGINE_CLASS]]="MAGLEV","ELECTRIC",PROPERTIES[[#This Row],[ENGINE_CLASS]])</f>
        <v>RUNNING_COST_DIESEL</v>
      </c>
      <c r="AA197" s="10" t="s">
        <v>1000</v>
      </c>
      <c r="AB197" s="10" t="s">
        <v>1001</v>
      </c>
      <c r="AC197" s="10" t="str">
        <f>SUBSTITUTE(SUBSTITUTE(PROPERTIES[[#This Row],[PURCHASECOST_VALUE]], "PURCHASECOST_", ""), "_VALUE", "")</f>
        <v>DIESELENGINE</v>
      </c>
      <c r="AD197" s="2" t="b">
        <v>0</v>
      </c>
      <c r="AV197"/>
      <c r="AW197"/>
      <c r="AX197"/>
    </row>
    <row r="198" spans="1:50">
      <c r="A198" s="2" t="s">
        <v>222</v>
      </c>
      <c r="B198">
        <v>1960</v>
      </c>
      <c r="C198">
        <v>0</v>
      </c>
      <c r="D198" t="s">
        <v>1828</v>
      </c>
      <c r="E198" t="str">
        <f>_xlfn.XLOOKUP(PROPERTIES[[#This Row],[COUNTRY]],COUNTRIES[COUNTRY_DESCRIPTION],COUNTRIES[COUNTRY_LABEL],"")</f>
        <v>BR</v>
      </c>
      <c r="F198" t="s">
        <v>35</v>
      </c>
      <c r="G198" t="s">
        <v>20</v>
      </c>
      <c r="H198">
        <v>0</v>
      </c>
      <c r="I198">
        <v>5</v>
      </c>
      <c r="J198">
        <v>5</v>
      </c>
      <c r="K198" s="2" t="s">
        <v>20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4">
        <v>64</v>
      </c>
      <c r="P198">
        <v>875</v>
      </c>
      <c r="Q198">
        <v>124</v>
      </c>
      <c r="R198" s="31">
        <v>152</v>
      </c>
      <c r="S198" s="30">
        <f>IFERROR(PROPERTIES[[#This Row],[TE_STARTING_KN]]/(PROPERTIES[[#This Row],[WEIGHT]]*9.81),0)</f>
        <v>0.24209989806320081</v>
      </c>
      <c r="T198" s="30">
        <v>0.13</v>
      </c>
      <c r="U198" s="27">
        <f>ROUND(IF(IFERROR(PROPERTIES[[#This Row],[TE_COEFFICIENT_CALC]],0)=0,PROPERTIES[[#This Row],[TE_COEFFICIENT_MANUAL]],PROPERTIES[[#This Row],[TE_COEFFICIENT_CALC]]),3)</f>
        <v>0.24199999999999999</v>
      </c>
      <c r="V198" s="6">
        <v>40</v>
      </c>
      <c r="W198" s="10">
        <v>0</v>
      </c>
      <c r="X198" s="10">
        <v>0</v>
      </c>
      <c r="Y198" s="10"/>
      <c r="Z198" t="str">
        <f>"RUNNING_COST_"&amp;IF(PROPERTIES[[#This Row],[ENGINE_CLASS]]="MAGLEV","ELECTRIC",PROPERTIES[[#This Row],[ENGINE_CLASS]])</f>
        <v>RUNNING_COST_DIESEL</v>
      </c>
      <c r="AA198" s="10" t="s">
        <v>1000</v>
      </c>
      <c r="AB198" s="10" t="s">
        <v>1001</v>
      </c>
      <c r="AC198" s="10" t="str">
        <f>SUBSTITUTE(SUBSTITUTE(PROPERTIES[[#This Row],[PURCHASECOST_VALUE]], "PURCHASECOST_", ""), "_VALUE", "")</f>
        <v>DIESELENGINE</v>
      </c>
      <c r="AD198" s="2" t="b">
        <v>0</v>
      </c>
      <c r="AV198"/>
      <c r="AW198"/>
      <c r="AX198"/>
    </row>
    <row r="199" spans="1:50">
      <c r="A199" s="2" t="s">
        <v>223</v>
      </c>
      <c r="B199">
        <v>1960</v>
      </c>
      <c r="C199">
        <v>0</v>
      </c>
      <c r="D199" t="s">
        <v>1828</v>
      </c>
      <c r="E199" t="str">
        <f>_xlfn.XLOOKUP(PROPERTIES[[#This Row],[COUNTRY]],COUNTRIES[COUNTRY_DESCRIPTION],COUNTRIES[COUNTRY_LABEL],"")</f>
        <v>BR</v>
      </c>
      <c r="F199" t="s">
        <v>35</v>
      </c>
      <c r="G199" t="s">
        <v>20</v>
      </c>
      <c r="H199">
        <v>0</v>
      </c>
      <c r="I199">
        <v>8</v>
      </c>
      <c r="J199">
        <v>8</v>
      </c>
      <c r="K199" s="2" t="s">
        <v>20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4">
        <v>156</v>
      </c>
      <c r="P199">
        <v>3540</v>
      </c>
      <c r="Q199">
        <v>110</v>
      </c>
      <c r="R199" s="31">
        <v>400</v>
      </c>
      <c r="S199" s="30">
        <f>IFERROR(PROPERTIES[[#This Row],[TE_STARTING_KN]]/(PROPERTIES[[#This Row],[WEIGHT]]*9.81),0)</f>
        <v>0.26137640816539898</v>
      </c>
      <c r="T199" s="30">
        <v>0.28999999999999998</v>
      </c>
      <c r="U199" s="27">
        <f>ROUND(IF(IFERROR(PROPERTIES[[#This Row],[TE_COEFFICIENT_CALC]],0)=0,PROPERTIES[[#This Row],[TE_COEFFICIENT_MANUAL]],PROPERTIES[[#This Row],[TE_COEFFICIENT_CALC]]),3)</f>
        <v>0.26100000000000001</v>
      </c>
      <c r="V199" s="6">
        <v>40</v>
      </c>
      <c r="W199" s="10">
        <v>0</v>
      </c>
      <c r="X199" s="10">
        <v>0</v>
      </c>
      <c r="Y199" s="10"/>
      <c r="Z199" t="str">
        <f>"RUNNING_COST_"&amp;IF(PROPERTIES[[#This Row],[ENGINE_CLASS]]="MAGLEV","ELECTRIC",PROPERTIES[[#This Row],[ENGINE_CLASS]])</f>
        <v>RUNNING_COST_DIESEL</v>
      </c>
      <c r="AA199" s="10" t="s">
        <v>1000</v>
      </c>
      <c r="AB199" s="10" t="s">
        <v>1001</v>
      </c>
      <c r="AC199" s="10" t="str">
        <f>SUBSTITUTE(SUBSTITUTE(PROPERTIES[[#This Row],[PURCHASECOST_VALUE]], "PURCHASECOST_", ""), "_VALUE", "")</f>
        <v>DIESELENGINE</v>
      </c>
      <c r="AD199" s="2" t="b">
        <v>0</v>
      </c>
      <c r="AV199"/>
      <c r="AW199"/>
      <c r="AX199"/>
    </row>
    <row r="200" spans="1:50">
      <c r="A200" s="2" t="s">
        <v>224</v>
      </c>
      <c r="B200">
        <v>1960</v>
      </c>
      <c r="C200">
        <v>0</v>
      </c>
      <c r="D200" t="s">
        <v>2048</v>
      </c>
      <c r="E200" t="str">
        <f>_xlfn.XLOOKUP(PROPERTIES[[#This Row],[COUNTRY]],COUNTRIES[COUNTRY_DESCRIPTION],COUNTRIES[COUNTRY_LABEL],"")</f>
        <v>SU</v>
      </c>
      <c r="F200" t="s">
        <v>35</v>
      </c>
      <c r="G200" t="s">
        <v>20</v>
      </c>
      <c r="H200">
        <v>0</v>
      </c>
      <c r="I200">
        <v>8</v>
      </c>
      <c r="J200">
        <v>8</v>
      </c>
      <c r="K200" s="2" t="s">
        <v>20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4">
        <v>130</v>
      </c>
      <c r="P200">
        <v>2960</v>
      </c>
      <c r="Q200">
        <v>160</v>
      </c>
      <c r="R200" s="31">
        <v>245</v>
      </c>
      <c r="S200" s="30">
        <f>IFERROR(PROPERTIES[[#This Row],[TE_STARTING_KN]]/(PROPERTIES[[#This Row],[WEIGHT]]*9.81),0)</f>
        <v>0.19211166000156826</v>
      </c>
      <c r="T200" s="30">
        <v>0.15</v>
      </c>
      <c r="U200" s="27">
        <f>ROUND(IF(IFERROR(PROPERTIES[[#This Row],[TE_COEFFICIENT_CALC]],0)=0,PROPERTIES[[#This Row],[TE_COEFFICIENT_MANUAL]],PROPERTIES[[#This Row],[TE_COEFFICIENT_CALC]]),3)</f>
        <v>0.192</v>
      </c>
      <c r="V200" s="6">
        <v>40</v>
      </c>
      <c r="W200" s="10">
        <v>0</v>
      </c>
      <c r="X200" s="10">
        <v>0</v>
      </c>
      <c r="Y200" s="10"/>
      <c r="Z200" t="str">
        <f>"RUNNING_COST_"&amp;IF(PROPERTIES[[#This Row],[ENGINE_CLASS]]="MAGLEV","ELECTRIC",PROPERTIES[[#This Row],[ENGINE_CLASS]])</f>
        <v>RUNNING_COST_DIESEL</v>
      </c>
      <c r="AA200" s="10" t="s">
        <v>1000</v>
      </c>
      <c r="AB200" s="10" t="s">
        <v>1001</v>
      </c>
      <c r="AC200" s="10" t="str">
        <f>SUBSTITUTE(SUBSTITUTE(PROPERTIES[[#This Row],[PURCHASECOST_VALUE]], "PURCHASECOST_", ""), "_VALUE", "")</f>
        <v>DIESELENGINE</v>
      </c>
      <c r="AD200" s="2" t="b">
        <v>0</v>
      </c>
      <c r="AV200"/>
      <c r="AW200"/>
      <c r="AX200"/>
    </row>
    <row r="201" spans="1:50">
      <c r="A201" s="2" t="s">
        <v>225</v>
      </c>
      <c r="B201">
        <v>1961</v>
      </c>
      <c r="C201">
        <v>0</v>
      </c>
      <c r="D201" t="s">
        <v>1817</v>
      </c>
      <c r="E201" t="str">
        <f>_xlfn.XLOOKUP(PROPERTIES[[#This Row],[COUNTRY]],COUNTRIES[COUNTRY_DESCRIPTION],COUNTRIES[COUNTRY_LABEL],"")</f>
        <v>BE</v>
      </c>
      <c r="F201" t="s">
        <v>35</v>
      </c>
      <c r="G201" t="s">
        <v>20</v>
      </c>
      <c r="H201">
        <v>0</v>
      </c>
      <c r="I201">
        <v>8</v>
      </c>
      <c r="J201">
        <v>8</v>
      </c>
      <c r="K201" s="2" t="s">
        <v>20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4">
        <v>78.599999999999994</v>
      </c>
      <c r="P201">
        <v>1380</v>
      </c>
      <c r="Q201">
        <v>120</v>
      </c>
      <c r="R201" s="31">
        <v>212</v>
      </c>
      <c r="S201" s="30">
        <f>IFERROR(PROPERTIES[[#This Row],[TE_STARTING_KN]]/(PROPERTIES[[#This Row],[WEIGHT]]*9.81),0)</f>
        <v>0.27494403851291588</v>
      </c>
      <c r="T201" s="30">
        <v>0.27</v>
      </c>
      <c r="U201" s="27">
        <f>ROUND(IF(IFERROR(PROPERTIES[[#This Row],[TE_COEFFICIENT_CALC]],0)=0,PROPERTIES[[#This Row],[TE_COEFFICIENT_MANUAL]],PROPERTIES[[#This Row],[TE_COEFFICIENT_CALC]]),3)</f>
        <v>0.27500000000000002</v>
      </c>
      <c r="V201" s="6">
        <v>40</v>
      </c>
      <c r="W201" s="10">
        <v>0</v>
      </c>
      <c r="X201" s="10">
        <v>0</v>
      </c>
      <c r="Y201" s="10"/>
      <c r="Z201" t="str">
        <f>"RUNNING_COST_"&amp;IF(PROPERTIES[[#This Row],[ENGINE_CLASS]]="MAGLEV","ELECTRIC",PROPERTIES[[#This Row],[ENGINE_CLASS]])</f>
        <v>RUNNING_COST_DIESEL</v>
      </c>
      <c r="AA201" s="10" t="s">
        <v>1000</v>
      </c>
      <c r="AB201" s="10" t="s">
        <v>1001</v>
      </c>
      <c r="AC201" s="10" t="str">
        <f>SUBSTITUTE(SUBSTITUTE(PROPERTIES[[#This Row],[PURCHASECOST_VALUE]], "PURCHASECOST_", ""), "_VALUE", "")</f>
        <v>DIESELENGINE</v>
      </c>
      <c r="AD201" s="2" t="b">
        <v>0</v>
      </c>
      <c r="AV201"/>
      <c r="AW201"/>
      <c r="AX201"/>
    </row>
    <row r="202" spans="1:50">
      <c r="A202" s="2" t="s">
        <v>226</v>
      </c>
      <c r="B202">
        <v>1960</v>
      </c>
      <c r="C202">
        <v>0</v>
      </c>
      <c r="D202" t="s">
        <v>1856</v>
      </c>
      <c r="E202" t="str">
        <f>_xlfn.XLOOKUP(PROPERTIES[[#This Row],[COUNTRY]],COUNTRIES[COUNTRY_DESCRIPTION],COUNTRIES[COUNTRY_LABEL],"")</f>
        <v>DK</v>
      </c>
      <c r="F202" t="s">
        <v>35</v>
      </c>
      <c r="G202" t="s">
        <v>20</v>
      </c>
      <c r="H202">
        <v>0</v>
      </c>
      <c r="I202">
        <v>7</v>
      </c>
      <c r="J202">
        <v>7</v>
      </c>
      <c r="K202" s="2" t="s">
        <v>20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4">
        <v>45</v>
      </c>
      <c r="P202">
        <v>334</v>
      </c>
      <c r="Q202">
        <v>60</v>
      </c>
      <c r="R202" s="31">
        <v>110</v>
      </c>
      <c r="S202" s="30">
        <f>IFERROR(PROPERTIES[[#This Row],[TE_STARTING_KN]]/(PROPERTIES[[#This Row],[WEIGHT]]*9.81),0)</f>
        <v>0.24917884245101368</v>
      </c>
      <c r="T202" s="30">
        <v>0.21</v>
      </c>
      <c r="U202" s="27">
        <f>ROUND(IF(IFERROR(PROPERTIES[[#This Row],[TE_COEFFICIENT_CALC]],0)=0,PROPERTIES[[#This Row],[TE_COEFFICIENT_MANUAL]],PROPERTIES[[#This Row],[TE_COEFFICIENT_CALC]]),3)</f>
        <v>0.249</v>
      </c>
      <c r="V202" s="6">
        <v>40</v>
      </c>
      <c r="W202" s="10">
        <v>0</v>
      </c>
      <c r="X202" s="10">
        <v>0</v>
      </c>
      <c r="Y202" s="10"/>
      <c r="Z202" t="str">
        <f>"RUNNING_COST_"&amp;IF(PROPERTIES[[#This Row],[ENGINE_CLASS]]="MAGLEV","ELECTRIC",PROPERTIES[[#This Row],[ENGINE_CLASS]])</f>
        <v>RUNNING_COST_DIESEL</v>
      </c>
      <c r="AA202" s="10" t="s">
        <v>1000</v>
      </c>
      <c r="AB202" s="10" t="s">
        <v>1001</v>
      </c>
      <c r="AC202" s="10" t="str">
        <f>SUBSTITUTE(SUBSTITUTE(PROPERTIES[[#This Row],[PURCHASECOST_VALUE]], "PURCHASECOST_", ""), "_VALUE", "")</f>
        <v>DIESELENGINE</v>
      </c>
      <c r="AD202" s="2" t="b">
        <v>0</v>
      </c>
      <c r="AV202"/>
      <c r="AW202"/>
      <c r="AX202"/>
    </row>
    <row r="203" spans="1:50">
      <c r="A203" s="2" t="s">
        <v>227</v>
      </c>
      <c r="B203">
        <v>1963</v>
      </c>
      <c r="C203">
        <v>0</v>
      </c>
      <c r="D203" t="s">
        <v>1901</v>
      </c>
      <c r="E203" t="str">
        <f>_xlfn.XLOOKUP(PROPERTIES[[#This Row],[COUNTRY]],COUNTRIES[COUNTRY_DESCRIPTION],COUNTRIES[COUNTRY_LABEL],"")</f>
        <v>IN</v>
      </c>
      <c r="F203" t="s">
        <v>35</v>
      </c>
      <c r="G203" t="s">
        <v>20</v>
      </c>
      <c r="H203">
        <v>0</v>
      </c>
      <c r="I203">
        <v>7</v>
      </c>
      <c r="J203">
        <v>7</v>
      </c>
      <c r="K203" s="2" t="s">
        <v>20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4">
        <v>113</v>
      </c>
      <c r="P203">
        <v>2400</v>
      </c>
      <c r="Q203">
        <v>120</v>
      </c>
      <c r="R203" s="31">
        <v>300</v>
      </c>
      <c r="S203" s="30">
        <f>IFERROR(PROPERTIES[[#This Row],[TE_STARTING_KN]]/(PROPERTIES[[#This Row],[WEIGHT]]*9.81),0)</f>
        <v>0.27062867040134231</v>
      </c>
      <c r="T203" s="30">
        <v>0.27</v>
      </c>
      <c r="U203" s="27">
        <f>ROUND(IF(IFERROR(PROPERTIES[[#This Row],[TE_COEFFICIENT_CALC]],0)=0,PROPERTIES[[#This Row],[TE_COEFFICIENT_MANUAL]],PROPERTIES[[#This Row],[TE_COEFFICIENT_CALC]]),3)</f>
        <v>0.27100000000000002</v>
      </c>
      <c r="V203" s="6">
        <v>40</v>
      </c>
      <c r="W203" s="10">
        <v>0</v>
      </c>
      <c r="X203" s="10">
        <v>0</v>
      </c>
      <c r="Y203" s="10"/>
      <c r="Z203" t="str">
        <f>"RUNNING_COST_"&amp;IF(PROPERTIES[[#This Row],[ENGINE_CLASS]]="MAGLEV","ELECTRIC",PROPERTIES[[#This Row],[ENGINE_CLASS]])</f>
        <v>RUNNING_COST_DIESEL</v>
      </c>
      <c r="AA203" s="10" t="s">
        <v>1000</v>
      </c>
      <c r="AB203" s="10" t="s">
        <v>1001</v>
      </c>
      <c r="AC203" s="10" t="str">
        <f>SUBSTITUTE(SUBSTITUTE(PROPERTIES[[#This Row],[PURCHASECOST_VALUE]], "PURCHASECOST_", ""), "_VALUE", "")</f>
        <v>DIESELENGINE</v>
      </c>
      <c r="AD203" s="2" t="b">
        <v>0</v>
      </c>
      <c r="AV203"/>
      <c r="AW203"/>
      <c r="AX203"/>
    </row>
    <row r="204" spans="1:50">
      <c r="A204" s="2" t="s">
        <v>228</v>
      </c>
      <c r="B204">
        <v>1964</v>
      </c>
      <c r="C204">
        <v>0</v>
      </c>
      <c r="D204" t="s">
        <v>1873</v>
      </c>
      <c r="E204" t="str">
        <f>_xlfn.XLOOKUP(PROPERTIES[[#This Row],[COUNTRY]],COUNTRIES[COUNTRY_DESCRIPTION],COUNTRIES[COUNTRY_LABEL],"")</f>
        <v>GB</v>
      </c>
      <c r="F204" t="s">
        <v>35</v>
      </c>
      <c r="G204" t="s">
        <v>20</v>
      </c>
      <c r="H204">
        <v>0</v>
      </c>
      <c r="I204">
        <v>6</v>
      </c>
      <c r="J204">
        <v>6</v>
      </c>
      <c r="K204" s="2" t="s">
        <v>20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4">
        <v>49</v>
      </c>
      <c r="P204">
        <v>650</v>
      </c>
      <c r="Q204">
        <v>64</v>
      </c>
      <c r="R204" s="31">
        <v>137.5</v>
      </c>
      <c r="S204" s="30">
        <f>IFERROR(PROPERTIES[[#This Row],[TE_STARTING_KN]]/(PROPERTIES[[#This Row],[WEIGHT]]*9.81),0)</f>
        <v>0.28604714056876573</v>
      </c>
      <c r="T204" s="30">
        <v>0.28000000000000003</v>
      </c>
      <c r="U204" s="27">
        <f>ROUND(IF(IFERROR(PROPERTIES[[#This Row],[TE_COEFFICIENT_CALC]],0)=0,PROPERTIES[[#This Row],[TE_COEFFICIENT_MANUAL]],PROPERTIES[[#This Row],[TE_COEFFICIENT_CALC]]),3)</f>
        <v>0.28599999999999998</v>
      </c>
      <c r="V204" s="6">
        <v>40</v>
      </c>
      <c r="W204" s="10">
        <v>0</v>
      </c>
      <c r="X204" s="10">
        <v>0</v>
      </c>
      <c r="Y204" s="10"/>
      <c r="Z204" t="str">
        <f>"RUNNING_COST_"&amp;IF(PROPERTIES[[#This Row],[ENGINE_CLASS]]="MAGLEV","ELECTRIC",PROPERTIES[[#This Row],[ENGINE_CLASS]])</f>
        <v>RUNNING_COST_DIESEL</v>
      </c>
      <c r="AA204" s="10" t="s">
        <v>1000</v>
      </c>
      <c r="AB204" s="10" t="s">
        <v>1001</v>
      </c>
      <c r="AC204" s="10" t="str">
        <f>SUBSTITUTE(SUBSTITUTE(PROPERTIES[[#This Row],[PURCHASECOST_VALUE]], "PURCHASECOST_", ""), "_VALUE", "")</f>
        <v>DIESELENGINE</v>
      </c>
      <c r="AD204" s="2" t="b">
        <v>0</v>
      </c>
      <c r="AV204"/>
      <c r="AW204"/>
      <c r="AX204"/>
    </row>
    <row r="205" spans="1:50">
      <c r="A205" s="2" t="s">
        <v>229</v>
      </c>
      <c r="B205">
        <v>1964</v>
      </c>
      <c r="C205">
        <v>0</v>
      </c>
      <c r="D205" t="s">
        <v>2048</v>
      </c>
      <c r="E205" t="str">
        <f>_xlfn.XLOOKUP(PROPERTIES[[#This Row],[COUNTRY]],COUNTRIES[COUNTRY_DESCRIPTION],COUNTRIES[COUNTRY_LABEL],"")</f>
        <v>SU</v>
      </c>
      <c r="F205" t="s">
        <v>35</v>
      </c>
      <c r="G205" t="s">
        <v>20</v>
      </c>
      <c r="H205">
        <v>0</v>
      </c>
      <c r="I205">
        <v>8</v>
      </c>
      <c r="J205">
        <v>8</v>
      </c>
      <c r="K205" s="2" t="s">
        <v>20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4">
        <v>126</v>
      </c>
      <c r="P205">
        <v>1250</v>
      </c>
      <c r="Q205">
        <v>95</v>
      </c>
      <c r="R205" s="31">
        <v>362</v>
      </c>
      <c r="S205" s="30">
        <f>IFERROR(PROPERTIES[[#This Row],[TE_STARTING_KN]]/(PROPERTIES[[#This Row],[WEIGHT]]*9.81),0)</f>
        <v>0.29286604210151607</v>
      </c>
      <c r="T205" s="30">
        <v>0.28999999999999998</v>
      </c>
      <c r="U205" s="27">
        <f>ROUND(IF(IFERROR(PROPERTIES[[#This Row],[TE_COEFFICIENT_CALC]],0)=0,PROPERTIES[[#This Row],[TE_COEFFICIENT_MANUAL]],PROPERTIES[[#This Row],[TE_COEFFICIENT_CALC]]),3)</f>
        <v>0.29299999999999998</v>
      </c>
      <c r="V205" s="6">
        <v>40</v>
      </c>
      <c r="W205" s="10">
        <v>0</v>
      </c>
      <c r="X205" s="10">
        <v>0</v>
      </c>
      <c r="Y205" s="10"/>
      <c r="Z205" t="str">
        <f>"RUNNING_COST_"&amp;IF(PROPERTIES[[#This Row],[ENGINE_CLASS]]="MAGLEV","ELECTRIC",PROPERTIES[[#This Row],[ENGINE_CLASS]])</f>
        <v>RUNNING_COST_DIESEL</v>
      </c>
      <c r="AA205" s="10" t="s">
        <v>1000</v>
      </c>
      <c r="AB205" s="10" t="s">
        <v>1001</v>
      </c>
      <c r="AC205" s="10" t="str">
        <f>SUBSTITUTE(SUBSTITUTE(PROPERTIES[[#This Row],[PURCHASECOST_VALUE]], "PURCHASECOST_", ""), "_VALUE", "")</f>
        <v>DIESELENGINE</v>
      </c>
      <c r="AD205" s="2" t="b">
        <v>0</v>
      </c>
      <c r="AV205"/>
      <c r="AW205"/>
      <c r="AX205"/>
    </row>
    <row r="206" spans="1:50">
      <c r="A206" s="2" t="s">
        <v>230</v>
      </c>
      <c r="B206">
        <v>1965</v>
      </c>
      <c r="C206">
        <v>0</v>
      </c>
      <c r="D206" t="s">
        <v>1807</v>
      </c>
      <c r="E206" t="str">
        <f>_xlfn.XLOOKUP(PROPERTIES[[#This Row],[COUNTRY]],COUNTRIES[COUNTRY_DESCRIPTION],COUNTRIES[COUNTRY_LABEL],"")</f>
        <v>AR</v>
      </c>
      <c r="F206" t="s">
        <v>35</v>
      </c>
      <c r="G206" t="s">
        <v>20</v>
      </c>
      <c r="H206">
        <v>0</v>
      </c>
      <c r="I206">
        <v>8</v>
      </c>
      <c r="J206">
        <v>8</v>
      </c>
      <c r="K206" s="2" t="s">
        <v>20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4">
        <v>112</v>
      </c>
      <c r="P206">
        <v>1870</v>
      </c>
      <c r="Q206">
        <v>120</v>
      </c>
      <c r="R206" s="31">
        <v>255</v>
      </c>
      <c r="S206" s="30">
        <f>IFERROR(PROPERTIES[[#This Row],[TE_STARTING_KN]]/(PROPERTIES[[#This Row],[WEIGHT]]*9.81),0)</f>
        <v>0.23208824814329401</v>
      </c>
      <c r="T206" s="30">
        <v>0.21</v>
      </c>
      <c r="U206" s="27">
        <f>ROUND(IF(IFERROR(PROPERTIES[[#This Row],[TE_COEFFICIENT_CALC]],0)=0,PROPERTIES[[#This Row],[TE_COEFFICIENT_MANUAL]],PROPERTIES[[#This Row],[TE_COEFFICIENT_CALC]]),3)</f>
        <v>0.23200000000000001</v>
      </c>
      <c r="V206" s="6">
        <v>40</v>
      </c>
      <c r="W206" s="10">
        <v>0</v>
      </c>
      <c r="X206" s="10">
        <v>0</v>
      </c>
      <c r="Y206" s="10"/>
      <c r="Z206" t="str">
        <f>"RUNNING_COST_"&amp;IF(PROPERTIES[[#This Row],[ENGINE_CLASS]]="MAGLEV","ELECTRIC",PROPERTIES[[#This Row],[ENGINE_CLASS]])</f>
        <v>RUNNING_COST_DIESEL</v>
      </c>
      <c r="AA206" s="10" t="s">
        <v>1000</v>
      </c>
      <c r="AB206" s="10" t="s">
        <v>1001</v>
      </c>
      <c r="AC206" s="10" t="str">
        <f>SUBSTITUTE(SUBSTITUTE(PROPERTIES[[#This Row],[PURCHASECOST_VALUE]], "PURCHASECOST_", ""), "_VALUE", "")</f>
        <v>DIESELENGINE</v>
      </c>
      <c r="AD206" s="2" t="b">
        <v>0</v>
      </c>
      <c r="AV206"/>
      <c r="AW206"/>
      <c r="AX206"/>
    </row>
    <row r="207" spans="1:50">
      <c r="A207" s="2" t="s">
        <v>231</v>
      </c>
      <c r="B207">
        <v>1965</v>
      </c>
      <c r="C207">
        <v>0</v>
      </c>
      <c r="D207" t="s">
        <v>2048</v>
      </c>
      <c r="E207" t="str">
        <f>_xlfn.XLOOKUP(PROPERTIES[[#This Row],[COUNTRY]],COUNTRIES[COUNTRY_DESCRIPTION],COUNTRIES[COUNTRY_LABEL],"")</f>
        <v>SU</v>
      </c>
      <c r="F207" t="s">
        <v>35</v>
      </c>
      <c r="G207" t="s">
        <v>20</v>
      </c>
      <c r="H207">
        <v>0</v>
      </c>
      <c r="I207">
        <v>8</v>
      </c>
      <c r="J207">
        <v>8</v>
      </c>
      <c r="K207" s="2" t="s">
        <v>20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4">
        <v>116</v>
      </c>
      <c r="P207">
        <v>1970</v>
      </c>
      <c r="Q207">
        <v>100</v>
      </c>
      <c r="R207" s="31">
        <v>314</v>
      </c>
      <c r="S207" s="30">
        <f>IFERROR(PROPERTIES[[#This Row],[TE_STARTING_KN]]/(PROPERTIES[[#This Row],[WEIGHT]]*9.81),0)</f>
        <v>0.27593237020633415</v>
      </c>
      <c r="T207" s="30">
        <v>0.3</v>
      </c>
      <c r="U207" s="27">
        <f>ROUND(IF(IFERROR(PROPERTIES[[#This Row],[TE_COEFFICIENT_CALC]],0)=0,PROPERTIES[[#This Row],[TE_COEFFICIENT_MANUAL]],PROPERTIES[[#This Row],[TE_COEFFICIENT_CALC]]),3)</f>
        <v>0.27600000000000002</v>
      </c>
      <c r="V207" s="6">
        <v>40</v>
      </c>
      <c r="W207" s="10">
        <v>0</v>
      </c>
      <c r="X207" s="10">
        <v>0</v>
      </c>
      <c r="Y207" s="10"/>
      <c r="Z207" t="str">
        <f>"RUNNING_COST_"&amp;IF(PROPERTIES[[#This Row],[ENGINE_CLASS]]="MAGLEV","ELECTRIC",PROPERTIES[[#This Row],[ENGINE_CLASS]])</f>
        <v>RUNNING_COST_DIESEL</v>
      </c>
      <c r="AA207" s="10" t="s">
        <v>1000</v>
      </c>
      <c r="AB207" s="10" t="s">
        <v>1001</v>
      </c>
      <c r="AC207" s="10" t="str">
        <f>SUBSTITUTE(SUBSTITUTE(PROPERTIES[[#This Row],[PURCHASECOST_VALUE]], "PURCHASECOST_", ""), "_VALUE", "")</f>
        <v>DIESELENGINE</v>
      </c>
      <c r="AD207" s="2" t="b">
        <v>0</v>
      </c>
      <c r="AV207"/>
      <c r="AW207"/>
      <c r="AX207"/>
    </row>
    <row r="208" spans="1:50">
      <c r="A208" s="2" t="s">
        <v>232</v>
      </c>
      <c r="B208">
        <v>1969</v>
      </c>
      <c r="C208">
        <v>0</v>
      </c>
      <c r="D208" t="s">
        <v>1810</v>
      </c>
      <c r="E208" t="str">
        <f>_xlfn.XLOOKUP(PROPERTIES[[#This Row],[COUNTRY]],COUNTRIES[COUNTRY_DESCRIPTION],COUNTRIES[COUNTRY_LABEL],"")</f>
        <v>AU</v>
      </c>
      <c r="F208" t="s">
        <v>35</v>
      </c>
      <c r="G208" t="s">
        <v>20</v>
      </c>
      <c r="H208">
        <v>0</v>
      </c>
      <c r="I208">
        <v>8</v>
      </c>
      <c r="J208">
        <v>8</v>
      </c>
      <c r="K208" s="2" t="s">
        <v>20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4">
        <v>110</v>
      </c>
      <c r="P208">
        <v>2000</v>
      </c>
      <c r="Q208">
        <v>124</v>
      </c>
      <c r="R208" s="31">
        <v>315.47000000000003</v>
      </c>
      <c r="S208" s="30">
        <f>IFERROR(PROPERTIES[[#This Row],[TE_STARTING_KN]]/(PROPERTIES[[#This Row],[WEIGHT]]*9.81),0)</f>
        <v>0.29234547307941799</v>
      </c>
      <c r="T208" s="30">
        <v>0.25</v>
      </c>
      <c r="U208" s="27">
        <f>ROUND(IF(IFERROR(PROPERTIES[[#This Row],[TE_COEFFICIENT_CALC]],0)=0,PROPERTIES[[#This Row],[TE_COEFFICIENT_MANUAL]],PROPERTIES[[#This Row],[TE_COEFFICIENT_CALC]]),3)</f>
        <v>0.29199999999999998</v>
      </c>
      <c r="V208" s="6">
        <v>40</v>
      </c>
      <c r="W208" s="10">
        <v>0</v>
      </c>
      <c r="X208" s="10">
        <v>0</v>
      </c>
      <c r="Y208" s="10"/>
      <c r="Z208" t="str">
        <f>"RUNNING_COST_"&amp;IF(PROPERTIES[[#This Row],[ENGINE_CLASS]]="MAGLEV","ELECTRIC",PROPERTIES[[#This Row],[ENGINE_CLASS]])</f>
        <v>RUNNING_COST_DIESEL</v>
      </c>
      <c r="AA208" s="10" t="s">
        <v>1000</v>
      </c>
      <c r="AB208" s="10" t="s">
        <v>1001</v>
      </c>
      <c r="AC208" s="10" t="str">
        <f>SUBSTITUTE(SUBSTITUTE(PROPERTIES[[#This Row],[PURCHASECOST_VALUE]], "PURCHASECOST_", ""), "_VALUE", "")</f>
        <v>DIESELENGINE</v>
      </c>
      <c r="AD208" s="2" t="b">
        <v>0</v>
      </c>
      <c r="AV208"/>
      <c r="AW208"/>
      <c r="AX208"/>
    </row>
    <row r="209" spans="1:50">
      <c r="A209" s="2" t="s">
        <v>233</v>
      </c>
      <c r="B209">
        <v>1969</v>
      </c>
      <c r="C209">
        <v>0</v>
      </c>
      <c r="D209" t="s">
        <v>1862</v>
      </c>
      <c r="E209" t="str">
        <f>_xlfn.XLOOKUP(PROPERTIES[[#This Row],[COUNTRY]],COUNTRIES[COUNTRY_DESCRIPTION],COUNTRIES[COUNTRY_LABEL],"")</f>
        <v>EG</v>
      </c>
      <c r="F209" t="s">
        <v>35</v>
      </c>
      <c r="G209" t="s">
        <v>20</v>
      </c>
      <c r="H209">
        <v>0</v>
      </c>
      <c r="I209">
        <v>8</v>
      </c>
      <c r="J209">
        <v>8</v>
      </c>
      <c r="K209" s="2" t="s">
        <v>20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4">
        <v>108</v>
      </c>
      <c r="P209">
        <v>1650</v>
      </c>
      <c r="Q209">
        <v>110</v>
      </c>
      <c r="R209" s="31">
        <v>265</v>
      </c>
      <c r="S209" s="30">
        <f>IFERROR(PROPERTIES[[#This Row],[TE_STARTING_KN]]/(PROPERTIES[[#This Row],[WEIGHT]]*9.81),0)</f>
        <v>0.25012270170272211</v>
      </c>
      <c r="T209" s="30">
        <v>0.21</v>
      </c>
      <c r="U209" s="27">
        <f>ROUND(IF(IFERROR(PROPERTIES[[#This Row],[TE_COEFFICIENT_CALC]],0)=0,PROPERTIES[[#This Row],[TE_COEFFICIENT_MANUAL]],PROPERTIES[[#This Row],[TE_COEFFICIENT_CALC]]),3)</f>
        <v>0.25</v>
      </c>
      <c r="V209" s="6">
        <v>40</v>
      </c>
      <c r="W209" s="10">
        <v>0</v>
      </c>
      <c r="X209" s="10">
        <v>0</v>
      </c>
      <c r="Y209" s="10"/>
      <c r="Z209" t="str">
        <f>"RUNNING_COST_"&amp;IF(PROPERTIES[[#This Row],[ENGINE_CLASS]]="MAGLEV","ELECTRIC",PROPERTIES[[#This Row],[ENGINE_CLASS]])</f>
        <v>RUNNING_COST_DIESEL</v>
      </c>
      <c r="AA209" s="10" t="s">
        <v>1000</v>
      </c>
      <c r="AB209" s="10" t="s">
        <v>1001</v>
      </c>
      <c r="AC209" s="10" t="str">
        <f>SUBSTITUTE(SUBSTITUTE(PROPERTIES[[#This Row],[PURCHASECOST_VALUE]], "PURCHASECOST_", ""), "_VALUE", "")</f>
        <v>DIESELENGINE</v>
      </c>
      <c r="AD209" s="2" t="b">
        <v>0</v>
      </c>
      <c r="AV209"/>
      <c r="AW209"/>
      <c r="AX209"/>
    </row>
    <row r="210" spans="1:50">
      <c r="A210" s="2" t="s">
        <v>234</v>
      </c>
      <c r="B210">
        <v>1969</v>
      </c>
      <c r="C210">
        <v>0</v>
      </c>
      <c r="D210" t="s">
        <v>2029</v>
      </c>
      <c r="E210" t="str">
        <f>_xlfn.XLOOKUP(PROPERTIES[[#This Row],[COUNTRY]],COUNTRIES[COUNTRY_DESCRIPTION],COUNTRIES[COUNTRY_LABEL],"")</f>
        <v>US</v>
      </c>
      <c r="F210" t="s">
        <v>35</v>
      </c>
      <c r="G210" t="s">
        <v>20</v>
      </c>
      <c r="H210">
        <v>0</v>
      </c>
      <c r="I210">
        <v>8</v>
      </c>
      <c r="J210">
        <v>4</v>
      </c>
      <c r="K210" s="2" t="s">
        <v>20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4">
        <v>247</v>
      </c>
      <c r="P210">
        <v>6600</v>
      </c>
      <c r="Q210">
        <v>144</v>
      </c>
      <c r="R210" s="31">
        <v>506.8</v>
      </c>
      <c r="S210" s="30">
        <f>IFERROR(PROPERTIES[[#This Row],[TE_STARTING_KN]]/(PROPERTIES[[#This Row],[WEIGHT]]*9.81),0)</f>
        <v>0.20915615314456454</v>
      </c>
      <c r="T210" s="30">
        <v>0.19</v>
      </c>
      <c r="U210" s="27">
        <f>ROUND(IF(IFERROR(PROPERTIES[[#This Row],[TE_COEFFICIENT_CALC]],0)=0,PROPERTIES[[#This Row],[TE_COEFFICIENT_MANUAL]],PROPERTIES[[#This Row],[TE_COEFFICIENT_CALC]]),3)</f>
        <v>0.20899999999999999</v>
      </c>
      <c r="V210" s="6">
        <v>40</v>
      </c>
      <c r="W210" s="10">
        <v>0</v>
      </c>
      <c r="X210" s="10">
        <v>2</v>
      </c>
      <c r="Y210" s="10"/>
      <c r="Z210" t="str">
        <f>"RUNNING_COST_"&amp;IF(PROPERTIES[[#This Row],[ENGINE_CLASS]]="MAGLEV","ELECTRIC",PROPERTIES[[#This Row],[ENGINE_CLASS]])</f>
        <v>RUNNING_COST_DIESEL</v>
      </c>
      <c r="AA210" s="10" t="s">
        <v>1000</v>
      </c>
      <c r="AB210" s="10" t="s">
        <v>1001</v>
      </c>
      <c r="AC210" s="10" t="str">
        <f>SUBSTITUTE(SUBSTITUTE(PROPERTIES[[#This Row],[PURCHASECOST_VALUE]], "PURCHASECOST_", ""), "_VALUE", "")</f>
        <v>DIESELENGINE</v>
      </c>
      <c r="AD210" s="2" t="b">
        <v>0</v>
      </c>
      <c r="AV210"/>
      <c r="AW210"/>
      <c r="AX210"/>
    </row>
    <row r="211" spans="1:50">
      <c r="A211" s="2" t="s">
        <v>235</v>
      </c>
      <c r="B211">
        <v>1970</v>
      </c>
      <c r="C211">
        <v>0</v>
      </c>
      <c r="D211" t="s">
        <v>1810</v>
      </c>
      <c r="E211" t="str">
        <f>_xlfn.XLOOKUP(PROPERTIES[[#This Row],[COUNTRY]],COUNTRIES[COUNTRY_DESCRIPTION],COUNTRIES[COUNTRY_LABEL],"")</f>
        <v>AU</v>
      </c>
      <c r="F211" t="s">
        <v>35</v>
      </c>
      <c r="G211" t="s">
        <v>20</v>
      </c>
      <c r="H211">
        <v>0</v>
      </c>
      <c r="I211">
        <v>8</v>
      </c>
      <c r="J211">
        <v>8</v>
      </c>
      <c r="K211" s="2" t="s">
        <v>20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4">
        <v>98</v>
      </c>
      <c r="P211">
        <v>2000</v>
      </c>
      <c r="Q211">
        <v>80</v>
      </c>
      <c r="R211" s="31">
        <v>286</v>
      </c>
      <c r="S211" s="30">
        <f>IFERROR(PROPERTIES[[#This Row],[TE_STARTING_KN]]/(PROPERTIES[[#This Row],[WEIGHT]]*9.81),0)</f>
        <v>0.29748902619151635</v>
      </c>
      <c r="T211" s="30">
        <v>0.28999999999999998</v>
      </c>
      <c r="U211" s="27">
        <f>ROUND(IF(IFERROR(PROPERTIES[[#This Row],[TE_COEFFICIENT_CALC]],0)=0,PROPERTIES[[#This Row],[TE_COEFFICIENT_MANUAL]],PROPERTIES[[#This Row],[TE_COEFFICIENT_CALC]]),3)</f>
        <v>0.29699999999999999</v>
      </c>
      <c r="V211" s="6">
        <v>40</v>
      </c>
      <c r="W211" s="10">
        <v>0</v>
      </c>
      <c r="X211" s="10">
        <v>0</v>
      </c>
      <c r="Y211" s="10"/>
      <c r="Z211" t="str">
        <f>"RUNNING_COST_"&amp;IF(PROPERTIES[[#This Row],[ENGINE_CLASS]]="MAGLEV","ELECTRIC",PROPERTIES[[#This Row],[ENGINE_CLASS]])</f>
        <v>RUNNING_COST_DIESEL</v>
      </c>
      <c r="AA211" s="10" t="s">
        <v>1000</v>
      </c>
      <c r="AB211" s="10" t="s">
        <v>1001</v>
      </c>
      <c r="AC211" s="10" t="str">
        <f>SUBSTITUTE(SUBSTITUTE(PROPERTIES[[#This Row],[PURCHASECOST_VALUE]], "PURCHASECOST_", ""), "_VALUE", "")</f>
        <v>DIESELENGINE</v>
      </c>
      <c r="AD211" s="2" t="b">
        <v>0</v>
      </c>
      <c r="AV211"/>
      <c r="AW211"/>
      <c r="AX211"/>
    </row>
    <row r="212" spans="1:50">
      <c r="A212" s="2" t="s">
        <v>236</v>
      </c>
      <c r="B212">
        <v>1972</v>
      </c>
      <c r="C212">
        <v>0</v>
      </c>
      <c r="D212" t="s">
        <v>2049</v>
      </c>
      <c r="E212" t="str">
        <f>_xlfn.XLOOKUP(PROPERTIES[[#This Row],[COUNTRY]],COUNTRIES[COUNTRY_DESCRIPTION],COUNTRIES[COUNTRY_LABEL],"")</f>
        <v>YU</v>
      </c>
      <c r="F212" t="s">
        <v>35</v>
      </c>
      <c r="G212" t="s">
        <v>20</v>
      </c>
      <c r="H212">
        <v>0</v>
      </c>
      <c r="I212">
        <v>8</v>
      </c>
      <c r="J212">
        <v>8</v>
      </c>
      <c r="K212" s="2" t="s">
        <v>20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4">
        <v>103</v>
      </c>
      <c r="P212">
        <v>2200</v>
      </c>
      <c r="Q212">
        <v>124</v>
      </c>
      <c r="R212" s="31">
        <v>0</v>
      </c>
      <c r="S212" s="30">
        <f>IFERROR(PROPERTIES[[#This Row],[TE_STARTING_KN]]/(PROPERTIES[[#This Row],[WEIGHT]]*9.81),0)</f>
        <v>0</v>
      </c>
      <c r="T212" s="30">
        <v>0.26</v>
      </c>
      <c r="U212" s="27">
        <f>ROUND(IF(IFERROR(PROPERTIES[[#This Row],[TE_COEFFICIENT_CALC]],0)=0,PROPERTIES[[#This Row],[TE_COEFFICIENT_MANUAL]],PROPERTIES[[#This Row],[TE_COEFFICIENT_CALC]]),3)</f>
        <v>0.26</v>
      </c>
      <c r="V212" s="6">
        <v>40</v>
      </c>
      <c r="W212" s="10">
        <v>0</v>
      </c>
      <c r="X212" s="10">
        <v>0</v>
      </c>
      <c r="Y212" s="10"/>
      <c r="Z212" t="str">
        <f>"RUNNING_COST_"&amp;IF(PROPERTIES[[#This Row],[ENGINE_CLASS]]="MAGLEV","ELECTRIC",PROPERTIES[[#This Row],[ENGINE_CLASS]])</f>
        <v>RUNNING_COST_DIESEL</v>
      </c>
      <c r="AA212" s="10" t="s">
        <v>1000</v>
      </c>
      <c r="AB212" s="10" t="s">
        <v>1001</v>
      </c>
      <c r="AC212" s="10" t="str">
        <f>SUBSTITUTE(SUBSTITUTE(PROPERTIES[[#This Row],[PURCHASECOST_VALUE]], "PURCHASECOST_", ""), "_VALUE", "")</f>
        <v>DIESELENGINE</v>
      </c>
      <c r="AD212" s="2" t="b">
        <v>0</v>
      </c>
      <c r="AV212"/>
      <c r="AW212"/>
      <c r="AX212"/>
    </row>
    <row r="213" spans="1:50">
      <c r="A213" s="2" t="s">
        <v>237</v>
      </c>
      <c r="B213">
        <v>1972</v>
      </c>
      <c r="C213">
        <v>0</v>
      </c>
      <c r="D213" t="s">
        <v>1993</v>
      </c>
      <c r="E213" t="str">
        <f>_xlfn.XLOOKUP(PROPERTIES[[#This Row],[COUNTRY]],COUNTRIES[COUNTRY_DESCRIPTION],COUNTRIES[COUNTRY_LABEL],"")</f>
        <v>SE</v>
      </c>
      <c r="F213" t="s">
        <v>35</v>
      </c>
      <c r="G213" t="s">
        <v>20</v>
      </c>
      <c r="H213">
        <v>0</v>
      </c>
      <c r="I213">
        <v>6</v>
      </c>
      <c r="J213">
        <v>6</v>
      </c>
      <c r="K213" s="2" t="s">
        <v>20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4">
        <v>46</v>
      </c>
      <c r="P213">
        <v>620</v>
      </c>
      <c r="Q213">
        <v>70</v>
      </c>
      <c r="R213" s="31">
        <v>0</v>
      </c>
      <c r="S213" s="30">
        <f>IFERROR(PROPERTIES[[#This Row],[TE_STARTING_KN]]/(PROPERTIES[[#This Row],[WEIGHT]]*9.81),0)</f>
        <v>0</v>
      </c>
      <c r="T213" s="30">
        <v>0.3</v>
      </c>
      <c r="U213" s="27">
        <f>ROUND(IF(IFERROR(PROPERTIES[[#This Row],[TE_COEFFICIENT_CALC]],0)=0,PROPERTIES[[#This Row],[TE_COEFFICIENT_MANUAL]],PROPERTIES[[#This Row],[TE_COEFFICIENT_CALC]]),3)</f>
        <v>0.3</v>
      </c>
      <c r="V213" s="6">
        <v>40</v>
      </c>
      <c r="W213" s="10">
        <v>0</v>
      </c>
      <c r="X213" s="10">
        <v>0</v>
      </c>
      <c r="Y213" s="10"/>
      <c r="Z213" t="str">
        <f>"RUNNING_COST_"&amp;IF(PROPERTIES[[#This Row],[ENGINE_CLASS]]="MAGLEV","ELECTRIC",PROPERTIES[[#This Row],[ENGINE_CLASS]])</f>
        <v>RUNNING_COST_DIESEL</v>
      </c>
      <c r="AA213" s="10" t="s">
        <v>1000</v>
      </c>
      <c r="AB213" s="10" t="s">
        <v>1001</v>
      </c>
      <c r="AC213" s="10" t="str">
        <f>SUBSTITUTE(SUBSTITUTE(PROPERTIES[[#This Row],[PURCHASECOST_VALUE]], "PURCHASECOST_", ""), "_VALUE", "")</f>
        <v>DIESELENGINE</v>
      </c>
      <c r="AD213" s="2" t="b">
        <v>0</v>
      </c>
      <c r="AV213"/>
      <c r="AW213"/>
      <c r="AX213"/>
    </row>
    <row r="214" spans="1:50">
      <c r="A214" s="2" t="s">
        <v>238</v>
      </c>
      <c r="B214">
        <v>1973</v>
      </c>
      <c r="C214">
        <v>0</v>
      </c>
      <c r="D214" t="s">
        <v>1835</v>
      </c>
      <c r="E214" t="str">
        <f>_xlfn.XLOOKUP(PROPERTIES[[#This Row],[COUNTRY]],COUNTRIES[COUNTRY_DESCRIPTION],COUNTRIES[COUNTRY_LABEL],"")</f>
        <v>CA</v>
      </c>
      <c r="F214" t="s">
        <v>35</v>
      </c>
      <c r="G214" t="s">
        <v>20</v>
      </c>
      <c r="H214">
        <v>0</v>
      </c>
      <c r="I214">
        <v>8</v>
      </c>
      <c r="J214">
        <v>8</v>
      </c>
      <c r="K214" s="2" t="s">
        <v>20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4">
        <v>125</v>
      </c>
      <c r="P214">
        <v>2000</v>
      </c>
      <c r="Q214">
        <v>108</v>
      </c>
      <c r="R214" s="31">
        <v>268.67</v>
      </c>
      <c r="S214" s="30">
        <f>IFERROR(PROPERTIES[[#This Row],[TE_STARTING_KN]]/(PROPERTIES[[#This Row],[WEIGHT]]*9.81),0)</f>
        <v>0.21909887869520897</v>
      </c>
      <c r="T214" s="30">
        <v>0.13</v>
      </c>
      <c r="U214" s="27">
        <f>ROUND(IF(IFERROR(PROPERTIES[[#This Row],[TE_COEFFICIENT_CALC]],0)=0,PROPERTIES[[#This Row],[TE_COEFFICIENT_MANUAL]],PROPERTIES[[#This Row],[TE_COEFFICIENT_CALC]]),3)</f>
        <v>0.219</v>
      </c>
      <c r="V214" s="6">
        <v>40</v>
      </c>
      <c r="W214" s="10">
        <v>0</v>
      </c>
      <c r="X214" s="10">
        <v>0</v>
      </c>
      <c r="Y214" s="10"/>
      <c r="Z214" t="str">
        <f>"RUNNING_COST_"&amp;IF(PROPERTIES[[#This Row],[ENGINE_CLASS]]="MAGLEV","ELECTRIC",PROPERTIES[[#This Row],[ENGINE_CLASS]])</f>
        <v>RUNNING_COST_DIESEL</v>
      </c>
      <c r="AA214" s="10" t="s">
        <v>1000</v>
      </c>
      <c r="AB214" s="10" t="s">
        <v>1001</v>
      </c>
      <c r="AC214" s="10" t="str">
        <f>SUBSTITUTE(SUBSTITUTE(PROPERTIES[[#This Row],[PURCHASECOST_VALUE]], "PURCHASECOST_", ""), "_VALUE", "")</f>
        <v>DIESELENGINE</v>
      </c>
      <c r="AD214" s="2" t="b">
        <v>0</v>
      </c>
      <c r="AV214"/>
      <c r="AW214"/>
      <c r="AX214"/>
    </row>
    <row r="215" spans="1:50">
      <c r="A215" s="2" t="s">
        <v>936</v>
      </c>
      <c r="B215">
        <v>1973</v>
      </c>
      <c r="C215">
        <v>0</v>
      </c>
      <c r="D215" t="s">
        <v>2029</v>
      </c>
      <c r="E215" t="str">
        <f>_xlfn.XLOOKUP(PROPERTIES[[#This Row],[COUNTRY]],COUNTRIES[COUNTRY_DESCRIPTION],COUNTRIES[COUNTRY_LABEL],"")</f>
        <v>US</v>
      </c>
      <c r="F215" t="s">
        <v>35</v>
      </c>
      <c r="G215" t="s">
        <v>20</v>
      </c>
      <c r="H215">
        <v>0</v>
      </c>
      <c r="I215">
        <v>8</v>
      </c>
      <c r="J215">
        <v>8</v>
      </c>
      <c r="K215" s="2" t="s">
        <v>20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4">
        <v>131</v>
      </c>
      <c r="P215">
        <v>3000</v>
      </c>
      <c r="Q215">
        <v>153</v>
      </c>
      <c r="R215" s="31">
        <v>289</v>
      </c>
      <c r="S215" s="30">
        <f>IFERROR(PROPERTIES[[#This Row],[TE_STARTING_KN]]/(PROPERTIES[[#This Row],[WEIGHT]]*9.81),0)</f>
        <v>0.22488347301009251</v>
      </c>
      <c r="T215" s="30">
        <v>0.15</v>
      </c>
      <c r="U215" s="27">
        <f>ROUND(IF(IFERROR(PROPERTIES[[#This Row],[TE_COEFFICIENT_CALC]],0)=0,PROPERTIES[[#This Row],[TE_COEFFICIENT_MANUAL]],PROPERTIES[[#This Row],[TE_COEFFICIENT_CALC]]),3)</f>
        <v>0.22500000000000001</v>
      </c>
      <c r="V215" s="6">
        <v>40</v>
      </c>
      <c r="W215" s="10">
        <v>0</v>
      </c>
      <c r="X215" s="10">
        <v>0</v>
      </c>
      <c r="Y215" s="10"/>
      <c r="Z215" t="str">
        <f>"RUNNING_COST_"&amp;IF(PROPERTIES[[#This Row],[ENGINE_CLASS]]="MAGLEV","ELECTRIC",PROPERTIES[[#This Row],[ENGINE_CLASS]])</f>
        <v>RUNNING_COST_DIESEL</v>
      </c>
      <c r="AA215" s="10" t="s">
        <v>1000</v>
      </c>
      <c r="AB215" s="10" t="s">
        <v>1001</v>
      </c>
      <c r="AC215" s="10" t="str">
        <f>SUBSTITUTE(SUBSTITUTE(PROPERTIES[[#This Row],[PURCHASECOST_VALUE]], "PURCHASECOST_", ""), "_VALUE", "")</f>
        <v>DIESELENGINE</v>
      </c>
      <c r="AD215" s="2" t="b">
        <v>0</v>
      </c>
      <c r="AV215"/>
      <c r="AW215"/>
      <c r="AX215"/>
    </row>
    <row r="216" spans="1:50">
      <c r="A216" s="2" t="s">
        <v>239</v>
      </c>
      <c r="B216">
        <v>1976</v>
      </c>
      <c r="C216">
        <v>0</v>
      </c>
      <c r="D216" t="s">
        <v>1845</v>
      </c>
      <c r="E216" t="str">
        <f>_xlfn.XLOOKUP(PROPERTIES[[#This Row],[COUNTRY]],COUNTRIES[COUNTRY_DESCRIPTION],COUNTRIES[COUNTRY_LABEL],"")</f>
        <v>CN</v>
      </c>
      <c r="F216" t="s">
        <v>35</v>
      </c>
      <c r="G216" t="s">
        <v>20</v>
      </c>
      <c r="H216">
        <v>0</v>
      </c>
      <c r="I216">
        <v>8</v>
      </c>
      <c r="J216">
        <v>8</v>
      </c>
      <c r="K216" s="2" t="s">
        <v>20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4">
        <v>92</v>
      </c>
      <c r="P216">
        <v>2200</v>
      </c>
      <c r="Q216">
        <v>120</v>
      </c>
      <c r="R216" s="31">
        <v>271</v>
      </c>
      <c r="S216" s="30">
        <f>IFERROR(PROPERTIES[[#This Row],[TE_STARTING_KN]]/(PROPERTIES[[#This Row],[WEIGHT]]*9.81),0)</f>
        <v>0.30027035411957625</v>
      </c>
      <c r="T216" s="30">
        <v>0.28999999999999998</v>
      </c>
      <c r="U216" s="27">
        <f>ROUND(IF(IFERROR(PROPERTIES[[#This Row],[TE_COEFFICIENT_CALC]],0)=0,PROPERTIES[[#This Row],[TE_COEFFICIENT_MANUAL]],PROPERTIES[[#This Row],[TE_COEFFICIENT_CALC]]),3)</f>
        <v>0.3</v>
      </c>
      <c r="V216" s="6">
        <v>40</v>
      </c>
      <c r="W216" s="10">
        <v>0</v>
      </c>
      <c r="X216" s="10">
        <v>0</v>
      </c>
      <c r="Y216" s="10"/>
      <c r="Z216" t="str">
        <f>"RUNNING_COST_"&amp;IF(PROPERTIES[[#This Row],[ENGINE_CLASS]]="MAGLEV","ELECTRIC",PROPERTIES[[#This Row],[ENGINE_CLASS]])</f>
        <v>RUNNING_COST_DIESEL</v>
      </c>
      <c r="AA216" s="10" t="s">
        <v>1000</v>
      </c>
      <c r="AB216" s="10" t="s">
        <v>1001</v>
      </c>
      <c r="AC216" s="10" t="str">
        <f>SUBSTITUTE(SUBSTITUTE(PROPERTIES[[#This Row],[PURCHASECOST_VALUE]], "PURCHASECOST_", ""), "_VALUE", "")</f>
        <v>DIESELENGINE</v>
      </c>
      <c r="AD216" s="2" t="b">
        <v>0</v>
      </c>
      <c r="AV216"/>
      <c r="AW216"/>
      <c r="AX216"/>
    </row>
    <row r="217" spans="1:50">
      <c r="A217" s="2" t="s">
        <v>240</v>
      </c>
      <c r="B217">
        <v>2001</v>
      </c>
      <c r="C217">
        <v>0</v>
      </c>
      <c r="D217" t="s">
        <v>1969</v>
      </c>
      <c r="E217" t="str">
        <f>_xlfn.XLOOKUP(PROPERTIES[[#This Row],[COUNTRY]],COUNTRIES[COUNTRY_DESCRIPTION],COUNTRIES[COUNTRY_LABEL],"")</f>
        <v>PA</v>
      </c>
      <c r="F217" t="s">
        <v>35</v>
      </c>
      <c r="G217" t="s">
        <v>20</v>
      </c>
      <c r="H217">
        <v>0</v>
      </c>
      <c r="I217">
        <v>7</v>
      </c>
      <c r="J217">
        <v>7</v>
      </c>
      <c r="K217" s="2" t="s">
        <v>20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4">
        <v>115</v>
      </c>
      <c r="P217">
        <v>3000</v>
      </c>
      <c r="Q217">
        <v>165</v>
      </c>
      <c r="R217" s="31">
        <v>289</v>
      </c>
      <c r="S217" s="30">
        <f>IFERROR(PROPERTIES[[#This Row],[TE_STARTING_KN]]/(PROPERTIES[[#This Row],[WEIGHT]]*9.81),0)</f>
        <v>0.2561716083854097</v>
      </c>
      <c r="T217" s="30">
        <v>0.1</v>
      </c>
      <c r="U217" s="27">
        <f>ROUND(IF(IFERROR(PROPERTIES[[#This Row],[TE_COEFFICIENT_CALC]],0)=0,PROPERTIES[[#This Row],[TE_COEFFICIENT_MANUAL]],PROPERTIES[[#This Row],[TE_COEFFICIENT_CALC]]),3)</f>
        <v>0.25600000000000001</v>
      </c>
      <c r="V217" s="6">
        <v>40</v>
      </c>
      <c r="W217" s="10">
        <v>0</v>
      </c>
      <c r="X217" s="10">
        <v>0</v>
      </c>
      <c r="Y217" s="10"/>
      <c r="Z217" t="str">
        <f>"RUNNING_COST_"&amp;IF(PROPERTIES[[#This Row],[ENGINE_CLASS]]="MAGLEV","ELECTRIC",PROPERTIES[[#This Row],[ENGINE_CLASS]])</f>
        <v>RUNNING_COST_DIESEL</v>
      </c>
      <c r="AA217" s="10" t="s">
        <v>1000</v>
      </c>
      <c r="AB217" s="10" t="s">
        <v>1001</v>
      </c>
      <c r="AC217" s="10" t="str">
        <f>SUBSTITUTE(SUBSTITUTE(PROPERTIES[[#This Row],[PURCHASECOST_VALUE]], "PURCHASECOST_", ""), "_VALUE", "")</f>
        <v>DIESELENGINE</v>
      </c>
      <c r="AD217" s="2" t="b">
        <v>0</v>
      </c>
      <c r="AV217"/>
      <c r="AW217"/>
      <c r="AX217"/>
    </row>
    <row r="218" spans="1:50">
      <c r="A218" s="2" t="s">
        <v>241</v>
      </c>
      <c r="B218">
        <v>1981</v>
      </c>
      <c r="C218">
        <v>0</v>
      </c>
      <c r="D218" t="s">
        <v>1980</v>
      </c>
      <c r="E218" t="str">
        <f>_xlfn.XLOOKUP(PROPERTIES[[#This Row],[COUNTRY]],COUNTRIES[COUNTRY_DESCRIPTION],COUNTRIES[COUNTRY_LABEL],"")</f>
        <v>PT</v>
      </c>
      <c r="F218" t="s">
        <v>35</v>
      </c>
      <c r="G218" t="s">
        <v>20</v>
      </c>
      <c r="H218">
        <v>0</v>
      </c>
      <c r="I218">
        <v>8</v>
      </c>
      <c r="J218">
        <v>8</v>
      </c>
      <c r="K218" s="2" t="s">
        <v>20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4">
        <v>115</v>
      </c>
      <c r="P218">
        <v>2260</v>
      </c>
      <c r="Q218">
        <v>100</v>
      </c>
      <c r="R218" s="31">
        <v>388.3</v>
      </c>
      <c r="S218" s="30">
        <f>IFERROR(PROPERTIES[[#This Row],[TE_STARTING_KN]]/(PROPERTIES[[#This Row],[WEIGHT]]*9.81),0)</f>
        <v>0.34419181846385671</v>
      </c>
      <c r="T218" s="30">
        <v>0.34</v>
      </c>
      <c r="U218" s="27">
        <f>ROUND(IF(IFERROR(PROPERTIES[[#This Row],[TE_COEFFICIENT_CALC]],0)=0,PROPERTIES[[#This Row],[TE_COEFFICIENT_MANUAL]],PROPERTIES[[#This Row],[TE_COEFFICIENT_CALC]]),3)</f>
        <v>0.34399999999999997</v>
      </c>
      <c r="V218" s="6">
        <v>40</v>
      </c>
      <c r="W218" s="10">
        <v>0</v>
      </c>
      <c r="X218" s="10">
        <v>0</v>
      </c>
      <c r="Y218" s="10"/>
      <c r="Z218" t="str">
        <f>"RUNNING_COST_"&amp;IF(PROPERTIES[[#This Row],[ENGINE_CLASS]]="MAGLEV","ELECTRIC",PROPERTIES[[#This Row],[ENGINE_CLASS]])</f>
        <v>RUNNING_COST_DIESEL</v>
      </c>
      <c r="AA218" s="10" t="s">
        <v>1000</v>
      </c>
      <c r="AB218" s="10" t="s">
        <v>1001</v>
      </c>
      <c r="AC218" s="10" t="str">
        <f>SUBSTITUTE(SUBSTITUTE(PROPERTIES[[#This Row],[PURCHASECOST_VALUE]], "PURCHASECOST_", ""), "_VALUE", "")</f>
        <v>DIESELENGINE</v>
      </c>
      <c r="AD218" s="2" t="b">
        <v>0</v>
      </c>
      <c r="AV218"/>
      <c r="AW218"/>
      <c r="AX218"/>
    </row>
    <row r="219" spans="1:50">
      <c r="A219" s="2" t="s">
        <v>242</v>
      </c>
      <c r="B219">
        <v>1985</v>
      </c>
      <c r="C219">
        <v>0</v>
      </c>
      <c r="D219" t="s">
        <v>1867</v>
      </c>
      <c r="E219" t="str">
        <f>_xlfn.XLOOKUP(PROPERTIES[[#This Row],[COUNTRY]],COUNTRIES[COUNTRY_DESCRIPTION],COUNTRIES[COUNTRY_LABEL],"")</f>
        <v>FI</v>
      </c>
      <c r="F219" t="s">
        <v>35</v>
      </c>
      <c r="G219" t="s">
        <v>20</v>
      </c>
      <c r="H219">
        <v>0</v>
      </c>
      <c r="I219">
        <v>8</v>
      </c>
      <c r="J219">
        <v>8</v>
      </c>
      <c r="K219" s="2" t="s">
        <v>20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4">
        <v>82</v>
      </c>
      <c r="P219">
        <v>2250</v>
      </c>
      <c r="Q219">
        <v>140</v>
      </c>
      <c r="R219" s="31">
        <v>270</v>
      </c>
      <c r="S219" s="30">
        <f>IFERROR(PROPERTIES[[#This Row],[TE_STARTING_KN]]/(PROPERTIES[[#This Row],[WEIGHT]]*9.81),0)</f>
        <v>0.33564555829044523</v>
      </c>
      <c r="T219" s="30">
        <v>0.33</v>
      </c>
      <c r="U219" s="27">
        <f>ROUND(IF(IFERROR(PROPERTIES[[#This Row],[TE_COEFFICIENT_CALC]],0)=0,PROPERTIES[[#This Row],[TE_COEFFICIENT_MANUAL]],PROPERTIES[[#This Row],[TE_COEFFICIENT_CALC]]),3)</f>
        <v>0.33600000000000002</v>
      </c>
      <c r="V219" s="6">
        <v>40</v>
      </c>
      <c r="W219" s="10">
        <v>0</v>
      </c>
      <c r="X219" s="10">
        <v>0</v>
      </c>
      <c r="Y219" s="10"/>
      <c r="Z219" t="str">
        <f>"RUNNING_COST_"&amp;IF(PROPERTIES[[#This Row],[ENGINE_CLASS]]="MAGLEV","ELECTRIC",PROPERTIES[[#This Row],[ENGINE_CLASS]])</f>
        <v>RUNNING_COST_DIESEL</v>
      </c>
      <c r="AA219" s="10" t="s">
        <v>1000</v>
      </c>
      <c r="AB219" s="10" t="s">
        <v>1001</v>
      </c>
      <c r="AC219" s="10" t="str">
        <f>SUBSTITUTE(SUBSTITUTE(PROPERTIES[[#This Row],[PURCHASECOST_VALUE]], "PURCHASECOST_", ""), "_VALUE", "")</f>
        <v>DIESELENGINE</v>
      </c>
      <c r="AD219" s="2" t="b">
        <v>0</v>
      </c>
      <c r="AV219"/>
      <c r="AW219"/>
      <c r="AX219"/>
    </row>
    <row r="220" spans="1:50">
      <c r="A220" s="2" t="s">
        <v>243</v>
      </c>
      <c r="B220">
        <v>1988</v>
      </c>
      <c r="C220">
        <v>0</v>
      </c>
      <c r="D220" t="s">
        <v>2048</v>
      </c>
      <c r="E220" t="str">
        <f>_xlfn.XLOOKUP(PROPERTIES[[#This Row],[COUNTRY]],COUNTRIES[COUNTRY_DESCRIPTION],COUNTRIES[COUNTRY_LABEL],"")</f>
        <v>SU</v>
      </c>
      <c r="F220" t="s">
        <v>35</v>
      </c>
      <c r="G220" t="s">
        <v>20</v>
      </c>
      <c r="H220">
        <v>0</v>
      </c>
      <c r="I220">
        <v>8</v>
      </c>
      <c r="J220">
        <v>8</v>
      </c>
      <c r="K220" s="2" t="s">
        <v>20</v>
      </c>
      <c r="L220">
        <f>_xlfn.XLOOKUP("LOADINGSPEEDDEF_"&amp;PROPERTIES[[#This Row],[LOADINGSPEED]],LOADINGSPEEDDEF[TYPE],LOADINGSPEEDDEF[SPEED])</f>
        <v>0</v>
      </c>
      <c r="M220" t="s">
        <v>21</v>
      </c>
      <c r="N220">
        <v>1</v>
      </c>
      <c r="O220" s="34">
        <v>180</v>
      </c>
      <c r="P220">
        <v>6000</v>
      </c>
      <c r="Q220">
        <v>160</v>
      </c>
      <c r="R220" s="31">
        <v>240</v>
      </c>
      <c r="S220" s="30">
        <f>IFERROR(PROPERTIES[[#This Row],[TE_STARTING_KN]]/(PROPERTIES[[#This Row],[WEIGHT]]*9.81),0)</f>
        <v>0.13591573224600745</v>
      </c>
      <c r="T220" s="30">
        <v>0.13</v>
      </c>
      <c r="U220" s="27">
        <f>ROUND(IF(IFERROR(PROPERTIES[[#This Row],[TE_COEFFICIENT_CALC]],0)=0,PROPERTIES[[#This Row],[TE_COEFFICIENT_MANUAL]],PROPERTIES[[#This Row],[TE_COEFFICIENT_CALC]]),3)</f>
        <v>0.13600000000000001</v>
      </c>
      <c r="V220" s="6">
        <v>40</v>
      </c>
      <c r="W220" s="10">
        <v>0</v>
      </c>
      <c r="X220" s="10">
        <v>0</v>
      </c>
      <c r="Y220" s="10"/>
      <c r="Z220" t="str">
        <f>"RUNNING_COST_"&amp;IF(PROPERTIES[[#This Row],[ENGINE_CLASS]]="MAGLEV","ELECTRIC",PROPERTIES[[#This Row],[ENGINE_CLASS]])</f>
        <v>RUNNING_COST_DIESEL</v>
      </c>
      <c r="AA220" s="10" t="s">
        <v>1000</v>
      </c>
      <c r="AB220" s="10" t="s">
        <v>1001</v>
      </c>
      <c r="AC220" s="10" t="str">
        <f>SUBSTITUTE(SUBSTITUTE(PROPERTIES[[#This Row],[PURCHASECOST_VALUE]], "PURCHASECOST_", ""), "_VALUE", "")</f>
        <v>DIESELENGINE</v>
      </c>
      <c r="AD220" s="2" t="b">
        <v>0</v>
      </c>
      <c r="AV220"/>
      <c r="AW220"/>
      <c r="AX220"/>
    </row>
    <row r="221" spans="1:50">
      <c r="A221" s="2" t="s">
        <v>244</v>
      </c>
      <c r="B221">
        <v>1992</v>
      </c>
      <c r="C221">
        <v>0</v>
      </c>
      <c r="D221" t="s">
        <v>1810</v>
      </c>
      <c r="E221" t="str">
        <f>_xlfn.XLOOKUP(PROPERTIES[[#This Row],[COUNTRY]],COUNTRIES[COUNTRY_DESCRIPTION],COUNTRIES[COUNTRY_LABEL],"")</f>
        <v>AU</v>
      </c>
      <c r="F221" t="s">
        <v>35</v>
      </c>
      <c r="G221" t="s">
        <v>20</v>
      </c>
      <c r="H221">
        <v>0</v>
      </c>
      <c r="I221">
        <v>8</v>
      </c>
      <c r="J221">
        <v>8</v>
      </c>
      <c r="K221" s="2" t="s">
        <v>20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4">
        <v>128</v>
      </c>
      <c r="P221">
        <v>4063</v>
      </c>
      <c r="Q221">
        <v>150</v>
      </c>
      <c r="R221" s="31">
        <v>323</v>
      </c>
      <c r="S221" s="30">
        <f>IFERROR(PROPERTIES[[#This Row],[TE_STARTING_KN]]/(PROPERTIES[[#This Row],[WEIGHT]]*9.81),0)</f>
        <v>0.25723114169215083</v>
      </c>
      <c r="T221" s="30">
        <v>0.25</v>
      </c>
      <c r="U221" s="27">
        <f>ROUND(IF(IFERROR(PROPERTIES[[#This Row],[TE_COEFFICIENT_CALC]],0)=0,PROPERTIES[[#This Row],[TE_COEFFICIENT_MANUAL]],PROPERTIES[[#This Row],[TE_COEFFICIENT_CALC]]),3)</f>
        <v>0.25700000000000001</v>
      </c>
      <c r="V221" s="6">
        <v>40</v>
      </c>
      <c r="W221" s="10">
        <v>0</v>
      </c>
      <c r="X221" s="10">
        <v>0</v>
      </c>
      <c r="Y221" s="10"/>
      <c r="Z221" t="str">
        <f>"RUNNING_COST_"&amp;IF(PROPERTIES[[#This Row],[ENGINE_CLASS]]="MAGLEV","ELECTRIC",PROPERTIES[[#This Row],[ENGINE_CLASS]])</f>
        <v>RUNNING_COST_DIESEL</v>
      </c>
      <c r="AA221" s="10" t="s">
        <v>1000</v>
      </c>
      <c r="AB221" s="10" t="s">
        <v>1001</v>
      </c>
      <c r="AC221" s="10" t="str">
        <f>SUBSTITUTE(SUBSTITUTE(PROPERTIES[[#This Row],[PURCHASECOST_VALUE]], "PURCHASECOST_", ""), "_VALUE", "")</f>
        <v>DIESELENGINE</v>
      </c>
      <c r="AD221" s="2" t="b">
        <v>0</v>
      </c>
      <c r="AV221"/>
      <c r="AW221"/>
      <c r="AX221"/>
    </row>
    <row r="222" spans="1:50">
      <c r="A222" s="2" t="s">
        <v>245</v>
      </c>
      <c r="B222">
        <v>1992</v>
      </c>
      <c r="C222">
        <v>0</v>
      </c>
      <c r="D222" t="s">
        <v>2029</v>
      </c>
      <c r="E222" t="str">
        <f>_xlfn.XLOOKUP(PROPERTIES[[#This Row],[COUNTRY]],COUNTRIES[COUNTRY_DESCRIPTION],COUNTRIES[COUNTRY_LABEL],"")</f>
        <v>US</v>
      </c>
      <c r="F222" t="s">
        <v>35</v>
      </c>
      <c r="G222" t="s">
        <v>20</v>
      </c>
      <c r="H222">
        <v>0</v>
      </c>
      <c r="I222">
        <v>8</v>
      </c>
      <c r="J222">
        <v>8</v>
      </c>
      <c r="K222" s="2" t="s">
        <v>20</v>
      </c>
      <c r="L222">
        <f>_xlfn.XLOOKUP("LOADINGSPEEDDEF_"&amp;PROPERTIES[[#This Row],[LOADINGSPEED]],LOADINGSPEEDDEF[TYPE],LOADINGSPEEDDEF[SPEED])</f>
        <v>0</v>
      </c>
      <c r="M222" t="s">
        <v>21</v>
      </c>
      <c r="N222">
        <v>1</v>
      </c>
      <c r="O222" s="34">
        <v>121.6</v>
      </c>
      <c r="P222">
        <v>4250</v>
      </c>
      <c r="Q222">
        <v>177</v>
      </c>
      <c r="R222" s="31">
        <v>280.25</v>
      </c>
      <c r="S222" s="30">
        <f>IFERROR(PROPERTIES[[#This Row],[TE_STARTING_KN]]/(PROPERTIES[[#This Row],[WEIGHT]]*9.81),0)</f>
        <v>0.23493246687054029</v>
      </c>
      <c r="T222" s="30">
        <v>0.19</v>
      </c>
      <c r="U222" s="27">
        <f>ROUND(IF(IFERROR(PROPERTIES[[#This Row],[TE_COEFFICIENT_CALC]],0)=0,PROPERTIES[[#This Row],[TE_COEFFICIENT_MANUAL]],PROPERTIES[[#This Row],[TE_COEFFICIENT_CALC]]),3)</f>
        <v>0.23499999999999999</v>
      </c>
      <c r="V222" s="6">
        <v>40</v>
      </c>
      <c r="W222" s="10">
        <v>0</v>
      </c>
      <c r="X222" s="10">
        <v>0</v>
      </c>
      <c r="Y222" s="10"/>
      <c r="Z222" t="str">
        <f>"RUNNING_COST_"&amp;IF(PROPERTIES[[#This Row],[ENGINE_CLASS]]="MAGLEV","ELECTRIC",PROPERTIES[[#This Row],[ENGINE_CLASS]])</f>
        <v>RUNNING_COST_DIESEL</v>
      </c>
      <c r="AA222" s="10" t="s">
        <v>1000</v>
      </c>
      <c r="AB222" s="10" t="s">
        <v>1001</v>
      </c>
      <c r="AC222" s="10" t="str">
        <f>SUBSTITUTE(SUBSTITUTE(PROPERTIES[[#This Row],[PURCHASECOST_VALUE]], "PURCHASECOST_", ""), "_VALUE", "")</f>
        <v>DIESELENGINE</v>
      </c>
      <c r="AD222" s="2" t="b">
        <v>0</v>
      </c>
      <c r="AV222"/>
      <c r="AW222"/>
      <c r="AX222"/>
    </row>
    <row r="223" spans="1:50">
      <c r="A223" s="2" t="s">
        <v>246</v>
      </c>
      <c r="B223">
        <v>1994</v>
      </c>
      <c r="C223">
        <v>0</v>
      </c>
      <c r="D223" t="s">
        <v>2300</v>
      </c>
      <c r="E223" t="str">
        <f>_xlfn.XLOOKUP(PROPERTIES[[#This Row],[COUNTRY]],COUNTRIES[COUNTRY_DESCRIPTION],COUNTRIES[COUNTRY_LABEL],"")</f>
        <v>TR</v>
      </c>
      <c r="F223" t="s">
        <v>35</v>
      </c>
      <c r="G223" t="s">
        <v>20</v>
      </c>
      <c r="H223">
        <v>0</v>
      </c>
      <c r="I223">
        <v>6</v>
      </c>
      <c r="J223">
        <v>6</v>
      </c>
      <c r="K223" s="2" t="s">
        <v>20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4">
        <v>51</v>
      </c>
      <c r="P223">
        <v>700</v>
      </c>
      <c r="Q223">
        <v>40</v>
      </c>
      <c r="R223" s="31">
        <v>0</v>
      </c>
      <c r="S223" s="30">
        <f>IFERROR(PROPERTIES[[#This Row],[TE_STARTING_KN]]/(PROPERTIES[[#This Row],[WEIGHT]]*9.81),0)</f>
        <v>0</v>
      </c>
      <c r="T223" s="30">
        <v>0.28000000000000003</v>
      </c>
      <c r="U223" s="27">
        <f>ROUND(IF(IFERROR(PROPERTIES[[#This Row],[TE_COEFFICIENT_CALC]],0)=0,PROPERTIES[[#This Row],[TE_COEFFICIENT_MANUAL]],PROPERTIES[[#This Row],[TE_COEFFICIENT_CALC]]),3)</f>
        <v>0.28000000000000003</v>
      </c>
      <c r="V223" s="6">
        <v>40</v>
      </c>
      <c r="W223" s="10">
        <v>0</v>
      </c>
      <c r="X223" s="10">
        <v>0</v>
      </c>
      <c r="Y223" s="10"/>
      <c r="Z223" t="str">
        <f>"RUNNING_COST_"&amp;IF(PROPERTIES[[#This Row],[ENGINE_CLASS]]="MAGLEV","ELECTRIC",PROPERTIES[[#This Row],[ENGINE_CLASS]])</f>
        <v>RUNNING_COST_DIESEL</v>
      </c>
      <c r="AA223" s="10" t="s">
        <v>1000</v>
      </c>
      <c r="AB223" s="10" t="s">
        <v>1001</v>
      </c>
      <c r="AC223" s="10" t="str">
        <f>SUBSTITUTE(SUBSTITUTE(PROPERTIES[[#This Row],[PURCHASECOST_VALUE]], "PURCHASECOST_", ""), "_VALUE", "")</f>
        <v>DIESELENGINE</v>
      </c>
      <c r="AD223" s="2" t="b">
        <v>0</v>
      </c>
      <c r="AV223"/>
      <c r="AW223"/>
      <c r="AX223"/>
    </row>
    <row r="224" spans="1:50">
      <c r="A224" s="2" t="s">
        <v>247</v>
      </c>
      <c r="B224">
        <v>1995</v>
      </c>
      <c r="C224">
        <v>0</v>
      </c>
      <c r="D224" t="s">
        <v>1807</v>
      </c>
      <c r="E224" t="str">
        <f>_xlfn.XLOOKUP(PROPERTIES[[#This Row],[COUNTRY]],COUNTRIES[COUNTRY_DESCRIPTION],COUNTRIES[COUNTRY_LABEL],"")</f>
        <v>AR</v>
      </c>
      <c r="F224" t="s">
        <v>35</v>
      </c>
      <c r="G224" t="s">
        <v>20</v>
      </c>
      <c r="H224">
        <v>0</v>
      </c>
      <c r="I224">
        <v>8</v>
      </c>
      <c r="J224">
        <v>8</v>
      </c>
      <c r="K224" s="2" t="s">
        <v>20</v>
      </c>
      <c r="L224">
        <f>_xlfn.XLOOKUP("LOADINGSPEEDDEF_"&amp;PROPERTIES[[#This Row],[LOADINGSPEED]],LOADINGSPEEDDEF[TYPE],LOADINGSPEEDDEF[SPEED])</f>
        <v>0</v>
      </c>
      <c r="M224" t="s">
        <v>21</v>
      </c>
      <c r="N224">
        <v>1</v>
      </c>
      <c r="O224" s="34">
        <v>96</v>
      </c>
      <c r="P224">
        <v>2150</v>
      </c>
      <c r="Q224">
        <v>104</v>
      </c>
      <c r="R224" s="31">
        <v>245</v>
      </c>
      <c r="S224" s="30">
        <f>IFERROR(PROPERTIES[[#This Row],[TE_STARTING_KN]]/(PROPERTIES[[#This Row],[WEIGHT]]*9.81),0)</f>
        <v>0.26015120625212368</v>
      </c>
      <c r="T224" s="30">
        <v>0.28999999999999998</v>
      </c>
      <c r="U224" s="27">
        <f>ROUND(IF(IFERROR(PROPERTIES[[#This Row],[TE_COEFFICIENT_CALC]],0)=0,PROPERTIES[[#This Row],[TE_COEFFICIENT_MANUAL]],PROPERTIES[[#This Row],[TE_COEFFICIENT_CALC]]),3)</f>
        <v>0.26</v>
      </c>
      <c r="V224" s="6">
        <v>40</v>
      </c>
      <c r="W224" s="10">
        <v>0</v>
      </c>
      <c r="X224" s="10">
        <v>0</v>
      </c>
      <c r="Y224" s="10"/>
      <c r="Z224" t="str">
        <f>"RUNNING_COST_"&amp;IF(PROPERTIES[[#This Row],[ENGINE_CLASS]]="MAGLEV","ELECTRIC",PROPERTIES[[#This Row],[ENGINE_CLASS]])</f>
        <v>RUNNING_COST_DIESEL</v>
      </c>
      <c r="AA224" s="10" t="s">
        <v>1000</v>
      </c>
      <c r="AB224" s="10" t="s">
        <v>1001</v>
      </c>
      <c r="AC224" s="10" t="str">
        <f>SUBSTITUTE(SUBSTITUTE(PROPERTIES[[#This Row],[PURCHASECOST_VALUE]], "PURCHASECOST_", ""), "_VALUE", "")</f>
        <v>DIESELENGINE</v>
      </c>
      <c r="AD224" s="2" t="b">
        <v>0</v>
      </c>
      <c r="AV224"/>
      <c r="AW224"/>
      <c r="AX224"/>
    </row>
    <row r="225" spans="1:50">
      <c r="A225" s="2" t="s">
        <v>248</v>
      </c>
      <c r="B225">
        <v>1999</v>
      </c>
      <c r="C225">
        <v>0</v>
      </c>
      <c r="D225" t="s">
        <v>1817</v>
      </c>
      <c r="E225" t="str">
        <f>_xlfn.XLOOKUP(PROPERTIES[[#This Row],[COUNTRY]],COUNTRIES[COUNTRY_DESCRIPTION],COUNTRIES[COUNTRY_LABEL],"")</f>
        <v>BE</v>
      </c>
      <c r="F225" t="s">
        <v>35</v>
      </c>
      <c r="G225" t="s">
        <v>20</v>
      </c>
      <c r="H225">
        <v>0</v>
      </c>
      <c r="I225">
        <v>7</v>
      </c>
      <c r="J225">
        <v>7</v>
      </c>
      <c r="K225" s="2" t="s">
        <v>20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4">
        <v>90</v>
      </c>
      <c r="P225">
        <v>1500</v>
      </c>
      <c r="Q225">
        <v>100</v>
      </c>
      <c r="R225" s="31">
        <v>291</v>
      </c>
      <c r="S225" s="30">
        <f>IFERROR(PROPERTIES[[#This Row],[TE_STARTING_KN]]/(PROPERTIES[[#This Row],[WEIGHT]]*9.81),0)</f>
        <v>0.3295956506965681</v>
      </c>
      <c r="T225" s="30">
        <v>0.34</v>
      </c>
      <c r="U225" s="27">
        <f>ROUND(IF(IFERROR(PROPERTIES[[#This Row],[TE_COEFFICIENT_CALC]],0)=0,PROPERTIES[[#This Row],[TE_COEFFICIENT_MANUAL]],PROPERTIES[[#This Row],[TE_COEFFICIENT_CALC]]),3)</f>
        <v>0.33</v>
      </c>
      <c r="V225" s="6">
        <v>40</v>
      </c>
      <c r="W225" s="10">
        <v>0</v>
      </c>
      <c r="X225" s="10">
        <v>0</v>
      </c>
      <c r="Y225" s="10"/>
      <c r="Z225" t="str">
        <f>"RUNNING_COST_"&amp;IF(PROPERTIES[[#This Row],[ENGINE_CLASS]]="MAGLEV","ELECTRIC",PROPERTIES[[#This Row],[ENGINE_CLASS]])</f>
        <v>RUNNING_COST_DIESEL</v>
      </c>
      <c r="AA225" s="10" t="s">
        <v>1000</v>
      </c>
      <c r="AB225" s="10" t="s">
        <v>1001</v>
      </c>
      <c r="AC225" s="10" t="str">
        <f>SUBSTITUTE(SUBSTITUTE(PROPERTIES[[#This Row],[PURCHASECOST_VALUE]], "PURCHASECOST_", ""), "_VALUE", "")</f>
        <v>DIESELENGINE</v>
      </c>
      <c r="AD225" s="2" t="b">
        <v>0</v>
      </c>
      <c r="AV225"/>
      <c r="AW225"/>
      <c r="AX225"/>
    </row>
    <row r="226" spans="1:50">
      <c r="A226" s="2" t="s">
        <v>249</v>
      </c>
      <c r="B226">
        <v>1998</v>
      </c>
      <c r="C226">
        <v>0</v>
      </c>
      <c r="D226" t="s">
        <v>1873</v>
      </c>
      <c r="E226" t="str">
        <f>_xlfn.XLOOKUP(PROPERTIES[[#This Row],[COUNTRY]],COUNTRIES[COUNTRY_DESCRIPTION],COUNTRIES[COUNTRY_LABEL],"")</f>
        <v>GB</v>
      </c>
      <c r="F226" t="s">
        <v>35</v>
      </c>
      <c r="G226" t="s">
        <v>20</v>
      </c>
      <c r="H226">
        <v>0</v>
      </c>
      <c r="I226">
        <v>8</v>
      </c>
      <c r="J226">
        <v>8</v>
      </c>
      <c r="K226" s="2" t="s">
        <v>20</v>
      </c>
      <c r="L226">
        <f>_xlfn.XLOOKUP("LOADINGSPEEDDEF_"&amp;PROPERTIES[[#This Row],[LOADINGSPEED]],LOADINGSPEEDDEF[TYPE],LOADINGSPEEDDEF[SPEED])</f>
        <v>0</v>
      </c>
      <c r="M226" t="s">
        <v>21</v>
      </c>
      <c r="N226">
        <v>0</v>
      </c>
      <c r="O226" s="34">
        <v>126</v>
      </c>
      <c r="P226">
        <v>3200</v>
      </c>
      <c r="Q226">
        <v>120</v>
      </c>
      <c r="R226" s="31">
        <v>409</v>
      </c>
      <c r="S226" s="30">
        <f>IFERROR(PROPERTIES[[#This Row],[TE_STARTING_KN]]/(PROPERTIES[[#This Row],[WEIGHT]]*9.81),0)</f>
        <v>0.33089008624176813</v>
      </c>
      <c r="T226" s="30">
        <v>0.32</v>
      </c>
      <c r="U226" s="27">
        <f>ROUND(IF(IFERROR(PROPERTIES[[#This Row],[TE_COEFFICIENT_CALC]],0)=0,PROPERTIES[[#This Row],[TE_COEFFICIENT_MANUAL]],PROPERTIES[[#This Row],[TE_COEFFICIENT_CALC]]),3)</f>
        <v>0.33100000000000002</v>
      </c>
      <c r="V226" s="6">
        <v>40</v>
      </c>
      <c r="W226" s="10">
        <v>0</v>
      </c>
      <c r="X226" s="10">
        <v>0</v>
      </c>
      <c r="Y226" s="10"/>
      <c r="Z226" t="str">
        <f>"RUNNING_COST_"&amp;IF(PROPERTIES[[#This Row],[ENGINE_CLASS]]="MAGLEV","ELECTRIC",PROPERTIES[[#This Row],[ENGINE_CLASS]])</f>
        <v>RUNNING_COST_DIESEL</v>
      </c>
      <c r="AA226" s="10" t="s">
        <v>1000</v>
      </c>
      <c r="AB226" s="10" t="s">
        <v>1001</v>
      </c>
      <c r="AC226" s="10" t="str">
        <f>SUBSTITUTE(SUBSTITUTE(PROPERTIES[[#This Row],[PURCHASECOST_VALUE]], "PURCHASECOST_", ""), "_VALUE", "")</f>
        <v>DIESELENGINE</v>
      </c>
      <c r="AD226" s="2" t="b">
        <v>0</v>
      </c>
      <c r="AV226"/>
      <c r="AW226"/>
      <c r="AX226"/>
    </row>
    <row r="227" spans="1:50">
      <c r="A227" s="2" t="s">
        <v>250</v>
      </c>
      <c r="B227">
        <v>1999</v>
      </c>
      <c r="C227">
        <v>0</v>
      </c>
      <c r="D227" t="s">
        <v>1873</v>
      </c>
      <c r="E227" t="str">
        <f>_xlfn.XLOOKUP(PROPERTIES[[#This Row],[COUNTRY]],COUNTRIES[COUNTRY_DESCRIPTION],COUNTRIES[COUNTRY_LABEL],"")</f>
        <v>GB</v>
      </c>
      <c r="F227" t="s">
        <v>35</v>
      </c>
      <c r="G227" t="s">
        <v>20</v>
      </c>
      <c r="H227">
        <v>0</v>
      </c>
      <c r="I227">
        <v>8</v>
      </c>
      <c r="J227">
        <v>8</v>
      </c>
      <c r="K227" s="2" t="s">
        <v>20</v>
      </c>
      <c r="L227">
        <f>_xlfn.XLOOKUP("LOADINGSPEEDDEF_"&amp;PROPERTIES[[#This Row],[LOADINGSPEED]],LOADINGSPEEDDEF[TYPE],LOADINGSPEEDDEF[SPEED])</f>
        <v>0</v>
      </c>
      <c r="M227" t="s">
        <v>21</v>
      </c>
      <c r="N227">
        <v>1</v>
      </c>
      <c r="O227" s="34">
        <v>88</v>
      </c>
      <c r="P227">
        <v>3200</v>
      </c>
      <c r="Q227">
        <v>200</v>
      </c>
      <c r="R227" s="31">
        <v>143</v>
      </c>
      <c r="S227" s="30">
        <f>IFERROR(PROPERTIES[[#This Row],[TE_STARTING_KN]]/(PROPERTIES[[#This Row],[WEIGHT]]*9.81),0)</f>
        <v>0.16564729867482159</v>
      </c>
      <c r="T227" s="30">
        <v>0.2</v>
      </c>
      <c r="U227" s="27">
        <f>ROUND(IF(IFERROR(PROPERTIES[[#This Row],[TE_COEFFICIENT_CALC]],0)=0,PROPERTIES[[#This Row],[TE_COEFFICIENT_MANUAL]],PROPERTIES[[#This Row],[TE_COEFFICIENT_CALC]]),3)</f>
        <v>0.16600000000000001</v>
      </c>
      <c r="V227" s="6">
        <v>40</v>
      </c>
      <c r="W227" s="10">
        <v>0</v>
      </c>
      <c r="X227" s="10">
        <v>0</v>
      </c>
      <c r="Y227" s="10"/>
      <c r="Z227" t="str">
        <f>"RUNNING_COST_"&amp;IF(PROPERTIES[[#This Row],[ENGINE_CLASS]]="MAGLEV","ELECTRIC",PROPERTIES[[#This Row],[ENGINE_CLASS]])</f>
        <v>RUNNING_COST_DIESEL</v>
      </c>
      <c r="AA227" s="10" t="s">
        <v>1000</v>
      </c>
      <c r="AB227" s="10" t="s">
        <v>1001</v>
      </c>
      <c r="AC227" s="10" t="str">
        <f>SUBSTITUTE(SUBSTITUTE(PROPERTIES[[#This Row],[PURCHASECOST_VALUE]], "PURCHASECOST_", ""), "_VALUE", "")</f>
        <v>DIESELENGINE</v>
      </c>
      <c r="AD227" s="2" t="b">
        <v>0</v>
      </c>
      <c r="AV227"/>
      <c r="AW227"/>
      <c r="AX227"/>
    </row>
    <row r="228" spans="1:50">
      <c r="A228" s="2" t="s">
        <v>251</v>
      </c>
      <c r="B228">
        <v>2002</v>
      </c>
      <c r="C228">
        <v>0</v>
      </c>
      <c r="D228" t="s">
        <v>1904</v>
      </c>
      <c r="E228" t="str">
        <f>_xlfn.XLOOKUP(PROPERTIES[[#This Row],[COUNTRY]],COUNTRIES[COUNTRY_DESCRIPTION],COUNTRIES[COUNTRY_LABEL],"")</f>
        <v>IR</v>
      </c>
      <c r="F228" t="s">
        <v>35</v>
      </c>
      <c r="G228" t="s">
        <v>20</v>
      </c>
      <c r="H228">
        <v>0</v>
      </c>
      <c r="I228">
        <v>8</v>
      </c>
      <c r="J228">
        <v>8</v>
      </c>
      <c r="K228" s="2" t="s">
        <v>20</v>
      </c>
      <c r="L228">
        <f>_xlfn.XLOOKUP("LOADINGSPEEDDEF_"&amp;PROPERTIES[[#This Row],[LOADINGSPEED]],LOADINGSPEEDDEF[TYPE],LOADINGSPEEDDEF[SPEED])</f>
        <v>0</v>
      </c>
      <c r="M228" t="s">
        <v>21</v>
      </c>
      <c r="N228">
        <v>1</v>
      </c>
      <c r="O228" s="34">
        <v>123</v>
      </c>
      <c r="P228">
        <v>4300</v>
      </c>
      <c r="Q228">
        <v>160</v>
      </c>
      <c r="R228" s="31">
        <v>542</v>
      </c>
      <c r="S228" s="30">
        <f>IFERROR(PROPERTIES[[#This Row],[TE_STARTING_KN]]/(PROPERTIES[[#This Row],[WEIGHT]]*9.81),0)</f>
        <v>0.44918491998375637</v>
      </c>
      <c r="T228" s="30">
        <v>0.21</v>
      </c>
      <c r="U228" s="27">
        <f>ROUND(IF(IFERROR(PROPERTIES[[#This Row],[TE_COEFFICIENT_CALC]],0)=0,PROPERTIES[[#This Row],[TE_COEFFICIENT_MANUAL]],PROPERTIES[[#This Row],[TE_COEFFICIENT_CALC]]),3)</f>
        <v>0.44900000000000001</v>
      </c>
      <c r="V228" s="6">
        <v>40</v>
      </c>
      <c r="W228" s="10">
        <v>0</v>
      </c>
      <c r="X228" s="10">
        <v>0</v>
      </c>
      <c r="Y228" s="10"/>
      <c r="Z228" t="str">
        <f>"RUNNING_COST_"&amp;IF(PROPERTIES[[#This Row],[ENGINE_CLASS]]="MAGLEV","ELECTRIC",PROPERTIES[[#This Row],[ENGINE_CLASS]])</f>
        <v>RUNNING_COST_DIESEL</v>
      </c>
      <c r="AA228" s="10" t="s">
        <v>1000</v>
      </c>
      <c r="AB228" s="10" t="s">
        <v>1001</v>
      </c>
      <c r="AC228" s="10" t="str">
        <f>SUBSTITUTE(SUBSTITUTE(PROPERTIES[[#This Row],[PURCHASECOST_VALUE]], "PURCHASECOST_", ""), "_VALUE", "")</f>
        <v>DIESELENGINE</v>
      </c>
      <c r="AD228" s="2" t="b">
        <v>0</v>
      </c>
      <c r="AV228"/>
      <c r="AW228"/>
      <c r="AX228"/>
    </row>
    <row r="229" spans="1:50">
      <c r="A229" s="2" t="s">
        <v>252</v>
      </c>
      <c r="B229">
        <v>2006</v>
      </c>
      <c r="C229">
        <v>0</v>
      </c>
      <c r="D229" t="s">
        <v>2026</v>
      </c>
      <c r="E229" t="str">
        <f>_xlfn.XLOOKUP(PROPERTIES[[#This Row],[COUNTRY]],COUNTRIES[COUNTRY_DESCRIPTION],COUNTRIES[COUNTRY_LABEL],"")</f>
        <v>UA</v>
      </c>
      <c r="F229" t="s">
        <v>35</v>
      </c>
      <c r="G229" t="s">
        <v>20</v>
      </c>
      <c r="H229">
        <v>0</v>
      </c>
      <c r="I229">
        <v>8</v>
      </c>
      <c r="J229">
        <v>8</v>
      </c>
      <c r="K229" s="2" t="s">
        <v>20</v>
      </c>
      <c r="L229">
        <f>_xlfn.XLOOKUP("LOADINGSPEEDDEF_"&amp;PROPERTIES[[#This Row],[LOADINGSPEED]],LOADINGSPEEDDEF[TYPE],LOADINGSPEEDDEF[SPEED])</f>
        <v>0</v>
      </c>
      <c r="M229" t="s">
        <v>21</v>
      </c>
      <c r="N229">
        <v>1</v>
      </c>
      <c r="O229" s="34">
        <v>135</v>
      </c>
      <c r="P229">
        <v>4216</v>
      </c>
      <c r="Q229">
        <v>160</v>
      </c>
      <c r="R229" s="31">
        <v>310</v>
      </c>
      <c r="S229" s="30">
        <f>IFERROR(PROPERTIES[[#This Row],[TE_STARTING_KN]]/(PROPERTIES[[#This Row],[WEIGHT]]*9.81),0)</f>
        <v>0.23407709442367952</v>
      </c>
      <c r="T229" s="30">
        <v>0.12</v>
      </c>
      <c r="U229" s="27">
        <f>ROUND(IF(IFERROR(PROPERTIES[[#This Row],[TE_COEFFICIENT_CALC]],0)=0,PROPERTIES[[#This Row],[TE_COEFFICIENT_MANUAL]],PROPERTIES[[#This Row],[TE_COEFFICIENT_CALC]]),3)</f>
        <v>0.23400000000000001</v>
      </c>
      <c r="V229" s="6">
        <v>40</v>
      </c>
      <c r="W229" s="10">
        <v>0</v>
      </c>
      <c r="X229" s="10">
        <v>0</v>
      </c>
      <c r="Y229" s="10"/>
      <c r="Z229" t="str">
        <f>"RUNNING_COST_"&amp;IF(PROPERTIES[[#This Row],[ENGINE_CLASS]]="MAGLEV","ELECTRIC",PROPERTIES[[#This Row],[ENGINE_CLASS]])</f>
        <v>RUNNING_COST_DIESEL</v>
      </c>
      <c r="AA229" s="10" t="s">
        <v>1000</v>
      </c>
      <c r="AB229" s="10" t="s">
        <v>1001</v>
      </c>
      <c r="AC229" s="10" t="str">
        <f>SUBSTITUTE(SUBSTITUTE(PROPERTIES[[#This Row],[PURCHASECOST_VALUE]], "PURCHASECOST_", ""), "_VALUE", "")</f>
        <v>DIESELENGINE</v>
      </c>
      <c r="AD229" s="2" t="b">
        <v>0</v>
      </c>
      <c r="AV229"/>
      <c r="AW229"/>
      <c r="AX229"/>
    </row>
    <row r="230" spans="1:50">
      <c r="A230" s="2" t="s">
        <v>253</v>
      </c>
      <c r="B230">
        <v>2008</v>
      </c>
      <c r="C230">
        <v>0</v>
      </c>
      <c r="D230" t="s">
        <v>1845</v>
      </c>
      <c r="E230" t="str">
        <f>_xlfn.XLOOKUP(PROPERTIES[[#This Row],[COUNTRY]],COUNTRIES[COUNTRY_DESCRIPTION],COUNTRIES[COUNTRY_LABEL],"")</f>
        <v>CN</v>
      </c>
      <c r="F230" t="s">
        <v>35</v>
      </c>
      <c r="G230" t="s">
        <v>20</v>
      </c>
      <c r="H230">
        <v>0</v>
      </c>
      <c r="I230">
        <v>8</v>
      </c>
      <c r="J230">
        <v>8</v>
      </c>
      <c r="K230" s="2" t="s">
        <v>20</v>
      </c>
      <c r="L230">
        <f>_xlfn.XLOOKUP("LOADINGSPEEDDEF_"&amp;PROPERTIES[[#This Row],[LOADINGSPEED]],LOADINGSPEEDDEF[TYPE],LOADINGSPEEDDEF[SPEED])</f>
        <v>0</v>
      </c>
      <c r="M230" t="s">
        <v>21</v>
      </c>
      <c r="N230">
        <v>1</v>
      </c>
      <c r="O230" s="34">
        <v>150</v>
      </c>
      <c r="P230">
        <v>6250</v>
      </c>
      <c r="Q230">
        <v>120</v>
      </c>
      <c r="R230" s="31">
        <v>620</v>
      </c>
      <c r="S230" s="30">
        <f>IFERROR(PROPERTIES[[#This Row],[TE_STARTING_KN]]/(PROPERTIES[[#This Row],[WEIGHT]]*9.81),0)</f>
        <v>0.42133876996262315</v>
      </c>
      <c r="T230" s="30">
        <v>0.41</v>
      </c>
      <c r="U230" s="27">
        <f>ROUND(IF(IFERROR(PROPERTIES[[#This Row],[TE_COEFFICIENT_CALC]],0)=0,PROPERTIES[[#This Row],[TE_COEFFICIENT_MANUAL]],PROPERTIES[[#This Row],[TE_COEFFICIENT_CALC]]),3)</f>
        <v>0.42099999999999999</v>
      </c>
      <c r="V230" s="6">
        <v>40</v>
      </c>
      <c r="W230" s="10">
        <v>0</v>
      </c>
      <c r="X230" s="10">
        <v>0</v>
      </c>
      <c r="Y230" s="10"/>
      <c r="Z230" t="str">
        <f>"RUNNING_COST_"&amp;IF(PROPERTIES[[#This Row],[ENGINE_CLASS]]="MAGLEV","ELECTRIC",PROPERTIES[[#This Row],[ENGINE_CLASS]])</f>
        <v>RUNNING_COST_DIESEL</v>
      </c>
      <c r="AA230" s="10" t="s">
        <v>1000</v>
      </c>
      <c r="AB230" s="10" t="s">
        <v>1001</v>
      </c>
      <c r="AC230" s="10" t="str">
        <f>SUBSTITUTE(SUBSTITUTE(PROPERTIES[[#This Row],[PURCHASECOST_VALUE]], "PURCHASECOST_", ""), "_VALUE", "")</f>
        <v>DIESELENGINE</v>
      </c>
      <c r="AD230" s="2" t="b">
        <v>0</v>
      </c>
      <c r="AV230"/>
      <c r="AW230"/>
      <c r="AX230"/>
    </row>
    <row r="231" spans="1:50">
      <c r="A231" s="2" t="s">
        <v>254</v>
      </c>
      <c r="B231">
        <v>2010</v>
      </c>
      <c r="C231">
        <v>0</v>
      </c>
      <c r="D231" t="s">
        <v>1854</v>
      </c>
      <c r="E231" t="str">
        <f>_xlfn.XLOOKUP(PROPERTIES[[#This Row],[COUNTRY]],COUNTRIES[COUNTRY_DESCRIPTION],COUNTRIES[COUNTRY_LABEL],"")</f>
        <v>DE</v>
      </c>
      <c r="F231" t="s">
        <v>35</v>
      </c>
      <c r="G231" t="s">
        <v>20</v>
      </c>
      <c r="H231">
        <v>0</v>
      </c>
      <c r="I231">
        <v>8</v>
      </c>
      <c r="J231">
        <v>8</v>
      </c>
      <c r="K231" s="2" t="s">
        <v>20</v>
      </c>
      <c r="L231">
        <f>_xlfn.XLOOKUP("LOADINGSPEEDDEF_"&amp;PROPERTIES[[#This Row],[LOADINGSPEED]],LOADINGSPEEDDEF[TYPE],LOADINGSPEEDDEF[SPEED])</f>
        <v>0</v>
      </c>
      <c r="M231" t="s">
        <v>21</v>
      </c>
      <c r="N231">
        <v>1</v>
      </c>
      <c r="O231" s="34">
        <v>80</v>
      </c>
      <c r="P231">
        <v>1600</v>
      </c>
      <c r="Q231">
        <v>100</v>
      </c>
      <c r="R231" s="31">
        <v>313</v>
      </c>
      <c r="S231" s="30">
        <f>IFERROR(PROPERTIES[[#This Row],[TE_STARTING_KN]]/(PROPERTIES[[#This Row],[WEIGHT]]*9.81),0)</f>
        <v>0.39882772680937817</v>
      </c>
      <c r="T231" s="30">
        <v>0.32</v>
      </c>
      <c r="U231" s="27">
        <f>ROUND(IF(IFERROR(PROPERTIES[[#This Row],[TE_COEFFICIENT_CALC]],0)=0,PROPERTIES[[#This Row],[TE_COEFFICIENT_MANUAL]],PROPERTIES[[#This Row],[TE_COEFFICIENT_CALC]]),3)</f>
        <v>0.39900000000000002</v>
      </c>
      <c r="V231" s="6">
        <v>40</v>
      </c>
      <c r="W231" s="10">
        <v>0</v>
      </c>
      <c r="X231" s="10">
        <v>0</v>
      </c>
      <c r="Y231" s="10"/>
      <c r="Z231" t="str">
        <f>"RUNNING_COST_"&amp;IF(PROPERTIES[[#This Row],[ENGINE_CLASS]]="MAGLEV","ELECTRIC",PROPERTIES[[#This Row],[ENGINE_CLASS]])</f>
        <v>RUNNING_COST_DIESEL</v>
      </c>
      <c r="AA231" s="10" t="s">
        <v>1000</v>
      </c>
      <c r="AB231" s="10" t="s">
        <v>1001</v>
      </c>
      <c r="AC231" s="10" t="str">
        <f>SUBSTITUTE(SUBSTITUTE(PROPERTIES[[#This Row],[PURCHASECOST_VALUE]], "PURCHASECOST_", ""), "_VALUE", "")</f>
        <v>DIESELENGINE</v>
      </c>
      <c r="AD231" s="2" t="b">
        <v>0</v>
      </c>
      <c r="AV231"/>
      <c r="AW231"/>
      <c r="AX231"/>
    </row>
    <row r="232" spans="1:50">
      <c r="A232" s="2" t="s">
        <v>255</v>
      </c>
      <c r="B232">
        <v>2011</v>
      </c>
      <c r="C232">
        <v>0</v>
      </c>
      <c r="D232" t="s">
        <v>1987</v>
      </c>
      <c r="E232" t="str">
        <f>_xlfn.XLOOKUP(PROPERTIES[[#This Row],[COUNTRY]],COUNTRIES[COUNTRY_DESCRIPTION],COUNTRIES[COUNTRY_LABEL],"")</f>
        <v>RU</v>
      </c>
      <c r="F232" t="s">
        <v>35</v>
      </c>
      <c r="G232" t="s">
        <v>20</v>
      </c>
      <c r="H232">
        <v>0</v>
      </c>
      <c r="I232">
        <v>8</v>
      </c>
      <c r="J232">
        <v>16</v>
      </c>
      <c r="K232" s="2" t="s">
        <v>20</v>
      </c>
      <c r="L232">
        <f>_xlfn.XLOOKUP("LOADINGSPEEDDEF_"&amp;PROPERTIES[[#This Row],[LOADINGSPEED]],LOADINGSPEEDDEF[TYPE],LOADINGSPEEDDEF[SPEED])</f>
        <v>0</v>
      </c>
      <c r="M232" t="s">
        <v>21</v>
      </c>
      <c r="N232">
        <v>1</v>
      </c>
      <c r="O232" s="34">
        <v>300</v>
      </c>
      <c r="P232">
        <v>11130</v>
      </c>
      <c r="Q232">
        <v>100</v>
      </c>
      <c r="R232" s="31">
        <v>775</v>
      </c>
      <c r="S232" s="30">
        <f>IFERROR(PROPERTIES[[#This Row],[TE_STARTING_KN]]/(PROPERTIES[[#This Row],[WEIGHT]]*9.81),0)</f>
        <v>0.26333673122663948</v>
      </c>
      <c r="T232" s="30">
        <v>0.23</v>
      </c>
      <c r="U232" s="27">
        <f>ROUND(IF(IFERROR(PROPERTIES[[#This Row],[TE_COEFFICIENT_CALC]],0)=0,PROPERTIES[[#This Row],[TE_COEFFICIENT_MANUAL]],PROPERTIES[[#This Row],[TE_COEFFICIENT_CALC]]),3)</f>
        <v>0.26300000000000001</v>
      </c>
      <c r="V232" s="6">
        <v>40</v>
      </c>
      <c r="W232" s="10">
        <v>0</v>
      </c>
      <c r="X232" s="10">
        <v>8</v>
      </c>
      <c r="Y232" s="10"/>
      <c r="Z232" t="str">
        <f>"RUNNING_COST_"&amp;IF(PROPERTIES[[#This Row],[ENGINE_CLASS]]="MAGLEV","ELECTRIC",PROPERTIES[[#This Row],[ENGINE_CLASS]])</f>
        <v>RUNNING_COST_DIESEL</v>
      </c>
      <c r="AA232" s="10" t="s">
        <v>1000</v>
      </c>
      <c r="AB232" s="10" t="s">
        <v>1001</v>
      </c>
      <c r="AC232" s="10" t="str">
        <f>SUBSTITUTE(SUBSTITUTE(PROPERTIES[[#This Row],[PURCHASECOST_VALUE]], "PURCHASECOST_", ""), "_VALUE", "")</f>
        <v>DIESELENGINE</v>
      </c>
      <c r="AD232" s="2" t="b">
        <v>1</v>
      </c>
      <c r="AV232"/>
      <c r="AW232"/>
      <c r="AX232"/>
    </row>
    <row r="233" spans="1:50">
      <c r="A233" s="2" t="s">
        <v>256</v>
      </c>
      <c r="B233">
        <v>2003</v>
      </c>
      <c r="C233">
        <v>0</v>
      </c>
      <c r="D233" t="s">
        <v>1845</v>
      </c>
      <c r="E233" t="str">
        <f>_xlfn.XLOOKUP(PROPERTIES[[#This Row],[COUNTRY]],COUNTRIES[COUNTRY_DESCRIPTION],COUNTRIES[COUNTRY_LABEL],"")</f>
        <v>CN</v>
      </c>
      <c r="F233" t="s">
        <v>35</v>
      </c>
      <c r="G233" t="s">
        <v>20</v>
      </c>
      <c r="H233">
        <v>0</v>
      </c>
      <c r="I233">
        <v>8</v>
      </c>
      <c r="J233">
        <v>8</v>
      </c>
      <c r="K233" s="2" t="s">
        <v>20</v>
      </c>
      <c r="L233">
        <f>_xlfn.XLOOKUP("LOADINGSPEEDDEF_"&amp;PROPERTIES[[#This Row],[LOADINGSPEED]],LOADINGSPEEDDEF[TYPE],LOADINGSPEEDDEF[SPEED])</f>
        <v>0</v>
      </c>
      <c r="M233" t="s">
        <v>21</v>
      </c>
      <c r="N233">
        <v>1</v>
      </c>
      <c r="O233" s="34">
        <v>80</v>
      </c>
      <c r="P233">
        <v>2680</v>
      </c>
      <c r="Q233">
        <v>140</v>
      </c>
      <c r="R233" s="31">
        <v>235</v>
      </c>
      <c r="S233" s="30">
        <f>IFERROR(PROPERTIES[[#This Row],[TE_STARTING_KN]]/(PROPERTIES[[#This Row],[WEIGHT]]*9.81),0)</f>
        <v>0.29943934760448521</v>
      </c>
      <c r="T233" s="30">
        <v>0.28999999999999998</v>
      </c>
      <c r="U233" s="27">
        <f>ROUND(IF(IFERROR(PROPERTIES[[#This Row],[TE_COEFFICIENT_CALC]],0)=0,PROPERTIES[[#This Row],[TE_COEFFICIENT_MANUAL]],PROPERTIES[[#This Row],[TE_COEFFICIENT_CALC]]),3)</f>
        <v>0.29899999999999999</v>
      </c>
      <c r="V233" s="6">
        <v>40</v>
      </c>
      <c r="W233" s="10">
        <v>0</v>
      </c>
      <c r="X233" s="10">
        <v>0</v>
      </c>
      <c r="Y233" s="10"/>
      <c r="Z233" t="str">
        <f>"RUNNING_COST_"&amp;IF(PROPERTIES[[#This Row],[ENGINE_CLASS]]="MAGLEV","ELECTRIC",PROPERTIES[[#This Row],[ENGINE_CLASS]])</f>
        <v>RUNNING_COST_DIESEL</v>
      </c>
      <c r="AA233" s="10" t="s">
        <v>1000</v>
      </c>
      <c r="AB233" s="10" t="s">
        <v>1001</v>
      </c>
      <c r="AC233" s="10" t="str">
        <f>SUBSTITUTE(SUBSTITUTE(PROPERTIES[[#This Row],[PURCHASECOST_VALUE]], "PURCHASECOST_", ""), "_VALUE", "")</f>
        <v>DIESELENGINE</v>
      </c>
      <c r="AD233" s="2" t="b">
        <v>0</v>
      </c>
      <c r="AV233"/>
      <c r="AW233"/>
      <c r="AX233"/>
    </row>
    <row r="234" spans="1:50">
      <c r="A234" s="2" t="s">
        <v>257</v>
      </c>
      <c r="B234">
        <v>2010</v>
      </c>
      <c r="C234">
        <v>0</v>
      </c>
      <c r="D234" t="s">
        <v>1854</v>
      </c>
      <c r="E234" t="str">
        <f>_xlfn.XLOOKUP(PROPERTIES[[#This Row],[COUNTRY]],COUNTRIES[COUNTRY_DESCRIPTION],COUNTRIES[COUNTRY_LABEL],"")</f>
        <v>DE</v>
      </c>
      <c r="F234" t="s">
        <v>35</v>
      </c>
      <c r="G234" t="s">
        <v>20</v>
      </c>
      <c r="H234">
        <v>0</v>
      </c>
      <c r="I234">
        <v>8</v>
      </c>
      <c r="J234">
        <v>8</v>
      </c>
      <c r="K234" s="2" t="s">
        <v>20</v>
      </c>
      <c r="L234">
        <f>_xlfn.XLOOKUP("LOADINGSPEEDDEF_"&amp;PROPERTIES[[#This Row],[LOADINGSPEED]],LOADINGSPEEDDEF[TYPE],LOADINGSPEEDDEF[SPEED])</f>
        <v>0</v>
      </c>
      <c r="M234" t="s">
        <v>21</v>
      </c>
      <c r="N234">
        <v>1</v>
      </c>
      <c r="O234" s="34">
        <v>135</v>
      </c>
      <c r="P234">
        <v>4900</v>
      </c>
      <c r="Q234">
        <v>140</v>
      </c>
      <c r="R234" s="31">
        <v>408</v>
      </c>
      <c r="S234" s="30">
        <f>IFERROR(PROPERTIES[[#This Row],[TE_STARTING_KN]]/(PROPERTIES[[#This Row],[WEIGHT]]*9.81),0)</f>
        <v>0.30807565975761692</v>
      </c>
      <c r="T234" s="30">
        <v>0.35</v>
      </c>
      <c r="U234" s="27">
        <f>ROUND(IF(IFERROR(PROPERTIES[[#This Row],[TE_COEFFICIENT_CALC]],0)=0,PROPERTIES[[#This Row],[TE_COEFFICIENT_MANUAL]],PROPERTIES[[#This Row],[TE_COEFFICIENT_CALC]]),3)</f>
        <v>0.308</v>
      </c>
      <c r="V234" s="6">
        <v>40</v>
      </c>
      <c r="W234" s="10">
        <v>0</v>
      </c>
      <c r="X234" s="10">
        <v>0</v>
      </c>
      <c r="Y234" s="10"/>
      <c r="Z234" t="str">
        <f>"RUNNING_COST_"&amp;IF(PROPERTIES[[#This Row],[ENGINE_CLASS]]="MAGLEV","ELECTRIC",PROPERTIES[[#This Row],[ENGINE_CLASS]])</f>
        <v>RUNNING_COST_DIESEL</v>
      </c>
      <c r="AA234" s="10" t="s">
        <v>1000</v>
      </c>
      <c r="AB234" s="10" t="s">
        <v>1001</v>
      </c>
      <c r="AC234" s="10" t="str">
        <f>SUBSTITUTE(SUBSTITUTE(PROPERTIES[[#This Row],[PURCHASECOST_VALUE]], "PURCHASECOST_", ""), "_VALUE", "")</f>
        <v>DIESELENGINE</v>
      </c>
      <c r="AD234" s="2" t="b">
        <v>0</v>
      </c>
      <c r="AV234"/>
      <c r="AW234"/>
      <c r="AX234"/>
    </row>
    <row r="235" spans="1:50">
      <c r="A235" s="2" t="s">
        <v>258</v>
      </c>
      <c r="B235">
        <v>1963</v>
      </c>
      <c r="C235">
        <v>0</v>
      </c>
      <c r="D235" t="s">
        <v>2048</v>
      </c>
      <c r="E235" t="str">
        <f>_xlfn.XLOOKUP(PROPERTIES[[#This Row],[COUNTRY]],COUNTRIES[COUNTRY_DESCRIPTION],COUNTRIES[COUNTRY_LABEL],"")</f>
        <v>SU</v>
      </c>
      <c r="F235" t="s">
        <v>35</v>
      </c>
      <c r="G235" t="s">
        <v>20</v>
      </c>
      <c r="H235">
        <v>0</v>
      </c>
      <c r="I235">
        <v>7</v>
      </c>
      <c r="J235">
        <v>7</v>
      </c>
      <c r="K235" s="2" t="s">
        <v>20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4">
        <v>125</v>
      </c>
      <c r="P235">
        <v>1300</v>
      </c>
      <c r="Q235">
        <v>95</v>
      </c>
      <c r="R235" s="31">
        <v>265</v>
      </c>
      <c r="S235" s="30">
        <f>IFERROR(PROPERTIES[[#This Row],[TE_STARTING_KN]]/(PROPERTIES[[#This Row],[WEIGHT]]*9.81),0)</f>
        <v>0.21610601427115189</v>
      </c>
      <c r="T235" s="30">
        <v>0.12</v>
      </c>
      <c r="U235" s="27">
        <f>ROUND(IF(IFERROR(PROPERTIES[[#This Row],[TE_COEFFICIENT_CALC]],0)=0,PROPERTIES[[#This Row],[TE_COEFFICIENT_MANUAL]],PROPERTIES[[#This Row],[TE_COEFFICIENT_CALC]]),3)</f>
        <v>0.216</v>
      </c>
      <c r="V235" s="6">
        <v>40</v>
      </c>
      <c r="W235" s="10">
        <v>0</v>
      </c>
      <c r="X235" s="10">
        <v>0</v>
      </c>
      <c r="Y235" s="10"/>
      <c r="Z235" t="str">
        <f>"RUNNING_COST_"&amp;IF(PROPERTIES[[#This Row],[ENGINE_CLASS]]="MAGLEV","ELECTRIC",PROPERTIES[[#This Row],[ENGINE_CLASS]])</f>
        <v>RUNNING_COST_DIESEL</v>
      </c>
      <c r="AA235" s="10" t="s">
        <v>1000</v>
      </c>
      <c r="AB235" s="10" t="s">
        <v>1001</v>
      </c>
      <c r="AC235" s="10" t="str">
        <f>SUBSTITUTE(SUBSTITUTE(PROPERTIES[[#This Row],[PURCHASECOST_VALUE]], "PURCHASECOST_", ""), "_VALUE", "")</f>
        <v>DIESELENGINE</v>
      </c>
      <c r="AD235" s="2" t="b">
        <v>0</v>
      </c>
      <c r="AV235"/>
      <c r="AW235"/>
      <c r="AX235"/>
    </row>
    <row r="236" spans="1:50">
      <c r="A236" s="2" t="s">
        <v>259</v>
      </c>
      <c r="B236">
        <v>1928</v>
      </c>
      <c r="C236">
        <v>0</v>
      </c>
      <c r="D236" t="s">
        <v>1835</v>
      </c>
      <c r="E236" t="str">
        <f>_xlfn.XLOOKUP(PROPERTIES[[#This Row],[COUNTRY]],COUNTRIES[COUNTRY_DESCRIPTION],COUNTRIES[COUNTRY_LABEL],"")</f>
        <v>CA</v>
      </c>
      <c r="F236" t="s">
        <v>35</v>
      </c>
      <c r="G236" t="s">
        <v>20</v>
      </c>
      <c r="H236">
        <v>0</v>
      </c>
      <c r="I236">
        <v>7</v>
      </c>
      <c r="J236">
        <v>14</v>
      </c>
      <c r="K236" s="2" t="s">
        <v>20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4">
        <v>335</v>
      </c>
      <c r="P236">
        <v>2660</v>
      </c>
      <c r="Q236">
        <v>112</v>
      </c>
      <c r="R236" s="31">
        <v>213.5</v>
      </c>
      <c r="S236" s="30">
        <f>IFERROR(PROPERTIES[[#This Row],[TE_STARTING_KN]]/(PROPERTIES[[#This Row],[WEIGHT]]*9.81),0)</f>
        <v>6.4965691420572971E-2</v>
      </c>
      <c r="T236" s="30">
        <v>0.11</v>
      </c>
      <c r="U236" s="27">
        <f>ROUND(IF(IFERROR(PROPERTIES[[#This Row],[TE_COEFFICIENT_CALC]],0)=0,PROPERTIES[[#This Row],[TE_COEFFICIENT_MANUAL]],PROPERTIES[[#This Row],[TE_COEFFICIENT_CALC]]),3)</f>
        <v>6.5000000000000002E-2</v>
      </c>
      <c r="V236" s="6">
        <v>40</v>
      </c>
      <c r="W236" s="10">
        <v>0</v>
      </c>
      <c r="X236" s="10">
        <v>7</v>
      </c>
      <c r="Y236" s="10"/>
      <c r="Z236" t="str">
        <f>"RUNNING_COST_"&amp;IF(PROPERTIES[[#This Row],[ENGINE_CLASS]]="MAGLEV","ELECTRIC",PROPERTIES[[#This Row],[ENGINE_CLASS]])</f>
        <v>RUNNING_COST_DIESEL</v>
      </c>
      <c r="AA236" s="10" t="s">
        <v>1000</v>
      </c>
      <c r="AB236" s="10" t="s">
        <v>1001</v>
      </c>
      <c r="AC236" s="10" t="str">
        <f>SUBSTITUTE(SUBSTITUTE(PROPERTIES[[#This Row],[PURCHASECOST_VALUE]], "PURCHASECOST_", ""), "_VALUE", "")</f>
        <v>DIESELENGINE</v>
      </c>
      <c r="AD236" s="2" t="b">
        <v>0</v>
      </c>
      <c r="AV236"/>
      <c r="AW236"/>
      <c r="AX236"/>
    </row>
    <row r="237" spans="1:50">
      <c r="A237" s="2" t="s">
        <v>260</v>
      </c>
      <c r="B237">
        <v>1932</v>
      </c>
      <c r="C237">
        <v>0</v>
      </c>
      <c r="D237" t="s">
        <v>1873</v>
      </c>
      <c r="E237" t="str">
        <f>_xlfn.XLOOKUP(PROPERTIES[[#This Row],[COUNTRY]],COUNTRIES[COUNTRY_DESCRIPTION],COUNTRIES[COUNTRY_LABEL],"")</f>
        <v>GB</v>
      </c>
      <c r="F237" t="s">
        <v>35</v>
      </c>
      <c r="G237" t="s">
        <v>20</v>
      </c>
      <c r="H237">
        <v>0</v>
      </c>
      <c r="I237">
        <v>4</v>
      </c>
      <c r="J237">
        <v>4</v>
      </c>
      <c r="K237" s="2" t="s">
        <v>20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4">
        <v>22</v>
      </c>
      <c r="P237">
        <v>150</v>
      </c>
      <c r="Q237">
        <v>48</v>
      </c>
      <c r="R237" s="31">
        <v>46.8</v>
      </c>
      <c r="S237" s="30">
        <f>IFERROR(PROPERTIES[[#This Row],[TE_STARTING_KN]]/(PROPERTIES[[#This Row],[WEIGHT]]*9.81),0)</f>
        <v>0.21684737281067554</v>
      </c>
      <c r="T237" s="30">
        <v>0.21</v>
      </c>
      <c r="U237" s="27">
        <f>ROUND(IF(IFERROR(PROPERTIES[[#This Row],[TE_COEFFICIENT_CALC]],0)=0,PROPERTIES[[#This Row],[TE_COEFFICIENT_MANUAL]],PROPERTIES[[#This Row],[TE_COEFFICIENT_CALC]]),3)</f>
        <v>0.217</v>
      </c>
      <c r="V237" s="6">
        <v>40</v>
      </c>
      <c r="W237" s="10">
        <v>0</v>
      </c>
      <c r="X237" s="10">
        <v>0</v>
      </c>
      <c r="Y237" s="10"/>
      <c r="Z237" t="str">
        <f>"RUNNING_COST_"&amp;IF(PROPERTIES[[#This Row],[ENGINE_CLASS]]="MAGLEV","ELECTRIC",PROPERTIES[[#This Row],[ENGINE_CLASS]])</f>
        <v>RUNNING_COST_DIESEL</v>
      </c>
      <c r="AA237" s="10" t="s">
        <v>1000</v>
      </c>
      <c r="AB237" s="10" t="s">
        <v>1001</v>
      </c>
      <c r="AC237" s="10" t="str">
        <f>SUBSTITUTE(SUBSTITUTE(PROPERTIES[[#This Row],[PURCHASECOST_VALUE]], "PURCHASECOST_", ""), "_VALUE", "")</f>
        <v>DIESELENGINE</v>
      </c>
      <c r="AD237" s="2" t="b">
        <v>0</v>
      </c>
      <c r="AV237"/>
      <c r="AW237"/>
      <c r="AX237"/>
    </row>
    <row r="238" spans="1:50">
      <c r="A238" s="2" t="s">
        <v>261</v>
      </c>
      <c r="B238">
        <v>1937</v>
      </c>
      <c r="C238">
        <v>0</v>
      </c>
      <c r="D238" t="s">
        <v>2029</v>
      </c>
      <c r="E238" t="str">
        <f>_xlfn.XLOOKUP(PROPERTIES[[#This Row],[COUNTRY]],COUNTRIES[COUNTRY_DESCRIPTION],COUNTRIES[COUNTRY_LABEL],"")</f>
        <v>US</v>
      </c>
      <c r="F238" t="s">
        <v>35</v>
      </c>
      <c r="G238" t="s">
        <v>20</v>
      </c>
      <c r="H238">
        <v>0</v>
      </c>
      <c r="I238">
        <v>8</v>
      </c>
      <c r="J238">
        <v>8</v>
      </c>
      <c r="K238" s="2" t="s">
        <v>20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4">
        <v>98</v>
      </c>
      <c r="P238">
        <v>1200</v>
      </c>
      <c r="Q238">
        <v>180</v>
      </c>
      <c r="R238" s="31">
        <v>125</v>
      </c>
      <c r="S238" s="30">
        <f>IFERROR(PROPERTIES[[#This Row],[TE_STARTING_KN]]/(PROPERTIES[[#This Row],[WEIGHT]]*9.81),0)</f>
        <v>0.13002142753125714</v>
      </c>
      <c r="T238" s="30">
        <v>0.12</v>
      </c>
      <c r="U238" s="27">
        <f>ROUND(IF(IFERROR(PROPERTIES[[#This Row],[TE_COEFFICIENT_CALC]],0)=0,PROPERTIES[[#This Row],[TE_COEFFICIENT_MANUAL]],PROPERTIES[[#This Row],[TE_COEFFICIENT_CALC]]),3)</f>
        <v>0.13</v>
      </c>
      <c r="V238" s="6">
        <v>40</v>
      </c>
      <c r="W238" s="10">
        <v>0</v>
      </c>
      <c r="X238" s="10">
        <v>0</v>
      </c>
      <c r="Y238" s="10"/>
      <c r="Z238" t="str">
        <f>"RUNNING_COST_"&amp;IF(PROPERTIES[[#This Row],[ENGINE_CLASS]]="MAGLEV","ELECTRIC",PROPERTIES[[#This Row],[ENGINE_CLASS]])</f>
        <v>RUNNING_COST_DIESEL</v>
      </c>
      <c r="AA238" s="10" t="s">
        <v>1000</v>
      </c>
      <c r="AB238" s="10" t="s">
        <v>1001</v>
      </c>
      <c r="AC238" s="10" t="str">
        <f>SUBSTITUTE(SUBSTITUTE(PROPERTIES[[#This Row],[PURCHASECOST_VALUE]], "PURCHASECOST_", ""), "_VALUE", "")</f>
        <v>DIESELENGINE</v>
      </c>
      <c r="AD238" s="2" t="b">
        <v>0</v>
      </c>
      <c r="AV238"/>
      <c r="AW238"/>
      <c r="AX238"/>
    </row>
    <row r="239" spans="1:50">
      <c r="A239" s="2" t="s">
        <v>262</v>
      </c>
      <c r="B239">
        <v>1939</v>
      </c>
      <c r="C239">
        <v>0</v>
      </c>
      <c r="D239" t="s">
        <v>2029</v>
      </c>
      <c r="E239" t="str">
        <f>_xlfn.XLOOKUP(PROPERTIES[[#This Row],[COUNTRY]],COUNTRIES[COUNTRY_DESCRIPTION],COUNTRIES[COUNTRY_LABEL],"")</f>
        <v>US</v>
      </c>
      <c r="F239" t="s">
        <v>35</v>
      </c>
      <c r="G239" t="s">
        <v>20</v>
      </c>
      <c r="H239">
        <v>0</v>
      </c>
      <c r="I239">
        <v>6</v>
      </c>
      <c r="J239">
        <v>6</v>
      </c>
      <c r="K239" s="2" t="s">
        <v>20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4">
        <v>92</v>
      </c>
      <c r="P239">
        <v>660</v>
      </c>
      <c r="Q239">
        <v>64</v>
      </c>
      <c r="R239" s="31">
        <v>226.84</v>
      </c>
      <c r="S239" s="30">
        <f>IFERROR(PROPERTIES[[#This Row],[TE_STARTING_KN]]/(PROPERTIES[[#This Row],[WEIGHT]]*9.81),0)</f>
        <v>0.2513406905110136</v>
      </c>
      <c r="T239" s="30">
        <v>0.24</v>
      </c>
      <c r="U239" s="27">
        <f>ROUND(IF(IFERROR(PROPERTIES[[#This Row],[TE_COEFFICIENT_CALC]],0)=0,PROPERTIES[[#This Row],[TE_COEFFICIENT_MANUAL]],PROPERTIES[[#This Row],[TE_COEFFICIENT_CALC]]),3)</f>
        <v>0.251</v>
      </c>
      <c r="V239" s="6">
        <v>40</v>
      </c>
      <c r="W239" s="10">
        <v>0</v>
      </c>
      <c r="X239" s="10">
        <v>0</v>
      </c>
      <c r="Y239" s="10"/>
      <c r="Z239" t="str">
        <f>"RUNNING_COST_"&amp;IF(PROPERTIES[[#This Row],[ENGINE_CLASS]]="MAGLEV","ELECTRIC",PROPERTIES[[#This Row],[ENGINE_CLASS]])</f>
        <v>RUNNING_COST_DIESEL</v>
      </c>
      <c r="AA239" s="10" t="s">
        <v>1000</v>
      </c>
      <c r="AB239" s="10" t="s">
        <v>1001</v>
      </c>
      <c r="AC239" s="10" t="str">
        <f>SUBSTITUTE(SUBSTITUTE(PROPERTIES[[#This Row],[PURCHASECOST_VALUE]], "PURCHASECOST_", ""), "_VALUE", "")</f>
        <v>DIESELENGINE</v>
      </c>
      <c r="AD239" s="2" t="b">
        <v>0</v>
      </c>
      <c r="AV239"/>
      <c r="AW239"/>
      <c r="AX239"/>
    </row>
    <row r="240" spans="1:50">
      <c r="A240" s="2" t="s">
        <v>263</v>
      </c>
      <c r="B240">
        <v>1939</v>
      </c>
      <c r="C240">
        <v>0</v>
      </c>
      <c r="D240" t="s">
        <v>1873</v>
      </c>
      <c r="E240" t="str">
        <f>_xlfn.XLOOKUP(PROPERTIES[[#This Row],[COUNTRY]],COUNTRIES[COUNTRY_DESCRIPTION],COUNTRIES[COUNTRY_LABEL],"")</f>
        <v>GB</v>
      </c>
      <c r="F240" t="s">
        <v>35</v>
      </c>
      <c r="G240" t="s">
        <v>20</v>
      </c>
      <c r="H240">
        <v>0</v>
      </c>
      <c r="I240">
        <v>5</v>
      </c>
      <c r="J240">
        <v>5</v>
      </c>
      <c r="K240" s="2" t="s">
        <v>20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4">
        <v>55</v>
      </c>
      <c r="P240">
        <v>350</v>
      </c>
      <c r="Q240">
        <v>32</v>
      </c>
      <c r="R240" s="31">
        <v>160</v>
      </c>
      <c r="S240" s="30">
        <f>IFERROR(PROPERTIES[[#This Row],[TE_STARTING_KN]]/(PROPERTIES[[#This Row],[WEIGHT]]*9.81),0)</f>
        <v>0.2965434158094708</v>
      </c>
      <c r="T240" s="30">
        <v>0.28999999999999998</v>
      </c>
      <c r="U240" s="27">
        <f>ROUND(IF(IFERROR(PROPERTIES[[#This Row],[TE_COEFFICIENT_CALC]],0)=0,PROPERTIES[[#This Row],[TE_COEFFICIENT_MANUAL]],PROPERTIES[[#This Row],[TE_COEFFICIENT_CALC]]),3)</f>
        <v>0.29699999999999999</v>
      </c>
      <c r="V240" s="6">
        <v>40</v>
      </c>
      <c r="W240" s="10">
        <v>0</v>
      </c>
      <c r="X240" s="10">
        <v>0</v>
      </c>
      <c r="Y240" s="10"/>
      <c r="Z240" t="str">
        <f>"RUNNING_COST_"&amp;IF(PROPERTIES[[#This Row],[ENGINE_CLASS]]="MAGLEV","ELECTRIC",PROPERTIES[[#This Row],[ENGINE_CLASS]])</f>
        <v>RUNNING_COST_DIESEL</v>
      </c>
      <c r="AA240" s="10" t="s">
        <v>1000</v>
      </c>
      <c r="AB240" s="10" t="s">
        <v>1001</v>
      </c>
      <c r="AC240" s="10" t="str">
        <f>SUBSTITUTE(SUBSTITUTE(PROPERTIES[[#This Row],[PURCHASECOST_VALUE]], "PURCHASECOST_", ""), "_VALUE", "")</f>
        <v>DIESELENGINE</v>
      </c>
      <c r="AD240" s="2" t="b">
        <v>0</v>
      </c>
      <c r="AV240"/>
      <c r="AW240"/>
      <c r="AX240"/>
    </row>
    <row r="241" spans="1:50">
      <c r="A241" s="2" t="s">
        <v>264</v>
      </c>
      <c r="B241">
        <v>1939</v>
      </c>
      <c r="C241">
        <v>0</v>
      </c>
      <c r="D241" t="s">
        <v>1810</v>
      </c>
      <c r="E241" t="str">
        <f>_xlfn.XLOOKUP(PROPERTIES[[#This Row],[COUNTRY]],COUNTRIES[COUNTRY_DESCRIPTION],COUNTRIES[COUNTRY_LABEL],"")</f>
        <v>AU</v>
      </c>
      <c r="F241" t="s">
        <v>35</v>
      </c>
      <c r="G241" t="s">
        <v>20</v>
      </c>
      <c r="H241">
        <v>0</v>
      </c>
      <c r="I241">
        <v>5</v>
      </c>
      <c r="J241">
        <v>5</v>
      </c>
      <c r="K241" s="2" t="s">
        <v>20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4">
        <v>18</v>
      </c>
      <c r="P241">
        <v>150</v>
      </c>
      <c r="Q241">
        <v>50</v>
      </c>
      <c r="R241" s="31">
        <v>31</v>
      </c>
      <c r="S241" s="30">
        <f>IFERROR(PROPERTIES[[#This Row],[TE_STARTING_KN]]/(PROPERTIES[[#This Row],[WEIGHT]]*9.81),0)</f>
        <v>0.17555782081775964</v>
      </c>
      <c r="T241" s="30">
        <v>0.17</v>
      </c>
      <c r="U241" s="27">
        <f>ROUND(IF(IFERROR(PROPERTIES[[#This Row],[TE_COEFFICIENT_CALC]],0)=0,PROPERTIES[[#This Row],[TE_COEFFICIENT_MANUAL]],PROPERTIES[[#This Row],[TE_COEFFICIENT_CALC]]),3)</f>
        <v>0.17599999999999999</v>
      </c>
      <c r="V241" s="6">
        <v>40</v>
      </c>
      <c r="W241" s="10">
        <v>0</v>
      </c>
      <c r="X241" s="10">
        <v>0</v>
      </c>
      <c r="Y241" s="10"/>
      <c r="Z241" t="str">
        <f>"RUNNING_COST_"&amp;IF(PROPERTIES[[#This Row],[ENGINE_CLASS]]="MAGLEV","ELECTRIC",PROPERTIES[[#This Row],[ENGINE_CLASS]])</f>
        <v>RUNNING_COST_DIESEL</v>
      </c>
      <c r="AA241" s="10" t="s">
        <v>1000</v>
      </c>
      <c r="AB241" s="10" t="s">
        <v>1001</v>
      </c>
      <c r="AC241" s="10" t="str">
        <f>SUBSTITUTE(SUBSTITUTE(PROPERTIES[[#This Row],[PURCHASECOST_VALUE]], "PURCHASECOST_", ""), "_VALUE", "")</f>
        <v>DIESELENGINE</v>
      </c>
      <c r="AD241" s="2" t="b">
        <v>0</v>
      </c>
      <c r="AV241"/>
      <c r="AW241"/>
      <c r="AX241"/>
    </row>
    <row r="242" spans="1:50">
      <c r="A242" s="2" t="s">
        <v>265</v>
      </c>
      <c r="B242">
        <v>1944</v>
      </c>
      <c r="C242">
        <v>0</v>
      </c>
      <c r="D242" t="s">
        <v>2029</v>
      </c>
      <c r="E242" t="str">
        <f>_xlfn.XLOOKUP(PROPERTIES[[#This Row],[COUNTRY]],COUNTRIES[COUNTRY_DESCRIPTION],COUNTRIES[COUNTRY_LABEL],"")</f>
        <v>US</v>
      </c>
      <c r="F242" t="s">
        <v>35</v>
      </c>
      <c r="G242" t="s">
        <v>20</v>
      </c>
      <c r="H242">
        <v>0</v>
      </c>
      <c r="I242">
        <v>6</v>
      </c>
      <c r="J242">
        <v>6</v>
      </c>
      <c r="K242" s="2" t="s">
        <v>20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4">
        <v>109</v>
      </c>
      <c r="P242">
        <v>1000</v>
      </c>
      <c r="Q242">
        <v>97</v>
      </c>
      <c r="R242" s="31">
        <v>179.9</v>
      </c>
      <c r="S242" s="30">
        <f>IFERROR(PROPERTIES[[#This Row],[TE_STARTING_KN]]/(PROPERTIES[[#This Row],[WEIGHT]]*9.81),0)</f>
        <v>0.16824247865406017</v>
      </c>
      <c r="T242" s="30">
        <v>0.17</v>
      </c>
      <c r="U242" s="27">
        <f>ROUND(IF(IFERROR(PROPERTIES[[#This Row],[TE_COEFFICIENT_CALC]],0)=0,PROPERTIES[[#This Row],[TE_COEFFICIENT_MANUAL]],PROPERTIES[[#This Row],[TE_COEFFICIENT_CALC]]),3)</f>
        <v>0.16800000000000001</v>
      </c>
      <c r="V242" s="6">
        <v>40</v>
      </c>
      <c r="W242" s="10">
        <v>0</v>
      </c>
      <c r="X242" s="10">
        <v>0</v>
      </c>
      <c r="Y242" s="10"/>
      <c r="Z242" t="str">
        <f>"RUNNING_COST_"&amp;IF(PROPERTIES[[#This Row],[ENGINE_CLASS]]="MAGLEV","ELECTRIC",PROPERTIES[[#This Row],[ENGINE_CLASS]])</f>
        <v>RUNNING_COST_DIESEL</v>
      </c>
      <c r="AA242" s="10" t="s">
        <v>1000</v>
      </c>
      <c r="AB242" s="10" t="s">
        <v>1001</v>
      </c>
      <c r="AC242" s="10" t="str">
        <f>SUBSTITUTE(SUBSTITUTE(PROPERTIES[[#This Row],[PURCHASECOST_VALUE]], "PURCHASECOST_", ""), "_VALUE", "")</f>
        <v>DIESELENGINE</v>
      </c>
      <c r="AD242" s="2" t="b">
        <v>0</v>
      </c>
      <c r="AV242"/>
      <c r="AW242"/>
      <c r="AX242"/>
    </row>
    <row r="243" spans="1:50">
      <c r="A243" s="2" t="s">
        <v>266</v>
      </c>
      <c r="B243">
        <v>1948</v>
      </c>
      <c r="C243">
        <v>0</v>
      </c>
      <c r="D243" t="s">
        <v>1859</v>
      </c>
      <c r="E243" t="str">
        <f>_xlfn.XLOOKUP(PROPERTIES[[#This Row],[COUNTRY]],COUNTRIES[COUNTRY_DESCRIPTION],COUNTRIES[COUNTRY_LABEL],"")</f>
        <v>DZ</v>
      </c>
      <c r="F243" t="s">
        <v>35</v>
      </c>
      <c r="G243" t="s">
        <v>20</v>
      </c>
      <c r="H243">
        <v>0</v>
      </c>
      <c r="I243">
        <v>7</v>
      </c>
      <c r="J243">
        <v>7</v>
      </c>
      <c r="K243" s="2" t="s">
        <v>20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4">
        <v>92</v>
      </c>
      <c r="P243">
        <v>1000</v>
      </c>
      <c r="Q243">
        <v>80</v>
      </c>
      <c r="R243" s="31">
        <v>0</v>
      </c>
      <c r="S243" s="30">
        <f>IFERROR(PROPERTIES[[#This Row],[TE_STARTING_KN]]/(PROPERTIES[[#This Row],[WEIGHT]]*9.81),0)</f>
        <v>0</v>
      </c>
      <c r="T243" s="30">
        <v>0.14000000000000001</v>
      </c>
      <c r="U243" s="27">
        <f>ROUND(IF(IFERROR(PROPERTIES[[#This Row],[TE_COEFFICIENT_CALC]],0)=0,PROPERTIES[[#This Row],[TE_COEFFICIENT_MANUAL]],PROPERTIES[[#This Row],[TE_COEFFICIENT_CALC]]),3)</f>
        <v>0.14000000000000001</v>
      </c>
      <c r="V243" s="6">
        <v>40</v>
      </c>
      <c r="W243" s="10">
        <v>0</v>
      </c>
      <c r="X243" s="10">
        <v>0</v>
      </c>
      <c r="Y243" s="10"/>
      <c r="Z243" t="str">
        <f>"RUNNING_COST_"&amp;IF(PROPERTIES[[#This Row],[ENGINE_CLASS]]="MAGLEV","ELECTRIC",PROPERTIES[[#This Row],[ENGINE_CLASS]])</f>
        <v>RUNNING_COST_DIESEL</v>
      </c>
      <c r="AA243" s="10" t="s">
        <v>1000</v>
      </c>
      <c r="AB243" s="10" t="s">
        <v>1001</v>
      </c>
      <c r="AC243" s="10" t="str">
        <f>SUBSTITUTE(SUBSTITUTE(PROPERTIES[[#This Row],[PURCHASECOST_VALUE]], "PURCHASECOST_", ""), "_VALUE", "")</f>
        <v>DIESELENGINE</v>
      </c>
      <c r="AD243" s="2" t="b">
        <v>0</v>
      </c>
      <c r="AV243"/>
      <c r="AW243"/>
      <c r="AX243"/>
    </row>
    <row r="244" spans="1:50">
      <c r="A244" s="2" t="s">
        <v>267</v>
      </c>
      <c r="B244">
        <v>1950</v>
      </c>
      <c r="C244">
        <v>0</v>
      </c>
      <c r="D244" t="s">
        <v>1898</v>
      </c>
      <c r="E244" t="str">
        <f>_xlfn.XLOOKUP(PROPERTIES[[#This Row],[COUNTRY]],COUNTRIES[COUNTRY_DESCRIPTION],COUNTRIES[COUNTRY_LABEL],"")</f>
        <v>IE</v>
      </c>
      <c r="F244" t="s">
        <v>35</v>
      </c>
      <c r="G244" t="s">
        <v>20</v>
      </c>
      <c r="H244">
        <v>0</v>
      </c>
      <c r="I244">
        <v>8</v>
      </c>
      <c r="J244">
        <v>8</v>
      </c>
      <c r="K244" s="2" t="s">
        <v>20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4">
        <v>81</v>
      </c>
      <c r="P244">
        <v>915</v>
      </c>
      <c r="Q244">
        <v>88</v>
      </c>
      <c r="R244" s="31">
        <v>205</v>
      </c>
      <c r="S244" s="30">
        <f>IFERROR(PROPERTIES[[#This Row],[TE_STARTING_KN]]/(PROPERTIES[[#This Row],[WEIGHT]]*9.81),0)</f>
        <v>0.25798819546695861</v>
      </c>
      <c r="T244" s="30">
        <v>0.25</v>
      </c>
      <c r="U244" s="27">
        <f>ROUND(IF(IFERROR(PROPERTIES[[#This Row],[TE_COEFFICIENT_CALC]],0)=0,PROPERTIES[[#This Row],[TE_COEFFICIENT_MANUAL]],PROPERTIES[[#This Row],[TE_COEFFICIENT_CALC]]),3)</f>
        <v>0.25800000000000001</v>
      </c>
      <c r="V244" s="6">
        <v>40</v>
      </c>
      <c r="W244" s="10">
        <v>0</v>
      </c>
      <c r="X244" s="10">
        <v>0</v>
      </c>
      <c r="Y244" s="10"/>
      <c r="Z244" t="str">
        <f>"RUNNING_COST_"&amp;IF(PROPERTIES[[#This Row],[ENGINE_CLASS]]="MAGLEV","ELECTRIC",PROPERTIES[[#This Row],[ENGINE_CLASS]])</f>
        <v>RUNNING_COST_DIESEL</v>
      </c>
      <c r="AA244" s="10" t="s">
        <v>1000</v>
      </c>
      <c r="AB244" s="10" t="s">
        <v>1001</v>
      </c>
      <c r="AC244" s="10" t="str">
        <f>SUBSTITUTE(SUBSTITUTE(PROPERTIES[[#This Row],[PURCHASECOST_VALUE]], "PURCHASECOST_", ""), "_VALUE", "")</f>
        <v>DIESELENGINE</v>
      </c>
      <c r="AD244" s="2" t="b">
        <v>0</v>
      </c>
      <c r="AV244"/>
      <c r="AW244"/>
      <c r="AX244"/>
    </row>
    <row r="245" spans="1:50">
      <c r="A245" s="2" t="s">
        <v>268</v>
      </c>
      <c r="B245">
        <v>1950</v>
      </c>
      <c r="C245">
        <v>0</v>
      </c>
      <c r="D245" t="s">
        <v>1828</v>
      </c>
      <c r="E245" t="str">
        <f>_xlfn.XLOOKUP(PROPERTIES[[#This Row],[COUNTRY]],COUNTRIES[COUNTRY_DESCRIPTION],COUNTRIES[COUNTRY_LABEL],"")</f>
        <v>BR</v>
      </c>
      <c r="F245" t="s">
        <v>35</v>
      </c>
      <c r="G245" t="s">
        <v>20</v>
      </c>
      <c r="H245">
        <v>0</v>
      </c>
      <c r="I245">
        <v>8</v>
      </c>
      <c r="J245">
        <v>8</v>
      </c>
      <c r="K245" s="2" t="s">
        <v>20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4">
        <v>148</v>
      </c>
      <c r="P245">
        <v>1600</v>
      </c>
      <c r="Q245">
        <v>100</v>
      </c>
      <c r="R245" s="31">
        <v>434</v>
      </c>
      <c r="S245" s="30">
        <f>IFERROR(PROPERTIES[[#This Row],[TE_STARTING_KN]]/(PROPERTIES[[#This Row],[WEIGHT]]*9.81),0)</f>
        <v>0.29892277598699613</v>
      </c>
      <c r="T245" s="30">
        <v>0.24</v>
      </c>
      <c r="U245" s="27">
        <f>ROUND(IF(IFERROR(PROPERTIES[[#This Row],[TE_COEFFICIENT_CALC]],0)=0,PROPERTIES[[#This Row],[TE_COEFFICIENT_MANUAL]],PROPERTIES[[#This Row],[TE_COEFFICIENT_CALC]]),3)</f>
        <v>0.29899999999999999</v>
      </c>
      <c r="V245" s="6">
        <v>40</v>
      </c>
      <c r="W245" s="10">
        <v>0</v>
      </c>
      <c r="X245" s="10">
        <v>0</v>
      </c>
      <c r="Y245" s="10"/>
      <c r="Z245" t="str">
        <f>"RUNNING_COST_"&amp;IF(PROPERTIES[[#This Row],[ENGINE_CLASS]]="MAGLEV","ELECTRIC",PROPERTIES[[#This Row],[ENGINE_CLASS]])</f>
        <v>RUNNING_COST_DIESEL</v>
      </c>
      <c r="AA245" s="10" t="s">
        <v>1000</v>
      </c>
      <c r="AB245" s="10" t="s">
        <v>1001</v>
      </c>
      <c r="AC245" s="10" t="str">
        <f>SUBSTITUTE(SUBSTITUTE(PROPERTIES[[#This Row],[PURCHASECOST_VALUE]], "PURCHASECOST_", ""), "_VALUE", "")</f>
        <v>DIESELENGINE</v>
      </c>
      <c r="AD245" s="2" t="b">
        <v>0</v>
      </c>
      <c r="AV245"/>
      <c r="AW245"/>
      <c r="AX245"/>
    </row>
    <row r="246" spans="1:50">
      <c r="A246" s="2" t="s">
        <v>269</v>
      </c>
      <c r="B246">
        <v>1950</v>
      </c>
      <c r="C246">
        <v>0</v>
      </c>
      <c r="D246" t="s">
        <v>1953</v>
      </c>
      <c r="E246" t="str">
        <f>_xlfn.XLOOKUP(PROPERTIES[[#This Row],[COUNTRY]],COUNTRIES[COUNTRY_DESCRIPTION],COUNTRIES[COUNTRY_LABEL],"")</f>
        <v>MX</v>
      </c>
      <c r="F246" t="s">
        <v>35</v>
      </c>
      <c r="G246" t="s">
        <v>20</v>
      </c>
      <c r="H246">
        <v>0</v>
      </c>
      <c r="I246">
        <v>8</v>
      </c>
      <c r="J246">
        <v>8</v>
      </c>
      <c r="K246" s="2" t="s">
        <v>20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4">
        <v>113</v>
      </c>
      <c r="P246">
        <v>1600</v>
      </c>
      <c r="Q246">
        <v>105</v>
      </c>
      <c r="R246" s="31">
        <v>187.4</v>
      </c>
      <c r="S246" s="30">
        <f>IFERROR(PROPERTIES[[#This Row],[TE_STARTING_KN]]/(PROPERTIES[[#This Row],[WEIGHT]]*9.81),0)</f>
        <v>0.16905270944403852</v>
      </c>
      <c r="T246" s="30">
        <v>0.17</v>
      </c>
      <c r="U246" s="27">
        <f>ROUND(IF(IFERROR(PROPERTIES[[#This Row],[TE_COEFFICIENT_CALC]],0)=0,PROPERTIES[[#This Row],[TE_COEFFICIENT_MANUAL]],PROPERTIES[[#This Row],[TE_COEFFICIENT_CALC]]),3)</f>
        <v>0.16900000000000001</v>
      </c>
      <c r="V246" s="6">
        <v>40</v>
      </c>
      <c r="W246" s="10">
        <v>0</v>
      </c>
      <c r="X246" s="10">
        <v>0</v>
      </c>
      <c r="Y246" s="10"/>
      <c r="Z246" t="str">
        <f>"RUNNING_COST_"&amp;IF(PROPERTIES[[#This Row],[ENGINE_CLASS]]="MAGLEV","ELECTRIC",PROPERTIES[[#This Row],[ENGINE_CLASS]])</f>
        <v>RUNNING_COST_DIESEL</v>
      </c>
      <c r="AA246" s="10" t="s">
        <v>1000</v>
      </c>
      <c r="AB246" s="10" t="s">
        <v>1001</v>
      </c>
      <c r="AC246" s="10" t="str">
        <f>SUBSTITUTE(SUBSTITUTE(PROPERTIES[[#This Row],[PURCHASECOST_VALUE]], "PURCHASECOST_", ""), "_VALUE", "")</f>
        <v>DIESELENGINE</v>
      </c>
      <c r="AD246" s="2" t="b">
        <v>0</v>
      </c>
      <c r="AV246"/>
      <c r="AW246"/>
      <c r="AX246"/>
    </row>
    <row r="247" spans="1:50">
      <c r="A247" s="2" t="s">
        <v>270</v>
      </c>
      <c r="B247">
        <v>1951</v>
      </c>
      <c r="C247">
        <v>0</v>
      </c>
      <c r="D247" t="s">
        <v>1810</v>
      </c>
      <c r="E247" t="str">
        <f>_xlfn.XLOOKUP(PROPERTIES[[#This Row],[COUNTRY]],COUNTRIES[COUNTRY_DESCRIPTION],COUNTRIES[COUNTRY_LABEL],"")</f>
        <v>AU</v>
      </c>
      <c r="F247" t="s">
        <v>35</v>
      </c>
      <c r="G247" t="s">
        <v>20</v>
      </c>
      <c r="H247">
        <v>0</v>
      </c>
      <c r="I247">
        <v>8</v>
      </c>
      <c r="J247">
        <v>8</v>
      </c>
      <c r="K247" s="2" t="s">
        <v>20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4">
        <v>121</v>
      </c>
      <c r="P247">
        <v>1590</v>
      </c>
      <c r="Q247">
        <v>121</v>
      </c>
      <c r="R247" s="31">
        <v>249.1</v>
      </c>
      <c r="S247" s="30">
        <f>IFERROR(PROPERTIES[[#This Row],[TE_STARTING_KN]]/(PROPERTIES[[#This Row],[WEIGHT]]*9.81),0)</f>
        <v>0.20985501385834998</v>
      </c>
      <c r="T247" s="30">
        <v>0.12</v>
      </c>
      <c r="U247" s="27">
        <f>ROUND(IF(IFERROR(PROPERTIES[[#This Row],[TE_COEFFICIENT_CALC]],0)=0,PROPERTIES[[#This Row],[TE_COEFFICIENT_MANUAL]],PROPERTIES[[#This Row],[TE_COEFFICIENT_CALC]]),3)</f>
        <v>0.21</v>
      </c>
      <c r="V247" s="6">
        <v>40</v>
      </c>
      <c r="W247" s="10">
        <v>0</v>
      </c>
      <c r="X247" s="10">
        <v>0</v>
      </c>
      <c r="Y247" s="10"/>
      <c r="Z247" t="str">
        <f>"RUNNING_COST_"&amp;IF(PROPERTIES[[#This Row],[ENGINE_CLASS]]="MAGLEV","ELECTRIC",PROPERTIES[[#This Row],[ENGINE_CLASS]])</f>
        <v>RUNNING_COST_DIESEL</v>
      </c>
      <c r="AA247" s="10" t="s">
        <v>1000</v>
      </c>
      <c r="AB247" s="10" t="s">
        <v>1001</v>
      </c>
      <c r="AC247" s="10" t="str">
        <f>SUBSTITUTE(SUBSTITUTE(PROPERTIES[[#This Row],[PURCHASECOST_VALUE]], "PURCHASECOST_", ""), "_VALUE", "")</f>
        <v>DIESELENGINE</v>
      </c>
      <c r="AD247" s="2" t="b">
        <v>0</v>
      </c>
      <c r="AV247"/>
      <c r="AW247"/>
      <c r="AX247"/>
    </row>
    <row r="248" spans="1:50">
      <c r="A248" s="2" t="s">
        <v>271</v>
      </c>
      <c r="B248">
        <v>1954</v>
      </c>
      <c r="C248">
        <v>0</v>
      </c>
      <c r="D248" t="s">
        <v>1926</v>
      </c>
      <c r="E248" t="str">
        <f>_xlfn.XLOOKUP(PROPERTIES[[#This Row],[COUNTRY]],COUNTRIES[COUNTRY_DESCRIPTION],COUNTRIES[COUNTRY_LABEL],"")</f>
        <v>LK</v>
      </c>
      <c r="F248" t="s">
        <v>35</v>
      </c>
      <c r="G248" t="s">
        <v>20</v>
      </c>
      <c r="H248">
        <v>0</v>
      </c>
      <c r="I248">
        <v>6</v>
      </c>
      <c r="J248">
        <v>6</v>
      </c>
      <c r="K248" s="2" t="s">
        <v>20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4">
        <v>79</v>
      </c>
      <c r="P248">
        <v>1425</v>
      </c>
      <c r="Q248">
        <v>112</v>
      </c>
      <c r="R248" s="31">
        <v>0</v>
      </c>
      <c r="S248" s="30">
        <f>IFERROR(PROPERTIES[[#This Row],[TE_STARTING_KN]]/(PROPERTIES[[#This Row],[WEIGHT]]*9.81),0)</f>
        <v>0</v>
      </c>
      <c r="T248" s="30">
        <v>0.24</v>
      </c>
      <c r="U248" s="27">
        <f>ROUND(IF(IFERROR(PROPERTIES[[#This Row],[TE_COEFFICIENT_CALC]],0)=0,PROPERTIES[[#This Row],[TE_COEFFICIENT_MANUAL]],PROPERTIES[[#This Row],[TE_COEFFICIENT_CALC]]),3)</f>
        <v>0.24</v>
      </c>
      <c r="V248" s="6">
        <v>40</v>
      </c>
      <c r="W248" s="10">
        <v>0</v>
      </c>
      <c r="X248" s="10">
        <v>0</v>
      </c>
      <c r="Y248" s="10"/>
      <c r="Z248" t="str">
        <f>"RUNNING_COST_"&amp;IF(PROPERTIES[[#This Row],[ENGINE_CLASS]]="MAGLEV","ELECTRIC",PROPERTIES[[#This Row],[ENGINE_CLASS]])</f>
        <v>RUNNING_COST_DIESEL</v>
      </c>
      <c r="AA248" s="10" t="s">
        <v>1000</v>
      </c>
      <c r="AB248" s="10" t="s">
        <v>1001</v>
      </c>
      <c r="AC248" s="10" t="str">
        <f>SUBSTITUTE(SUBSTITUTE(PROPERTIES[[#This Row],[PURCHASECOST_VALUE]], "PURCHASECOST_", ""), "_VALUE", "")</f>
        <v>DIESELENGINE</v>
      </c>
      <c r="AD248" s="2" t="b">
        <v>0</v>
      </c>
      <c r="AV248"/>
      <c r="AW248"/>
      <c r="AX248"/>
    </row>
    <row r="249" spans="1:50">
      <c r="A249" s="2" t="s">
        <v>272</v>
      </c>
      <c r="B249">
        <v>1955</v>
      </c>
      <c r="C249">
        <v>0</v>
      </c>
      <c r="D249" t="s">
        <v>1898</v>
      </c>
      <c r="E249" t="str">
        <f>_xlfn.XLOOKUP(PROPERTIES[[#This Row],[COUNTRY]],COUNTRIES[COUNTRY_DESCRIPTION],COUNTRIES[COUNTRY_LABEL],"")</f>
        <v>IE</v>
      </c>
      <c r="F249" t="s">
        <v>35</v>
      </c>
      <c r="G249" t="s">
        <v>20</v>
      </c>
      <c r="H249">
        <v>0</v>
      </c>
      <c r="I249">
        <v>7</v>
      </c>
      <c r="J249">
        <v>7</v>
      </c>
      <c r="K249" s="2" t="s">
        <v>20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4">
        <v>82</v>
      </c>
      <c r="P249">
        <v>1325</v>
      </c>
      <c r="Q249">
        <v>120</v>
      </c>
      <c r="R249" s="31">
        <v>275</v>
      </c>
      <c r="S249" s="30">
        <f>IFERROR(PROPERTIES[[#This Row],[TE_STARTING_KN]]/(PROPERTIES[[#This Row],[WEIGHT]]*9.81),0)</f>
        <v>0.34186121677730535</v>
      </c>
      <c r="T249" s="30">
        <v>0.33</v>
      </c>
      <c r="U249" s="27">
        <f>ROUND(IF(IFERROR(PROPERTIES[[#This Row],[TE_COEFFICIENT_CALC]],0)=0,PROPERTIES[[#This Row],[TE_COEFFICIENT_MANUAL]],PROPERTIES[[#This Row],[TE_COEFFICIENT_CALC]]),3)</f>
        <v>0.34200000000000003</v>
      </c>
      <c r="V249" s="6">
        <v>40</v>
      </c>
      <c r="W249" s="10">
        <v>0</v>
      </c>
      <c r="X249" s="10">
        <v>0</v>
      </c>
      <c r="Y249" s="10"/>
      <c r="Z249" t="str">
        <f>"RUNNING_COST_"&amp;IF(PROPERTIES[[#This Row],[ENGINE_CLASS]]="MAGLEV","ELECTRIC",PROPERTIES[[#This Row],[ENGINE_CLASS]])</f>
        <v>RUNNING_COST_DIESEL</v>
      </c>
      <c r="AA249" s="10" t="s">
        <v>1000</v>
      </c>
      <c r="AB249" s="10" t="s">
        <v>1001</v>
      </c>
      <c r="AC249" s="10" t="str">
        <f>SUBSTITUTE(SUBSTITUTE(PROPERTIES[[#This Row],[PURCHASECOST_VALUE]], "PURCHASECOST_", ""), "_VALUE", "")</f>
        <v>DIESELENGINE</v>
      </c>
      <c r="AD249" s="2" t="b">
        <v>0</v>
      </c>
      <c r="AV249"/>
      <c r="AW249"/>
      <c r="AX249"/>
    </row>
    <row r="250" spans="1:50">
      <c r="A250" s="2" t="s">
        <v>273</v>
      </c>
      <c r="B250">
        <v>1957</v>
      </c>
      <c r="C250">
        <v>0</v>
      </c>
      <c r="D250" t="s">
        <v>1906</v>
      </c>
      <c r="E250" t="str">
        <f>_xlfn.XLOOKUP(PROPERTIES[[#This Row],[COUNTRY]],COUNTRIES[COUNTRY_DESCRIPTION],COUNTRIES[COUNTRY_LABEL],"")</f>
        <v>IT</v>
      </c>
      <c r="F250" t="s">
        <v>35</v>
      </c>
      <c r="G250" t="s">
        <v>20</v>
      </c>
      <c r="H250">
        <v>0</v>
      </c>
      <c r="I250">
        <v>8</v>
      </c>
      <c r="J250">
        <v>8</v>
      </c>
      <c r="K250" s="2" t="s">
        <v>20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4">
        <v>67</v>
      </c>
      <c r="P250">
        <v>1380</v>
      </c>
      <c r="Q250">
        <v>110</v>
      </c>
      <c r="R250" s="31">
        <v>0</v>
      </c>
      <c r="S250" s="30">
        <f>IFERROR(PROPERTIES[[#This Row],[TE_STARTING_KN]]/(PROPERTIES[[#This Row],[WEIGHT]]*9.81),0)</f>
        <v>0</v>
      </c>
      <c r="T250" s="30">
        <v>0.26</v>
      </c>
      <c r="U250" s="27">
        <f>ROUND(IF(IFERROR(PROPERTIES[[#This Row],[TE_COEFFICIENT_CALC]],0)=0,PROPERTIES[[#This Row],[TE_COEFFICIENT_MANUAL]],PROPERTIES[[#This Row],[TE_COEFFICIENT_CALC]]),3)</f>
        <v>0.26</v>
      </c>
      <c r="V250" s="6">
        <v>40</v>
      </c>
      <c r="W250" s="10">
        <v>0</v>
      </c>
      <c r="X250" s="10">
        <v>0</v>
      </c>
      <c r="Y250" s="10"/>
      <c r="Z250" t="str">
        <f>"RUNNING_COST_"&amp;IF(PROPERTIES[[#This Row],[ENGINE_CLASS]]="MAGLEV","ELECTRIC",PROPERTIES[[#This Row],[ENGINE_CLASS]])</f>
        <v>RUNNING_COST_DIESEL</v>
      </c>
      <c r="AA250" s="10" t="s">
        <v>1000</v>
      </c>
      <c r="AB250" s="10" t="s">
        <v>1001</v>
      </c>
      <c r="AC250" s="10" t="str">
        <f>SUBSTITUTE(SUBSTITUTE(PROPERTIES[[#This Row],[PURCHASECOST_VALUE]], "PURCHASECOST_", ""), "_VALUE", "")</f>
        <v>DIESELENGINE</v>
      </c>
      <c r="AD250" s="2" t="b">
        <v>0</v>
      </c>
      <c r="AV250"/>
      <c r="AW250"/>
      <c r="AX250"/>
    </row>
    <row r="251" spans="1:50">
      <c r="A251" s="2" t="s">
        <v>274</v>
      </c>
      <c r="B251">
        <v>1957</v>
      </c>
      <c r="C251">
        <v>0</v>
      </c>
      <c r="D251" t="s">
        <v>1810</v>
      </c>
      <c r="E251" t="str">
        <f>_xlfn.XLOOKUP(PROPERTIES[[#This Row],[COUNTRY]],COUNTRIES[COUNTRY_DESCRIPTION],COUNTRIES[COUNTRY_LABEL],"")</f>
        <v>AU</v>
      </c>
      <c r="F251" t="s">
        <v>35</v>
      </c>
      <c r="G251" t="s">
        <v>20</v>
      </c>
      <c r="H251">
        <v>0</v>
      </c>
      <c r="I251">
        <v>8</v>
      </c>
      <c r="J251">
        <v>8</v>
      </c>
      <c r="K251" s="2" t="s">
        <v>20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4">
        <v>112</v>
      </c>
      <c r="P251">
        <v>1950</v>
      </c>
      <c r="Q251">
        <v>129</v>
      </c>
      <c r="R251" s="31">
        <v>254</v>
      </c>
      <c r="S251" s="30">
        <f>IFERROR(PROPERTIES[[#This Row],[TE_STARTING_KN]]/(PROPERTIES[[#This Row],[WEIGHT]]*9.81),0)</f>
        <v>0.23117809815057522</v>
      </c>
      <c r="T251" s="30">
        <v>0.19</v>
      </c>
      <c r="U251" s="27">
        <f>ROUND(IF(IFERROR(PROPERTIES[[#This Row],[TE_COEFFICIENT_CALC]],0)=0,PROPERTIES[[#This Row],[TE_COEFFICIENT_MANUAL]],PROPERTIES[[#This Row],[TE_COEFFICIENT_CALC]]),3)</f>
        <v>0.23100000000000001</v>
      </c>
      <c r="V251" s="6">
        <v>40</v>
      </c>
      <c r="W251" s="10">
        <v>0</v>
      </c>
      <c r="X251" s="10">
        <v>0</v>
      </c>
      <c r="Y251" s="10"/>
      <c r="Z251" t="str">
        <f>"RUNNING_COST_"&amp;IF(PROPERTIES[[#This Row],[ENGINE_CLASS]]="MAGLEV","ELECTRIC",PROPERTIES[[#This Row],[ENGINE_CLASS]])</f>
        <v>RUNNING_COST_DIESEL</v>
      </c>
      <c r="AA251" s="10" t="s">
        <v>1000</v>
      </c>
      <c r="AB251" s="10" t="s">
        <v>1001</v>
      </c>
      <c r="AC251" s="10" t="str">
        <f>SUBSTITUTE(SUBSTITUTE(PROPERTIES[[#This Row],[PURCHASECOST_VALUE]], "PURCHASECOST_", ""), "_VALUE", "")</f>
        <v>DIESELENGINE</v>
      </c>
      <c r="AD251" s="2" t="b">
        <v>0</v>
      </c>
      <c r="AV251"/>
      <c r="AW251"/>
      <c r="AX251"/>
    </row>
    <row r="252" spans="1:50">
      <c r="A252" s="2" t="s">
        <v>275</v>
      </c>
      <c r="B252">
        <v>1959</v>
      </c>
      <c r="C252">
        <v>0</v>
      </c>
      <c r="D252" t="s">
        <v>2045</v>
      </c>
      <c r="E252" t="str">
        <f>_xlfn.XLOOKUP(PROPERTIES[[#This Row],[COUNTRY]],COUNTRIES[COUNTRY_DESCRIPTION],COUNTRIES[COUNTRY_LABEL],"")</f>
        <v>ZW</v>
      </c>
      <c r="F252" t="s">
        <v>35</v>
      </c>
      <c r="G252" t="s">
        <v>20</v>
      </c>
      <c r="H252">
        <v>0</v>
      </c>
      <c r="I252">
        <v>8</v>
      </c>
      <c r="J252">
        <v>8</v>
      </c>
      <c r="K252" s="2" t="s">
        <v>20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4">
        <v>76</v>
      </c>
      <c r="P252">
        <v>1316</v>
      </c>
      <c r="Q252">
        <v>89</v>
      </c>
      <c r="R252" s="31">
        <v>197.2</v>
      </c>
      <c r="S252" s="30">
        <f>IFERROR(PROPERTIES[[#This Row],[TE_STARTING_KN]]/(PROPERTIES[[#This Row],[WEIGHT]]*9.81),0)</f>
        <v>0.26449916841032239</v>
      </c>
      <c r="T252" s="30">
        <v>0.26</v>
      </c>
      <c r="U252" s="27">
        <f>ROUND(IF(IFERROR(PROPERTIES[[#This Row],[TE_COEFFICIENT_CALC]],0)=0,PROPERTIES[[#This Row],[TE_COEFFICIENT_MANUAL]],PROPERTIES[[#This Row],[TE_COEFFICIENT_CALC]]),3)</f>
        <v>0.26400000000000001</v>
      </c>
      <c r="V252" s="6">
        <v>40</v>
      </c>
      <c r="W252" s="10">
        <v>0</v>
      </c>
      <c r="X252" s="10">
        <v>0</v>
      </c>
      <c r="Y252" s="10"/>
      <c r="Z252" t="str">
        <f>"RUNNING_COST_"&amp;IF(PROPERTIES[[#This Row],[ENGINE_CLASS]]="MAGLEV","ELECTRIC",PROPERTIES[[#This Row],[ENGINE_CLASS]])</f>
        <v>RUNNING_COST_DIESEL</v>
      </c>
      <c r="AA252" s="10" t="s">
        <v>1000</v>
      </c>
      <c r="AB252" s="10" t="s">
        <v>1001</v>
      </c>
      <c r="AC252" s="10" t="str">
        <f>SUBSTITUTE(SUBSTITUTE(PROPERTIES[[#This Row],[PURCHASECOST_VALUE]], "PURCHASECOST_", ""), "_VALUE", "")</f>
        <v>DIESELENGINE</v>
      </c>
      <c r="AD252" s="2" t="b">
        <v>0</v>
      </c>
      <c r="AV252"/>
      <c r="AW252"/>
      <c r="AX252"/>
    </row>
    <row r="253" spans="1:50">
      <c r="A253" s="2" t="s">
        <v>276</v>
      </c>
      <c r="B253">
        <v>1960</v>
      </c>
      <c r="C253">
        <v>0</v>
      </c>
      <c r="D253" t="s">
        <v>1918</v>
      </c>
      <c r="E253" t="str">
        <f>_xlfn.XLOOKUP(PROPERTIES[[#This Row],[COUNTRY]],COUNTRIES[COUNTRY_DESCRIPTION],COUNTRIES[COUNTRY_LABEL],"")</f>
        <v>KR</v>
      </c>
      <c r="F253" t="s">
        <v>35</v>
      </c>
      <c r="G253" t="s">
        <v>20</v>
      </c>
      <c r="H253">
        <v>0</v>
      </c>
      <c r="I253">
        <v>8</v>
      </c>
      <c r="J253">
        <v>8</v>
      </c>
      <c r="K253" s="2" t="s">
        <v>20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4">
        <v>177</v>
      </c>
      <c r="P253">
        <v>1800</v>
      </c>
      <c r="Q253">
        <v>104</v>
      </c>
      <c r="R253" s="31">
        <v>433</v>
      </c>
      <c r="S253" s="30">
        <f>IFERROR(PROPERTIES[[#This Row],[TE_STARTING_KN]]/(PROPERTIES[[#This Row],[WEIGHT]]*9.81),0)</f>
        <v>0.2493708138242425</v>
      </c>
      <c r="T253" s="30">
        <v>0.09</v>
      </c>
      <c r="U253" s="27">
        <f>ROUND(IF(IFERROR(PROPERTIES[[#This Row],[TE_COEFFICIENT_CALC]],0)=0,PROPERTIES[[#This Row],[TE_COEFFICIENT_MANUAL]],PROPERTIES[[#This Row],[TE_COEFFICIENT_CALC]]),3)</f>
        <v>0.249</v>
      </c>
      <c r="V253" s="6">
        <v>40</v>
      </c>
      <c r="W253" s="10">
        <v>0</v>
      </c>
      <c r="X253" s="10">
        <v>0</v>
      </c>
      <c r="Y253" s="10"/>
      <c r="Z253" t="str">
        <f>"RUNNING_COST_"&amp;IF(PROPERTIES[[#This Row],[ENGINE_CLASS]]="MAGLEV","ELECTRIC",PROPERTIES[[#This Row],[ENGINE_CLASS]])</f>
        <v>RUNNING_COST_DIESEL</v>
      </c>
      <c r="AA253" s="10" t="s">
        <v>1000</v>
      </c>
      <c r="AB253" s="10" t="s">
        <v>1001</v>
      </c>
      <c r="AC253" s="10" t="str">
        <f>SUBSTITUTE(SUBSTITUTE(PROPERTIES[[#This Row],[PURCHASECOST_VALUE]], "PURCHASECOST_", ""), "_VALUE", "")</f>
        <v>DIESELENGINE</v>
      </c>
      <c r="AD253" s="2" t="b">
        <v>0</v>
      </c>
      <c r="AV253"/>
      <c r="AW253"/>
      <c r="AX253"/>
    </row>
    <row r="254" spans="1:50">
      <c r="A254" s="2" t="s">
        <v>277</v>
      </c>
      <c r="B254">
        <v>1971</v>
      </c>
      <c r="C254">
        <v>0</v>
      </c>
      <c r="D254" t="s">
        <v>1906</v>
      </c>
      <c r="E254" t="str">
        <f>_xlfn.XLOOKUP(PROPERTIES[[#This Row],[COUNTRY]],COUNTRIES[COUNTRY_DESCRIPTION],COUNTRIES[COUNTRY_LABEL],"")</f>
        <v>IT</v>
      </c>
      <c r="F254" t="s">
        <v>35</v>
      </c>
      <c r="G254" t="s">
        <v>20</v>
      </c>
      <c r="H254">
        <v>0</v>
      </c>
      <c r="I254">
        <v>8</v>
      </c>
      <c r="J254">
        <v>8</v>
      </c>
      <c r="K254" s="2" t="s">
        <v>20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4">
        <v>62</v>
      </c>
      <c r="P254">
        <v>1010</v>
      </c>
      <c r="Q254">
        <v>130</v>
      </c>
      <c r="R254" s="31">
        <v>0</v>
      </c>
      <c r="S254" s="30">
        <f>IFERROR(PROPERTIES[[#This Row],[TE_STARTING_KN]]/(PROPERTIES[[#This Row],[WEIGHT]]*9.81),0)</f>
        <v>0</v>
      </c>
      <c r="T254" s="30">
        <v>0.3</v>
      </c>
      <c r="U254" s="27">
        <f>ROUND(IF(IFERROR(PROPERTIES[[#This Row],[TE_COEFFICIENT_CALC]],0)=0,PROPERTIES[[#This Row],[TE_COEFFICIENT_MANUAL]],PROPERTIES[[#This Row],[TE_COEFFICIENT_CALC]]),3)</f>
        <v>0.3</v>
      </c>
      <c r="V254" s="6">
        <v>40</v>
      </c>
      <c r="W254" s="10">
        <v>0</v>
      </c>
      <c r="X254" s="10">
        <v>0</v>
      </c>
      <c r="Y254" s="10"/>
      <c r="Z254" t="str">
        <f>"RUNNING_COST_"&amp;IF(PROPERTIES[[#This Row],[ENGINE_CLASS]]="MAGLEV","ELECTRIC",PROPERTIES[[#This Row],[ENGINE_CLASS]])</f>
        <v>RUNNING_COST_DIESEL</v>
      </c>
      <c r="AA254" s="10" t="s">
        <v>1000</v>
      </c>
      <c r="AB254" s="10" t="s">
        <v>1001</v>
      </c>
      <c r="AC254" s="10" t="str">
        <f>SUBSTITUTE(SUBSTITUTE(PROPERTIES[[#This Row],[PURCHASECOST_VALUE]], "PURCHASECOST_", ""), "_VALUE", "")</f>
        <v>DIESELENGINE</v>
      </c>
      <c r="AD254" s="2" t="b">
        <v>0</v>
      </c>
      <c r="AV254"/>
      <c r="AW254"/>
      <c r="AX254"/>
    </row>
    <row r="255" spans="1:50">
      <c r="A255" s="2" t="s">
        <v>278</v>
      </c>
      <c r="B255">
        <v>1980</v>
      </c>
      <c r="C255">
        <v>0</v>
      </c>
      <c r="D255" t="s">
        <v>1963</v>
      </c>
      <c r="E255" t="str">
        <f>_xlfn.XLOOKUP(PROPERTIES[[#This Row],[COUNTRY]],COUNTRIES[COUNTRY_DESCRIPTION],COUNTRIES[COUNTRY_LABEL],"")</f>
        <v>NO</v>
      </c>
      <c r="F255" t="s">
        <v>35</v>
      </c>
      <c r="G255" t="s">
        <v>20</v>
      </c>
      <c r="H255">
        <v>0</v>
      </c>
      <c r="I255">
        <v>8</v>
      </c>
      <c r="J255">
        <v>8</v>
      </c>
      <c r="K255" s="2" t="s">
        <v>20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4">
        <v>120</v>
      </c>
      <c r="P255">
        <v>3290</v>
      </c>
      <c r="Q255">
        <v>140</v>
      </c>
      <c r="R255" s="31">
        <v>360</v>
      </c>
      <c r="S255" s="30">
        <f>IFERROR(PROPERTIES[[#This Row],[TE_STARTING_KN]]/(PROPERTIES[[#This Row],[WEIGHT]]*9.81),0)</f>
        <v>0.3058103975535168</v>
      </c>
      <c r="T255" s="30">
        <v>0.32</v>
      </c>
      <c r="U255" s="27">
        <f>ROUND(IF(IFERROR(PROPERTIES[[#This Row],[TE_COEFFICIENT_CALC]],0)=0,PROPERTIES[[#This Row],[TE_COEFFICIENT_MANUAL]],PROPERTIES[[#This Row],[TE_COEFFICIENT_CALC]]),3)</f>
        <v>0.30599999999999999</v>
      </c>
      <c r="V255" s="6">
        <v>40</v>
      </c>
      <c r="W255" s="10">
        <v>0</v>
      </c>
      <c r="X255" s="10">
        <v>0</v>
      </c>
      <c r="Y255" s="10"/>
      <c r="Z255" t="str">
        <f>"RUNNING_COST_"&amp;IF(PROPERTIES[[#This Row],[ENGINE_CLASS]]="MAGLEV","ELECTRIC",PROPERTIES[[#This Row],[ENGINE_CLASS]])</f>
        <v>RUNNING_COST_DIESEL</v>
      </c>
      <c r="AA255" s="10" t="s">
        <v>1000</v>
      </c>
      <c r="AB255" s="10" t="s">
        <v>1001</v>
      </c>
      <c r="AC255" s="10" t="str">
        <f>SUBSTITUTE(SUBSTITUTE(PROPERTIES[[#This Row],[PURCHASECOST_VALUE]], "PURCHASECOST_", ""), "_VALUE", "")</f>
        <v>DIESELENGINE</v>
      </c>
      <c r="AD255" s="2" t="b">
        <v>0</v>
      </c>
      <c r="AV255"/>
      <c r="AW255"/>
      <c r="AX255"/>
    </row>
    <row r="256" spans="1:50">
      <c r="A256" s="2" t="s">
        <v>279</v>
      </c>
      <c r="B256">
        <v>1984</v>
      </c>
      <c r="C256">
        <v>0</v>
      </c>
      <c r="D256" t="s">
        <v>1845</v>
      </c>
      <c r="E256" t="str">
        <f>_xlfn.XLOOKUP(PROPERTIES[[#This Row],[COUNTRY]],COUNTRIES[COUNTRY_DESCRIPTION],COUNTRIES[COUNTRY_LABEL],"")</f>
        <v>CN</v>
      </c>
      <c r="F256" t="s">
        <v>35</v>
      </c>
      <c r="G256" t="s">
        <v>20</v>
      </c>
      <c r="H256">
        <v>0</v>
      </c>
      <c r="I256">
        <v>8</v>
      </c>
      <c r="J256">
        <v>8</v>
      </c>
      <c r="K256" s="2" t="s">
        <v>20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4">
        <v>150</v>
      </c>
      <c r="P256">
        <v>4930</v>
      </c>
      <c r="Q256">
        <v>100</v>
      </c>
      <c r="R256" s="31">
        <v>480</v>
      </c>
      <c r="S256" s="30">
        <f>IFERROR(PROPERTIES[[#This Row],[TE_STARTING_KN]]/(PROPERTIES[[#This Row],[WEIGHT]]*9.81),0)</f>
        <v>0.32619775739041795</v>
      </c>
      <c r="T256" s="30">
        <v>0.35</v>
      </c>
      <c r="U256" s="27">
        <f>ROUND(IF(IFERROR(PROPERTIES[[#This Row],[TE_COEFFICIENT_CALC]],0)=0,PROPERTIES[[#This Row],[TE_COEFFICIENT_MANUAL]],PROPERTIES[[#This Row],[TE_COEFFICIENT_CALC]]),3)</f>
        <v>0.32600000000000001</v>
      </c>
      <c r="V256" s="6">
        <v>40</v>
      </c>
      <c r="W256" s="10">
        <v>0</v>
      </c>
      <c r="X256" s="10">
        <v>0</v>
      </c>
      <c r="Y256" s="10"/>
      <c r="Z256" t="str">
        <f>"RUNNING_COST_"&amp;IF(PROPERTIES[[#This Row],[ENGINE_CLASS]]="MAGLEV","ELECTRIC",PROPERTIES[[#This Row],[ENGINE_CLASS]])</f>
        <v>RUNNING_COST_DIESEL</v>
      </c>
      <c r="AA256" s="10" t="s">
        <v>1000</v>
      </c>
      <c r="AB256" s="10" t="s">
        <v>1001</v>
      </c>
      <c r="AC256" s="10" t="str">
        <f>SUBSTITUTE(SUBSTITUTE(PROPERTIES[[#This Row],[PURCHASECOST_VALUE]], "PURCHASECOST_", ""), "_VALUE", "")</f>
        <v>DIESELENGINE</v>
      </c>
      <c r="AD256" s="2" t="b">
        <v>0</v>
      </c>
      <c r="AV256"/>
      <c r="AW256"/>
      <c r="AX256"/>
    </row>
    <row r="257" spans="1:50">
      <c r="A257" s="2" t="s">
        <v>280</v>
      </c>
      <c r="B257">
        <v>1984</v>
      </c>
      <c r="C257">
        <v>0</v>
      </c>
      <c r="D257" t="s">
        <v>1810</v>
      </c>
      <c r="E257" t="str">
        <f>_xlfn.XLOOKUP(PROPERTIES[[#This Row],[COUNTRY]],COUNTRIES[COUNTRY_DESCRIPTION],COUNTRIES[COUNTRY_LABEL],"")</f>
        <v>AU</v>
      </c>
      <c r="F257" t="s">
        <v>35</v>
      </c>
      <c r="G257" t="s">
        <v>20</v>
      </c>
      <c r="H257">
        <v>0</v>
      </c>
      <c r="I257">
        <v>8</v>
      </c>
      <c r="J257">
        <v>8</v>
      </c>
      <c r="K257" s="2" t="s">
        <v>20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4">
        <v>127</v>
      </c>
      <c r="P257">
        <v>3000</v>
      </c>
      <c r="Q257">
        <v>114</v>
      </c>
      <c r="R257" s="31">
        <v>337</v>
      </c>
      <c r="S257" s="30">
        <f>IFERROR(PROPERTIES[[#This Row],[TE_STARTING_KN]]/(PROPERTIES[[#This Row],[WEIGHT]]*9.81),0)</f>
        <v>0.27049371122187704</v>
      </c>
      <c r="T257" s="30">
        <v>0.27</v>
      </c>
      <c r="U257" s="27">
        <f>ROUND(IF(IFERROR(PROPERTIES[[#This Row],[TE_COEFFICIENT_CALC]],0)=0,PROPERTIES[[#This Row],[TE_COEFFICIENT_MANUAL]],PROPERTIES[[#This Row],[TE_COEFFICIENT_CALC]]),3)</f>
        <v>0.27</v>
      </c>
      <c r="V257" s="6">
        <v>40</v>
      </c>
      <c r="W257" s="10">
        <v>0</v>
      </c>
      <c r="X257" s="10">
        <v>0</v>
      </c>
      <c r="Y257" s="10"/>
      <c r="Z257" t="str">
        <f>"RUNNING_COST_"&amp;IF(PROPERTIES[[#This Row],[ENGINE_CLASS]]="MAGLEV","ELECTRIC",PROPERTIES[[#This Row],[ENGINE_CLASS]])</f>
        <v>RUNNING_COST_DIESEL</v>
      </c>
      <c r="AA257" s="10" t="s">
        <v>1000</v>
      </c>
      <c r="AB257" s="10" t="s">
        <v>1001</v>
      </c>
      <c r="AC257" s="10" t="str">
        <f>SUBSTITUTE(SUBSTITUTE(PROPERTIES[[#This Row],[PURCHASECOST_VALUE]], "PURCHASECOST_", ""), "_VALUE", "")</f>
        <v>DIESELENGINE</v>
      </c>
      <c r="AD257" s="2" t="b">
        <v>0</v>
      </c>
      <c r="AV257"/>
      <c r="AW257"/>
      <c r="AX257"/>
    </row>
    <row r="258" spans="1:50">
      <c r="A258" s="2" t="s">
        <v>281</v>
      </c>
      <c r="B258">
        <v>1989</v>
      </c>
      <c r="C258">
        <v>0</v>
      </c>
      <c r="D258" t="s">
        <v>1873</v>
      </c>
      <c r="E258" t="str">
        <f>_xlfn.XLOOKUP(PROPERTIES[[#This Row],[COUNTRY]],COUNTRIES[COUNTRY_DESCRIPTION],COUNTRIES[COUNTRY_LABEL],"")</f>
        <v>GB</v>
      </c>
      <c r="F258" t="s">
        <v>35</v>
      </c>
      <c r="G258" t="s">
        <v>20</v>
      </c>
      <c r="H258">
        <v>0</v>
      </c>
      <c r="I258">
        <v>8</v>
      </c>
      <c r="J258">
        <v>8</v>
      </c>
      <c r="K258" s="2" t="s">
        <v>20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4">
        <v>130</v>
      </c>
      <c r="P258">
        <v>3100</v>
      </c>
      <c r="Q258">
        <v>97</v>
      </c>
      <c r="R258" s="31">
        <v>474</v>
      </c>
      <c r="S258" s="30">
        <f>IFERROR(PROPERTIES[[#This Row],[TE_STARTING_KN]]/(PROPERTIES[[#This Row],[WEIGHT]]*9.81),0)</f>
        <v>0.37167725241119737</v>
      </c>
      <c r="T258" s="30">
        <v>0.36</v>
      </c>
      <c r="U258" s="27">
        <f>ROUND(IF(IFERROR(PROPERTIES[[#This Row],[TE_COEFFICIENT_CALC]],0)=0,PROPERTIES[[#This Row],[TE_COEFFICIENT_MANUAL]],PROPERTIES[[#This Row],[TE_COEFFICIENT_CALC]]),3)</f>
        <v>0.372</v>
      </c>
      <c r="V258" s="6">
        <v>40</v>
      </c>
      <c r="W258" s="10">
        <v>0</v>
      </c>
      <c r="X258" s="10">
        <v>0</v>
      </c>
      <c r="Y258" s="10"/>
      <c r="Z258" t="str">
        <f>"RUNNING_COST_"&amp;IF(PROPERTIES[[#This Row],[ENGINE_CLASS]]="MAGLEV","ELECTRIC",PROPERTIES[[#This Row],[ENGINE_CLASS]])</f>
        <v>RUNNING_COST_DIESEL</v>
      </c>
      <c r="AA258" s="10" t="s">
        <v>1000</v>
      </c>
      <c r="AB258" s="10" t="s">
        <v>1001</v>
      </c>
      <c r="AC258" s="10" t="str">
        <f>SUBSTITUTE(SUBSTITUTE(PROPERTIES[[#This Row],[PURCHASECOST_VALUE]], "PURCHASECOST_", ""), "_VALUE", "")</f>
        <v>DIESELENGINE</v>
      </c>
      <c r="AD258" s="2" t="b">
        <v>0</v>
      </c>
      <c r="AV258"/>
      <c r="AW258"/>
      <c r="AX258"/>
    </row>
    <row r="259" spans="1:50">
      <c r="A259" s="2" t="s">
        <v>282</v>
      </c>
      <c r="B259">
        <v>1989</v>
      </c>
      <c r="C259">
        <v>0</v>
      </c>
      <c r="D259" t="s">
        <v>1810</v>
      </c>
      <c r="E259" t="str">
        <f>_xlfn.XLOOKUP(PROPERTIES[[#This Row],[COUNTRY]],COUNTRIES[COUNTRY_DESCRIPTION],COUNTRIES[COUNTRY_LABEL],"")</f>
        <v>AU</v>
      </c>
      <c r="F259" t="s">
        <v>35</v>
      </c>
      <c r="G259" t="s">
        <v>20</v>
      </c>
      <c r="H259">
        <v>0</v>
      </c>
      <c r="I259">
        <v>7</v>
      </c>
      <c r="J259">
        <v>7</v>
      </c>
      <c r="K259" s="2" t="s">
        <v>20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4">
        <v>99</v>
      </c>
      <c r="P259">
        <v>2450</v>
      </c>
      <c r="Q259">
        <v>90</v>
      </c>
      <c r="R259" s="31">
        <v>375</v>
      </c>
      <c r="S259" s="30">
        <f>IFERROR(PROPERTIES[[#This Row],[TE_STARTING_KN]]/(PROPERTIES[[#This Row],[WEIGHT]]*9.81),0)</f>
        <v>0.38612423933524848</v>
      </c>
      <c r="T259" s="30">
        <v>0.38</v>
      </c>
      <c r="U259" s="27">
        <f>ROUND(IF(IFERROR(PROPERTIES[[#This Row],[TE_COEFFICIENT_CALC]],0)=0,PROPERTIES[[#This Row],[TE_COEFFICIENT_MANUAL]],PROPERTIES[[#This Row],[TE_COEFFICIENT_CALC]]),3)</f>
        <v>0.38600000000000001</v>
      </c>
      <c r="V259" s="6">
        <v>40</v>
      </c>
      <c r="W259" s="10">
        <v>0</v>
      </c>
      <c r="X259" s="10">
        <v>0</v>
      </c>
      <c r="Y259" s="10"/>
      <c r="Z259" t="str">
        <f>"RUNNING_COST_"&amp;IF(PROPERTIES[[#This Row],[ENGINE_CLASS]]="MAGLEV","ELECTRIC",PROPERTIES[[#This Row],[ENGINE_CLASS]])</f>
        <v>RUNNING_COST_DIESEL</v>
      </c>
      <c r="AA259" s="10" t="s">
        <v>1000</v>
      </c>
      <c r="AB259" s="10" t="s">
        <v>1001</v>
      </c>
      <c r="AC259" s="10" t="str">
        <f>SUBSTITUTE(SUBSTITUTE(PROPERTIES[[#This Row],[PURCHASECOST_VALUE]], "PURCHASECOST_", ""), "_VALUE", "")</f>
        <v>DIESELENGINE</v>
      </c>
      <c r="AD259" s="2" t="b">
        <v>0</v>
      </c>
      <c r="AV259"/>
      <c r="AW259"/>
      <c r="AX259"/>
    </row>
    <row r="260" spans="1:50">
      <c r="A260" s="2" t="s">
        <v>283</v>
      </c>
      <c r="B260">
        <v>1992</v>
      </c>
      <c r="C260">
        <v>0</v>
      </c>
      <c r="D260" t="s">
        <v>1989</v>
      </c>
      <c r="E260" t="str">
        <f>_xlfn.XLOOKUP(PROPERTIES[[#This Row],[COUNTRY]],COUNTRIES[COUNTRY_DESCRIPTION],COUNTRIES[COUNTRY_LABEL],"")</f>
        <v>SA</v>
      </c>
      <c r="F260" t="s">
        <v>35</v>
      </c>
      <c r="G260" t="s">
        <v>20</v>
      </c>
      <c r="H260">
        <v>0</v>
      </c>
      <c r="I260">
        <v>8</v>
      </c>
      <c r="J260">
        <v>8</v>
      </c>
      <c r="K260" s="2" t="s">
        <v>20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4">
        <v>170</v>
      </c>
      <c r="P260">
        <v>4500</v>
      </c>
      <c r="Q260">
        <v>110</v>
      </c>
      <c r="R260" s="31">
        <v>850</v>
      </c>
      <c r="S260" s="30">
        <f>IFERROR(PROPERTIES[[#This Row],[TE_STARTING_KN]]/(PROPERTIES[[#This Row],[WEIGHT]]*9.81),0)</f>
        <v>0.509683995922528</v>
      </c>
      <c r="T260" s="30">
        <v>0.5</v>
      </c>
      <c r="U260" s="27">
        <f>ROUND(IF(IFERROR(PROPERTIES[[#This Row],[TE_COEFFICIENT_CALC]],0)=0,PROPERTIES[[#This Row],[TE_COEFFICIENT_MANUAL]],PROPERTIES[[#This Row],[TE_COEFFICIENT_CALC]]),3)</f>
        <v>0.51</v>
      </c>
      <c r="V260" s="6">
        <v>40</v>
      </c>
      <c r="W260" s="10">
        <v>0</v>
      </c>
      <c r="X260" s="10">
        <v>0</v>
      </c>
      <c r="Y260" s="10"/>
      <c r="Z260" t="str">
        <f>"RUNNING_COST_"&amp;IF(PROPERTIES[[#This Row],[ENGINE_CLASS]]="MAGLEV","ELECTRIC",PROPERTIES[[#This Row],[ENGINE_CLASS]])</f>
        <v>RUNNING_COST_DIESEL</v>
      </c>
      <c r="AA260" s="10" t="s">
        <v>1000</v>
      </c>
      <c r="AB260" s="10" t="s">
        <v>1001</v>
      </c>
      <c r="AC260" s="10" t="str">
        <f>SUBSTITUTE(SUBSTITUTE(PROPERTIES[[#This Row],[PURCHASECOST_VALUE]], "PURCHASECOST_", ""), "_VALUE", "")</f>
        <v>DIESELENGINE</v>
      </c>
      <c r="AD260" s="2" t="b">
        <v>0</v>
      </c>
      <c r="AV260"/>
      <c r="AW260"/>
      <c r="AX260"/>
    </row>
    <row r="261" spans="1:50">
      <c r="A261" s="2" t="s">
        <v>284</v>
      </c>
      <c r="B261">
        <v>1994</v>
      </c>
      <c r="C261">
        <v>0</v>
      </c>
      <c r="D261" t="s">
        <v>1898</v>
      </c>
      <c r="E261" t="str">
        <f>_xlfn.XLOOKUP(PROPERTIES[[#This Row],[COUNTRY]],COUNTRIES[COUNTRY_DESCRIPTION],COUNTRIES[COUNTRY_LABEL],"")</f>
        <v>IE</v>
      </c>
      <c r="F261" t="s">
        <v>35</v>
      </c>
      <c r="G261" t="s">
        <v>20</v>
      </c>
      <c r="H261">
        <v>0</v>
      </c>
      <c r="I261">
        <v>8</v>
      </c>
      <c r="J261">
        <v>8</v>
      </c>
      <c r="K261" s="2" t="s">
        <v>20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4">
        <v>112</v>
      </c>
      <c r="P261">
        <v>3200</v>
      </c>
      <c r="Q261">
        <v>164</v>
      </c>
      <c r="R261" s="31">
        <v>190</v>
      </c>
      <c r="S261" s="30">
        <f>IFERROR(PROPERTIES[[#This Row],[TE_STARTING_KN]]/(PROPERTIES[[#This Row],[WEIGHT]]*9.81),0)</f>
        <v>0.172928498616572</v>
      </c>
      <c r="T261" s="30">
        <v>0.17</v>
      </c>
      <c r="U261" s="27">
        <f>ROUND(IF(IFERROR(PROPERTIES[[#This Row],[TE_COEFFICIENT_CALC]],0)=0,PROPERTIES[[#This Row],[TE_COEFFICIENT_MANUAL]],PROPERTIES[[#This Row],[TE_COEFFICIENT_CALC]]),3)</f>
        <v>0.17299999999999999</v>
      </c>
      <c r="V261" s="6">
        <v>40</v>
      </c>
      <c r="W261" s="10">
        <v>0</v>
      </c>
      <c r="X261" s="10">
        <v>0</v>
      </c>
      <c r="Y261" s="10"/>
      <c r="Z261" t="str">
        <f>"RUNNING_COST_"&amp;IF(PROPERTIES[[#This Row],[ENGINE_CLASS]]="MAGLEV","ELECTRIC",PROPERTIES[[#This Row],[ENGINE_CLASS]])</f>
        <v>RUNNING_COST_DIESEL</v>
      </c>
      <c r="AA261" s="10" t="s">
        <v>1000</v>
      </c>
      <c r="AB261" s="10" t="s">
        <v>1001</v>
      </c>
      <c r="AC261" s="10" t="str">
        <f>SUBSTITUTE(SUBSTITUTE(PROPERTIES[[#This Row],[PURCHASECOST_VALUE]], "PURCHASECOST_", ""), "_VALUE", "")</f>
        <v>DIESELENGINE</v>
      </c>
      <c r="AD261" s="2" t="b">
        <v>0</v>
      </c>
      <c r="AV261"/>
      <c r="AW261"/>
      <c r="AX261"/>
    </row>
    <row r="262" spans="1:50">
      <c r="A262" s="2" t="s">
        <v>285</v>
      </c>
      <c r="B262">
        <v>1988</v>
      </c>
      <c r="C262">
        <v>0</v>
      </c>
      <c r="D262" t="s">
        <v>2029</v>
      </c>
      <c r="E262" t="str">
        <f>_xlfn.XLOOKUP(PROPERTIES[[#This Row],[COUNTRY]],COUNTRIES[COUNTRY_DESCRIPTION],COUNTRIES[COUNTRY_LABEL],"")</f>
        <v>US</v>
      </c>
      <c r="F262" t="s">
        <v>35</v>
      </c>
      <c r="G262" t="s">
        <v>20</v>
      </c>
      <c r="H262">
        <v>0</v>
      </c>
      <c r="I262">
        <v>8</v>
      </c>
      <c r="J262">
        <v>8</v>
      </c>
      <c r="K262" s="2" t="s">
        <v>20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4">
        <v>130</v>
      </c>
      <c r="P262">
        <v>3000</v>
      </c>
      <c r="Q262">
        <v>177</v>
      </c>
      <c r="R262" s="31">
        <v>0</v>
      </c>
      <c r="S262" s="30">
        <f>IFERROR(PROPERTIES[[#This Row],[TE_STARTING_KN]]/(PROPERTIES[[#This Row],[WEIGHT]]*9.81),0)</f>
        <v>0</v>
      </c>
      <c r="T262" s="30">
        <v>0.22</v>
      </c>
      <c r="U262" s="27">
        <f>ROUND(IF(IFERROR(PROPERTIES[[#This Row],[TE_COEFFICIENT_CALC]],0)=0,PROPERTIES[[#This Row],[TE_COEFFICIENT_MANUAL]],PROPERTIES[[#This Row],[TE_COEFFICIENT_CALC]]),3)</f>
        <v>0.22</v>
      </c>
      <c r="V262" s="6">
        <v>40</v>
      </c>
      <c r="W262" s="10">
        <v>0</v>
      </c>
      <c r="X262" s="10">
        <v>0</v>
      </c>
      <c r="Y262" s="10"/>
      <c r="Z262" t="str">
        <f>"RUNNING_COST_"&amp;IF(PROPERTIES[[#This Row],[ENGINE_CLASS]]="MAGLEV","ELECTRIC",PROPERTIES[[#This Row],[ENGINE_CLASS]])</f>
        <v>RUNNING_COST_DIESEL</v>
      </c>
      <c r="AA262" s="10" t="s">
        <v>1000</v>
      </c>
      <c r="AB262" s="10" t="s">
        <v>1001</v>
      </c>
      <c r="AC262" s="10" t="str">
        <f>SUBSTITUTE(SUBSTITUTE(PROPERTIES[[#This Row],[PURCHASECOST_VALUE]], "PURCHASECOST_", ""), "_VALUE", "")</f>
        <v>DIESELENGINE</v>
      </c>
      <c r="AD262" s="2" t="b">
        <v>0</v>
      </c>
      <c r="AV262"/>
      <c r="AW262"/>
      <c r="AX262"/>
    </row>
    <row r="263" spans="1:50">
      <c r="A263" s="2" t="s">
        <v>286</v>
      </c>
      <c r="B263">
        <v>2002</v>
      </c>
      <c r="C263">
        <v>0</v>
      </c>
      <c r="D263" t="s">
        <v>1872</v>
      </c>
      <c r="E263" t="str">
        <f>_xlfn.XLOOKUP(PROPERTIES[[#This Row],[COUNTRY]],COUNTRIES[COUNTRY_DESCRIPTION],COUNTRIES[COUNTRY_LABEL],"")</f>
        <v>FR</v>
      </c>
      <c r="F263" t="s">
        <v>35</v>
      </c>
      <c r="G263" t="s">
        <v>20</v>
      </c>
      <c r="H263">
        <v>0</v>
      </c>
      <c r="I263">
        <v>7</v>
      </c>
      <c r="J263">
        <v>7</v>
      </c>
      <c r="K263" s="2" t="s">
        <v>20</v>
      </c>
      <c r="L263">
        <f>_xlfn.XLOOKUP("LOADINGSPEEDDEF_"&amp;PROPERTIES[[#This Row],[LOADINGSPEED]],LOADINGSPEEDDEF[TYPE],LOADINGSPEEDDEF[SPEED])</f>
        <v>0</v>
      </c>
      <c r="M263" t="s">
        <v>21</v>
      </c>
      <c r="N263">
        <v>1</v>
      </c>
      <c r="O263" s="34">
        <v>86</v>
      </c>
      <c r="P263">
        <v>2010</v>
      </c>
      <c r="Q263">
        <v>100</v>
      </c>
      <c r="R263" s="31">
        <v>0</v>
      </c>
      <c r="S263" s="30">
        <f>IFERROR(PROPERTIES[[#This Row],[TE_STARTING_KN]]/(PROPERTIES[[#This Row],[WEIGHT]]*9.81),0)</f>
        <v>0</v>
      </c>
      <c r="T263" s="30">
        <v>0.33</v>
      </c>
      <c r="U263" s="27">
        <f>ROUND(IF(IFERROR(PROPERTIES[[#This Row],[TE_COEFFICIENT_CALC]],0)=0,PROPERTIES[[#This Row],[TE_COEFFICIENT_MANUAL]],PROPERTIES[[#This Row],[TE_COEFFICIENT_CALC]]),3)</f>
        <v>0.33</v>
      </c>
      <c r="V263" s="6">
        <v>40</v>
      </c>
      <c r="W263" s="10">
        <v>0</v>
      </c>
      <c r="X263" s="10">
        <v>0</v>
      </c>
      <c r="Y263" s="10"/>
      <c r="Z263" t="str">
        <f>"RUNNING_COST_"&amp;IF(PROPERTIES[[#This Row],[ENGINE_CLASS]]="MAGLEV","ELECTRIC",PROPERTIES[[#This Row],[ENGINE_CLASS]])</f>
        <v>RUNNING_COST_DIESEL</v>
      </c>
      <c r="AA263" s="10" t="s">
        <v>1000</v>
      </c>
      <c r="AB263" s="10" t="s">
        <v>1001</v>
      </c>
      <c r="AC263" s="10" t="str">
        <f>SUBSTITUTE(SUBSTITUTE(PROPERTIES[[#This Row],[PURCHASECOST_VALUE]], "PURCHASECOST_", ""), "_VALUE", "")</f>
        <v>DIESELENGINE</v>
      </c>
      <c r="AD263" s="2" t="b">
        <v>0</v>
      </c>
      <c r="AV263"/>
      <c r="AW263"/>
      <c r="AX263"/>
    </row>
    <row r="264" spans="1:50">
      <c r="A264" s="2" t="s">
        <v>287</v>
      </c>
      <c r="B264">
        <v>2003</v>
      </c>
      <c r="C264">
        <v>0</v>
      </c>
      <c r="D264" t="s">
        <v>1906</v>
      </c>
      <c r="E264" t="str">
        <f>_xlfn.XLOOKUP(PROPERTIES[[#This Row],[COUNTRY]],COUNTRIES[COUNTRY_DESCRIPTION],COUNTRIES[COUNTRY_LABEL],"")</f>
        <v>IT</v>
      </c>
      <c r="F264" t="s">
        <v>35</v>
      </c>
      <c r="G264" t="s">
        <v>20</v>
      </c>
      <c r="H264">
        <v>0</v>
      </c>
      <c r="I264">
        <v>7</v>
      </c>
      <c r="J264">
        <v>7</v>
      </c>
      <c r="K264" s="2" t="s">
        <v>20</v>
      </c>
      <c r="L264">
        <f>_xlfn.XLOOKUP("LOADINGSPEEDDEF_"&amp;PROPERTIES[[#This Row],[LOADINGSPEED]],LOADINGSPEEDDEF[TYPE],LOADINGSPEEDDEF[SPEED])</f>
        <v>0</v>
      </c>
      <c r="M264" t="s">
        <v>21</v>
      </c>
      <c r="N264">
        <v>1</v>
      </c>
      <c r="O264" s="34">
        <v>89</v>
      </c>
      <c r="P264">
        <v>3000</v>
      </c>
      <c r="Q264">
        <v>120</v>
      </c>
      <c r="R264" s="31">
        <v>275</v>
      </c>
      <c r="S264" s="30">
        <f>IFERROR(PROPERTIES[[#This Row],[TE_STARTING_KN]]/(PROPERTIES[[#This Row],[WEIGHT]]*9.81),0)</f>
        <v>0.31497325590718023</v>
      </c>
      <c r="T264" s="30">
        <v>0.32</v>
      </c>
      <c r="U264" s="27">
        <f>ROUND(IF(IFERROR(PROPERTIES[[#This Row],[TE_COEFFICIENT_CALC]],0)=0,PROPERTIES[[#This Row],[TE_COEFFICIENT_MANUAL]],PROPERTIES[[#This Row],[TE_COEFFICIENT_CALC]]),3)</f>
        <v>0.315</v>
      </c>
      <c r="V264" s="6">
        <v>40</v>
      </c>
      <c r="W264" s="10">
        <v>0</v>
      </c>
      <c r="X264" s="10">
        <v>0</v>
      </c>
      <c r="Y264" s="10"/>
      <c r="Z264" t="str">
        <f>"RUNNING_COST_"&amp;IF(PROPERTIES[[#This Row],[ENGINE_CLASS]]="MAGLEV","ELECTRIC",PROPERTIES[[#This Row],[ENGINE_CLASS]])</f>
        <v>RUNNING_COST_DIESEL</v>
      </c>
      <c r="AA264" s="10" t="s">
        <v>1000</v>
      </c>
      <c r="AB264" s="10" t="s">
        <v>1001</v>
      </c>
      <c r="AC264" s="10" t="str">
        <f>SUBSTITUTE(SUBSTITUTE(PROPERTIES[[#This Row],[PURCHASECOST_VALUE]], "PURCHASECOST_", ""), "_VALUE", "")</f>
        <v>DIESELENGINE</v>
      </c>
      <c r="AD264" s="2" t="b">
        <v>0</v>
      </c>
      <c r="AV264"/>
      <c r="AW264"/>
      <c r="AX264"/>
    </row>
    <row r="265" spans="1:50">
      <c r="A265" s="2" t="s">
        <v>288</v>
      </c>
      <c r="B265">
        <v>2003</v>
      </c>
      <c r="C265">
        <v>0</v>
      </c>
      <c r="D265" t="s">
        <v>1835</v>
      </c>
      <c r="E265" t="str">
        <f>_xlfn.XLOOKUP(PROPERTIES[[#This Row],[COUNTRY]],COUNTRIES[COUNTRY_DESCRIPTION],COUNTRIES[COUNTRY_LABEL],"")</f>
        <v>CA</v>
      </c>
      <c r="F265" t="s">
        <v>35</v>
      </c>
      <c r="G265" t="s">
        <v>20</v>
      </c>
      <c r="H265">
        <v>0</v>
      </c>
      <c r="I265">
        <v>8</v>
      </c>
      <c r="J265">
        <v>8</v>
      </c>
      <c r="K265" s="2" t="s">
        <v>20</v>
      </c>
      <c r="L265">
        <f>_xlfn.XLOOKUP("LOADINGSPEEDDEF_"&amp;PROPERTIES[[#This Row],[LOADINGSPEED]],LOADINGSPEEDDEF[TYPE],LOADINGSPEEDDEF[SPEED])</f>
        <v>0</v>
      </c>
      <c r="M265" t="s">
        <v>21</v>
      </c>
      <c r="N265">
        <v>1</v>
      </c>
      <c r="O265" s="34">
        <v>134</v>
      </c>
      <c r="P265">
        <v>4000</v>
      </c>
      <c r="Q265">
        <v>150</v>
      </c>
      <c r="R265" s="31">
        <v>380</v>
      </c>
      <c r="S265" s="30">
        <f>IFERROR(PROPERTIES[[#This Row],[TE_STARTING_KN]]/(PROPERTIES[[#This Row],[WEIGHT]]*9.81),0)</f>
        <v>0.28907450515009053</v>
      </c>
      <c r="T265" s="30">
        <v>0.3</v>
      </c>
      <c r="U265" s="27">
        <f>ROUND(IF(IFERROR(PROPERTIES[[#This Row],[TE_COEFFICIENT_CALC]],0)=0,PROPERTIES[[#This Row],[TE_COEFFICIENT_MANUAL]],PROPERTIES[[#This Row],[TE_COEFFICIENT_CALC]]),3)</f>
        <v>0.28899999999999998</v>
      </c>
      <c r="V265" s="6">
        <v>40</v>
      </c>
      <c r="W265" s="10">
        <v>0</v>
      </c>
      <c r="X265" s="10">
        <v>0</v>
      </c>
      <c r="Y265" s="10"/>
      <c r="Z265" t="str">
        <f>"RUNNING_COST_"&amp;IF(PROPERTIES[[#This Row],[ENGINE_CLASS]]="MAGLEV","ELECTRIC",PROPERTIES[[#This Row],[ENGINE_CLASS]])</f>
        <v>RUNNING_COST_DIESEL</v>
      </c>
      <c r="AA265" s="10" t="s">
        <v>1000</v>
      </c>
      <c r="AB265" s="10" t="s">
        <v>1001</v>
      </c>
      <c r="AC265" s="10" t="str">
        <f>SUBSTITUTE(SUBSTITUTE(PROPERTIES[[#This Row],[PURCHASECOST_VALUE]], "PURCHASECOST_", ""), "_VALUE", "")</f>
        <v>DIESELENGINE</v>
      </c>
      <c r="AD265" s="2" t="b">
        <v>0</v>
      </c>
      <c r="AV265"/>
      <c r="AW265"/>
      <c r="AX265"/>
    </row>
    <row r="266" spans="1:50">
      <c r="A266" s="2" t="s">
        <v>289</v>
      </c>
      <c r="B266">
        <v>2006</v>
      </c>
      <c r="C266">
        <v>0</v>
      </c>
      <c r="D266" t="s">
        <v>1865</v>
      </c>
      <c r="E266" t="str">
        <f>_xlfn.XLOOKUP(PROPERTIES[[#This Row],[COUNTRY]],COUNTRIES[COUNTRY_DESCRIPTION],COUNTRIES[COUNTRY_LABEL],"")</f>
        <v>ES</v>
      </c>
      <c r="F266" t="s">
        <v>35</v>
      </c>
      <c r="G266" t="s">
        <v>20</v>
      </c>
      <c r="H266">
        <v>0</v>
      </c>
      <c r="I266">
        <v>8</v>
      </c>
      <c r="J266">
        <v>8</v>
      </c>
      <c r="K266" s="2" t="s">
        <v>20</v>
      </c>
      <c r="L266">
        <f>_xlfn.XLOOKUP("LOADINGSPEEDDEF_"&amp;PROPERTIES[[#This Row],[LOADINGSPEED]],LOADINGSPEEDDEF[TYPE],LOADINGSPEEDDEF[SPEED])</f>
        <v>0</v>
      </c>
      <c r="M266" t="s">
        <v>21</v>
      </c>
      <c r="N266">
        <v>1</v>
      </c>
      <c r="O266" s="34">
        <v>80</v>
      </c>
      <c r="P266">
        <v>3300</v>
      </c>
      <c r="Q266">
        <v>200</v>
      </c>
      <c r="R266" s="31">
        <v>178</v>
      </c>
      <c r="S266" s="30">
        <f>IFERROR(PROPERTIES[[#This Row],[TE_STARTING_KN]]/(PROPERTIES[[#This Row],[WEIGHT]]*9.81),0)</f>
        <v>0.22680937818552496</v>
      </c>
      <c r="T266" s="30">
        <v>0.2</v>
      </c>
      <c r="U266" s="27">
        <f>ROUND(IF(IFERROR(PROPERTIES[[#This Row],[TE_COEFFICIENT_CALC]],0)=0,PROPERTIES[[#This Row],[TE_COEFFICIENT_MANUAL]],PROPERTIES[[#This Row],[TE_COEFFICIENT_CALC]]),3)</f>
        <v>0.22700000000000001</v>
      </c>
      <c r="V266" s="6">
        <v>40</v>
      </c>
      <c r="W266" s="10">
        <v>0</v>
      </c>
      <c r="X266" s="10">
        <v>0</v>
      </c>
      <c r="Y266" s="10"/>
      <c r="Z266" t="str">
        <f>"RUNNING_COST_"&amp;IF(PROPERTIES[[#This Row],[ENGINE_CLASS]]="MAGLEV","ELECTRIC",PROPERTIES[[#This Row],[ENGINE_CLASS]])</f>
        <v>RUNNING_COST_DIESEL</v>
      </c>
      <c r="AA266" s="10" t="s">
        <v>1000</v>
      </c>
      <c r="AB266" s="10" t="s">
        <v>1001</v>
      </c>
      <c r="AC266" s="10" t="str">
        <f>SUBSTITUTE(SUBSTITUTE(PROPERTIES[[#This Row],[PURCHASECOST_VALUE]], "PURCHASECOST_", ""), "_VALUE", "")</f>
        <v>DIESELENGINE</v>
      </c>
      <c r="AD266" s="2" t="b">
        <v>0</v>
      </c>
      <c r="AV266"/>
      <c r="AW266"/>
      <c r="AX266"/>
    </row>
    <row r="267" spans="1:50">
      <c r="A267" s="2" t="s">
        <v>290</v>
      </c>
      <c r="B267">
        <v>2011</v>
      </c>
      <c r="C267">
        <v>0</v>
      </c>
      <c r="D267" t="s">
        <v>1897</v>
      </c>
      <c r="E267" t="str">
        <f>_xlfn.XLOOKUP(PROPERTIES[[#This Row],[COUNTRY]],COUNTRIES[COUNTRY_DESCRIPTION],COUNTRIES[COUNTRY_LABEL],"")</f>
        <v>ID</v>
      </c>
      <c r="F267" t="s">
        <v>35</v>
      </c>
      <c r="G267" t="s">
        <v>20</v>
      </c>
      <c r="H267">
        <v>0</v>
      </c>
      <c r="I267">
        <v>8</v>
      </c>
      <c r="J267">
        <v>8</v>
      </c>
      <c r="K267" s="2" t="s">
        <v>20</v>
      </c>
      <c r="L267">
        <f>_xlfn.XLOOKUP("LOADINGSPEEDDEF_"&amp;PROPERTIES[[#This Row],[LOADINGSPEED]],LOADINGSPEEDDEF[TYPE],LOADINGSPEEDDEF[SPEED])</f>
        <v>0</v>
      </c>
      <c r="M267" t="s">
        <v>21</v>
      </c>
      <c r="N267">
        <v>1</v>
      </c>
      <c r="O267" s="34">
        <v>76</v>
      </c>
      <c r="P267">
        <v>2500</v>
      </c>
      <c r="Q267">
        <v>120</v>
      </c>
      <c r="R267" s="31">
        <v>270</v>
      </c>
      <c r="S267" s="30">
        <f>IFERROR(PROPERTIES[[#This Row],[TE_STARTING_KN]]/(PROPERTIES[[#This Row],[WEIGHT]]*9.81),0)</f>
        <v>0.36214389183969092</v>
      </c>
      <c r="T267" s="30">
        <v>0.3</v>
      </c>
      <c r="U267" s="27">
        <f>ROUND(IF(IFERROR(PROPERTIES[[#This Row],[TE_COEFFICIENT_CALC]],0)=0,PROPERTIES[[#This Row],[TE_COEFFICIENT_MANUAL]],PROPERTIES[[#This Row],[TE_COEFFICIENT_CALC]]),3)</f>
        <v>0.36199999999999999</v>
      </c>
      <c r="V267" s="6">
        <v>40</v>
      </c>
      <c r="W267" s="10">
        <v>0</v>
      </c>
      <c r="X267" s="10">
        <v>0</v>
      </c>
      <c r="Y267" s="10"/>
      <c r="Z267" t="str">
        <f>"RUNNING_COST_"&amp;IF(PROPERTIES[[#This Row],[ENGINE_CLASS]]="MAGLEV","ELECTRIC",PROPERTIES[[#This Row],[ENGINE_CLASS]])</f>
        <v>RUNNING_COST_DIESEL</v>
      </c>
      <c r="AA267" s="10" t="s">
        <v>1000</v>
      </c>
      <c r="AB267" s="10" t="s">
        <v>1001</v>
      </c>
      <c r="AC267" s="10" t="str">
        <f>SUBSTITUTE(SUBSTITUTE(PROPERTIES[[#This Row],[PURCHASECOST_VALUE]], "PURCHASECOST_", ""), "_VALUE", "")</f>
        <v>DIESELENGINE</v>
      </c>
      <c r="AD267" s="2" t="b">
        <v>0</v>
      </c>
      <c r="AV267"/>
      <c r="AW267"/>
      <c r="AX267"/>
    </row>
    <row r="268" spans="1:50">
      <c r="A268" s="2" t="s">
        <v>291</v>
      </c>
      <c r="B268">
        <v>1930</v>
      </c>
      <c r="C268">
        <v>0</v>
      </c>
      <c r="D268" t="s">
        <v>1807</v>
      </c>
      <c r="E268" t="str">
        <f>_xlfn.XLOOKUP(PROPERTIES[[#This Row],[COUNTRY]],COUNTRIES[COUNTRY_DESCRIPTION],COUNTRIES[COUNTRY_LABEL],"")</f>
        <v>AR</v>
      </c>
      <c r="F268" t="s">
        <v>35</v>
      </c>
      <c r="G268" t="s">
        <v>20</v>
      </c>
      <c r="H268">
        <v>0</v>
      </c>
      <c r="I268">
        <v>6</v>
      </c>
      <c r="J268">
        <v>6</v>
      </c>
      <c r="K268" s="2" t="s">
        <v>20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4">
        <v>148</v>
      </c>
      <c r="P268">
        <v>1200</v>
      </c>
      <c r="Q268">
        <v>85</v>
      </c>
      <c r="R268" s="31">
        <v>200</v>
      </c>
      <c r="S268" s="30">
        <f>IFERROR(PROPERTIES[[#This Row],[TE_STARTING_KN]]/(PROPERTIES[[#This Row],[WEIGHT]]*9.81),0)</f>
        <v>0.13775243133041298</v>
      </c>
      <c r="T268" s="30">
        <v>0.15</v>
      </c>
      <c r="U268" s="27">
        <f>ROUND(IF(IFERROR(PROPERTIES[[#This Row],[TE_COEFFICIENT_CALC]],0)=0,PROPERTIES[[#This Row],[TE_COEFFICIENT_MANUAL]],PROPERTIES[[#This Row],[TE_COEFFICIENT_CALC]]),3)</f>
        <v>0.13800000000000001</v>
      </c>
      <c r="V268" s="6">
        <v>40</v>
      </c>
      <c r="W268" s="10">
        <v>0</v>
      </c>
      <c r="X268" s="10">
        <v>0</v>
      </c>
      <c r="Y268" s="10"/>
      <c r="Z268" t="str">
        <f>"RUNNING_COST_"&amp;IF(PROPERTIES[[#This Row],[ENGINE_CLASS]]="MAGLEV","ELECTRIC",PROPERTIES[[#This Row],[ENGINE_CLASS]])</f>
        <v>RUNNING_COST_DIESEL</v>
      </c>
      <c r="AA268" s="10" t="s">
        <v>1000</v>
      </c>
      <c r="AB268" s="10" t="s">
        <v>1001</v>
      </c>
      <c r="AC268" s="10" t="str">
        <f>SUBSTITUTE(SUBSTITUTE(PROPERTIES[[#This Row],[PURCHASECOST_VALUE]], "PURCHASECOST_", ""), "_VALUE", "")</f>
        <v>DIESELENGINE</v>
      </c>
      <c r="AD268" s="2" t="b">
        <v>0</v>
      </c>
      <c r="AV268"/>
      <c r="AW268"/>
      <c r="AX268"/>
    </row>
    <row r="269" spans="1:50">
      <c r="A269" s="2" t="s">
        <v>292</v>
      </c>
      <c r="B269">
        <v>1938</v>
      </c>
      <c r="C269">
        <v>0</v>
      </c>
      <c r="D269" t="s">
        <v>1828</v>
      </c>
      <c r="E269" t="str">
        <f>_xlfn.XLOOKUP(PROPERTIES[[#This Row],[COUNTRY]],COUNTRIES[COUNTRY_DESCRIPTION],COUNTRIES[COUNTRY_LABEL],"")</f>
        <v>BR</v>
      </c>
      <c r="F269" t="s">
        <v>35</v>
      </c>
      <c r="G269" t="s">
        <v>20</v>
      </c>
      <c r="H269">
        <v>0</v>
      </c>
      <c r="I269">
        <v>4</v>
      </c>
      <c r="J269">
        <v>4</v>
      </c>
      <c r="K269" s="2" t="s">
        <v>20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4">
        <v>52</v>
      </c>
      <c r="P269">
        <v>450</v>
      </c>
      <c r="Q269">
        <v>76</v>
      </c>
      <c r="R269" s="31">
        <v>0</v>
      </c>
      <c r="S269" s="30">
        <f>IFERROR(PROPERTIES[[#This Row],[TE_STARTING_KN]]/(PROPERTIES[[#This Row],[WEIGHT]]*9.81),0)</f>
        <v>0</v>
      </c>
      <c r="T269" s="30">
        <v>0.22</v>
      </c>
      <c r="U269" s="27">
        <f>ROUND(IF(IFERROR(PROPERTIES[[#This Row],[TE_COEFFICIENT_CALC]],0)=0,PROPERTIES[[#This Row],[TE_COEFFICIENT_MANUAL]],PROPERTIES[[#This Row],[TE_COEFFICIENT_CALC]]),3)</f>
        <v>0.22</v>
      </c>
      <c r="V269" s="6">
        <v>40</v>
      </c>
      <c r="W269" s="10">
        <v>0</v>
      </c>
      <c r="X269" s="10">
        <v>0</v>
      </c>
      <c r="Y269" s="10"/>
      <c r="Z269" t="str">
        <f>"RUNNING_COST_"&amp;IF(PROPERTIES[[#This Row],[ENGINE_CLASS]]="MAGLEV","ELECTRIC",PROPERTIES[[#This Row],[ENGINE_CLASS]])</f>
        <v>RUNNING_COST_DIESEL</v>
      </c>
      <c r="AA269" s="10" t="s">
        <v>1000</v>
      </c>
      <c r="AB269" s="10" t="s">
        <v>1001</v>
      </c>
      <c r="AC269" s="10" t="str">
        <f>SUBSTITUTE(SUBSTITUTE(PROPERTIES[[#This Row],[PURCHASECOST_VALUE]], "PURCHASECOST_", ""), "_VALUE", "")</f>
        <v>DIESELENGINE</v>
      </c>
      <c r="AD269" s="2" t="b">
        <v>0</v>
      </c>
      <c r="AV269"/>
      <c r="AW269"/>
      <c r="AX269"/>
    </row>
    <row r="270" spans="1:50">
      <c r="A270" s="2" t="s">
        <v>293</v>
      </c>
      <c r="B270">
        <v>1961</v>
      </c>
      <c r="C270">
        <v>0</v>
      </c>
      <c r="D270" t="s">
        <v>1843</v>
      </c>
      <c r="E270" t="str">
        <f>_xlfn.XLOOKUP(PROPERTIES[[#This Row],[COUNTRY]],COUNTRIES[COUNTRY_DESCRIPTION],COUNTRIES[COUNTRY_LABEL],"")</f>
        <v>CL</v>
      </c>
      <c r="F270" t="s">
        <v>35</v>
      </c>
      <c r="G270" t="s">
        <v>20</v>
      </c>
      <c r="H270">
        <v>0</v>
      </c>
      <c r="I270">
        <v>5</v>
      </c>
      <c r="J270">
        <v>5</v>
      </c>
      <c r="K270" s="2" t="s">
        <v>20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4">
        <v>54</v>
      </c>
      <c r="P270">
        <v>600</v>
      </c>
      <c r="Q270">
        <v>64</v>
      </c>
      <c r="R270" s="31">
        <v>138</v>
      </c>
      <c r="S270" s="30">
        <f>IFERROR(PROPERTIES[[#This Row],[TE_STARTING_KN]]/(PROPERTIES[[#This Row],[WEIGHT]]*9.81),0)</f>
        <v>0.26050515347151432</v>
      </c>
      <c r="T270" s="30">
        <v>0.18</v>
      </c>
      <c r="U270" s="27">
        <f>ROUND(IF(IFERROR(PROPERTIES[[#This Row],[TE_COEFFICIENT_CALC]],0)=0,PROPERTIES[[#This Row],[TE_COEFFICIENT_MANUAL]],PROPERTIES[[#This Row],[TE_COEFFICIENT_CALC]]),3)</f>
        <v>0.26100000000000001</v>
      </c>
      <c r="V270" s="6">
        <v>40</v>
      </c>
      <c r="W270" s="10">
        <v>0</v>
      </c>
      <c r="X270" s="10">
        <v>0</v>
      </c>
      <c r="Y270" s="10"/>
      <c r="Z270" t="str">
        <f>"RUNNING_COST_"&amp;IF(PROPERTIES[[#This Row],[ENGINE_CLASS]]="MAGLEV","ELECTRIC",PROPERTIES[[#This Row],[ENGINE_CLASS]])</f>
        <v>RUNNING_COST_DIESEL</v>
      </c>
      <c r="AA270" s="10" t="s">
        <v>1000</v>
      </c>
      <c r="AB270" s="10" t="s">
        <v>1001</v>
      </c>
      <c r="AC270" s="10" t="str">
        <f>SUBSTITUTE(SUBSTITUTE(PROPERTIES[[#This Row],[PURCHASECOST_VALUE]], "PURCHASECOST_", ""), "_VALUE", "")</f>
        <v>DIESELENGINE</v>
      </c>
      <c r="AD270" s="2" t="b">
        <v>0</v>
      </c>
      <c r="AV270"/>
      <c r="AW270"/>
      <c r="AX270"/>
    </row>
    <row r="271" spans="1:50">
      <c r="A271" s="2" t="s">
        <v>294</v>
      </c>
      <c r="B271">
        <v>1965</v>
      </c>
      <c r="C271">
        <v>0</v>
      </c>
      <c r="D271" t="s">
        <v>1970</v>
      </c>
      <c r="E271" t="str">
        <f>_xlfn.XLOOKUP(PROPERTIES[[#This Row],[COUNTRY]],COUNTRIES[COUNTRY_DESCRIPTION],COUNTRIES[COUNTRY_LABEL],"")</f>
        <v>PE</v>
      </c>
      <c r="F271" t="s">
        <v>35</v>
      </c>
      <c r="G271" t="s">
        <v>20</v>
      </c>
      <c r="H271">
        <v>0</v>
      </c>
      <c r="I271">
        <v>6</v>
      </c>
      <c r="J271">
        <v>6</v>
      </c>
      <c r="K271" s="2" t="s">
        <v>20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4">
        <v>83</v>
      </c>
      <c r="P271">
        <v>1350</v>
      </c>
      <c r="Q271">
        <v>120</v>
      </c>
      <c r="R271" s="31">
        <v>0</v>
      </c>
      <c r="S271" s="30">
        <f>IFERROR(PROPERTIES[[#This Row],[TE_STARTING_KN]]/(PROPERTIES[[#This Row],[WEIGHT]]*9.81),0)</f>
        <v>0</v>
      </c>
      <c r="T271" s="30">
        <v>0.17</v>
      </c>
      <c r="U271" s="27">
        <f>ROUND(IF(IFERROR(PROPERTIES[[#This Row],[TE_COEFFICIENT_CALC]],0)=0,PROPERTIES[[#This Row],[TE_COEFFICIENT_MANUAL]],PROPERTIES[[#This Row],[TE_COEFFICIENT_CALC]]),3)</f>
        <v>0.17</v>
      </c>
      <c r="V271" s="6">
        <v>40</v>
      </c>
      <c r="W271" s="10">
        <v>0</v>
      </c>
      <c r="X271" s="10">
        <v>0</v>
      </c>
      <c r="Y271" s="10"/>
      <c r="Z271" t="str">
        <f>"RUNNING_COST_"&amp;IF(PROPERTIES[[#This Row],[ENGINE_CLASS]]="MAGLEV","ELECTRIC",PROPERTIES[[#This Row],[ENGINE_CLASS]])</f>
        <v>RUNNING_COST_DIESEL</v>
      </c>
      <c r="AA271" s="10" t="s">
        <v>1000</v>
      </c>
      <c r="AB271" s="10" t="s">
        <v>1001</v>
      </c>
      <c r="AC271" s="10" t="str">
        <f>SUBSTITUTE(SUBSTITUTE(PROPERTIES[[#This Row],[PURCHASECOST_VALUE]], "PURCHASECOST_", ""), "_VALUE", "")</f>
        <v>DIESELENGINE</v>
      </c>
      <c r="AD271" s="2" t="b">
        <v>0</v>
      </c>
      <c r="AV271"/>
      <c r="AW271"/>
      <c r="AX271"/>
    </row>
    <row r="272" spans="1:50">
      <c r="A272" s="2" t="s">
        <v>295</v>
      </c>
      <c r="B272">
        <v>1970</v>
      </c>
      <c r="C272">
        <v>0</v>
      </c>
      <c r="D272" t="s">
        <v>1828</v>
      </c>
      <c r="E272" t="str">
        <f>_xlfn.XLOOKUP(PROPERTIES[[#This Row],[COUNTRY]],COUNTRIES[COUNTRY_DESCRIPTION],COUNTRIES[COUNTRY_LABEL],"")</f>
        <v>BR</v>
      </c>
      <c r="F272" t="s">
        <v>35</v>
      </c>
      <c r="G272" t="s">
        <v>20</v>
      </c>
      <c r="H272">
        <v>0</v>
      </c>
      <c r="I272">
        <v>8</v>
      </c>
      <c r="J272">
        <v>8</v>
      </c>
      <c r="K272" s="2" t="s">
        <v>20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4">
        <v>162</v>
      </c>
      <c r="P272">
        <v>3600</v>
      </c>
      <c r="Q272">
        <v>85</v>
      </c>
      <c r="R272" s="31">
        <v>388.9</v>
      </c>
      <c r="S272" s="30">
        <f>IFERROR(PROPERTIES[[#This Row],[TE_STARTING_KN]]/(PROPERTIES[[#This Row],[WEIGHT]]*9.81),0)</f>
        <v>0.24471124199292732</v>
      </c>
      <c r="T272" s="30">
        <v>0.24</v>
      </c>
      <c r="U272" s="27">
        <f>ROUND(IF(IFERROR(PROPERTIES[[#This Row],[TE_COEFFICIENT_CALC]],0)=0,PROPERTIES[[#This Row],[TE_COEFFICIENT_MANUAL]],PROPERTIES[[#This Row],[TE_COEFFICIENT_CALC]]),3)</f>
        <v>0.245</v>
      </c>
      <c r="V272" s="6">
        <v>40</v>
      </c>
      <c r="W272" s="10">
        <v>0</v>
      </c>
      <c r="X272" s="10">
        <v>0</v>
      </c>
      <c r="Y272" s="10"/>
      <c r="Z272" t="str">
        <f>"RUNNING_COST_"&amp;IF(PROPERTIES[[#This Row],[ENGINE_CLASS]]="MAGLEV","ELECTRIC",PROPERTIES[[#This Row],[ENGINE_CLASS]])</f>
        <v>RUNNING_COST_DIESEL</v>
      </c>
      <c r="AA272" s="10" t="s">
        <v>1000</v>
      </c>
      <c r="AB272" s="10" t="s">
        <v>1001</v>
      </c>
      <c r="AC272" s="10" t="str">
        <f>SUBSTITUTE(SUBSTITUTE(PROPERTIES[[#This Row],[PURCHASECOST_VALUE]], "PURCHASECOST_", ""), "_VALUE", "")</f>
        <v>DIESELENGINE</v>
      </c>
      <c r="AD272" s="2" t="b">
        <v>0</v>
      </c>
      <c r="AV272"/>
      <c r="AW272"/>
      <c r="AX272"/>
    </row>
    <row r="273" spans="1:50">
      <c r="A273" s="2" t="s">
        <v>296</v>
      </c>
      <c r="B273">
        <v>1984</v>
      </c>
      <c r="C273">
        <v>0</v>
      </c>
      <c r="D273" t="s">
        <v>1970</v>
      </c>
      <c r="E273" t="str">
        <f>_xlfn.XLOOKUP(PROPERTIES[[#This Row],[COUNTRY]],COUNTRIES[COUNTRY_DESCRIPTION],COUNTRIES[COUNTRY_LABEL],"")</f>
        <v>PE</v>
      </c>
      <c r="F273" t="s">
        <v>35</v>
      </c>
      <c r="G273" t="s">
        <v>20</v>
      </c>
      <c r="H273">
        <v>0</v>
      </c>
      <c r="I273">
        <v>8</v>
      </c>
      <c r="J273">
        <v>8</v>
      </c>
      <c r="K273" s="2" t="s">
        <v>20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4">
        <v>166</v>
      </c>
      <c r="P273">
        <v>3900</v>
      </c>
      <c r="Q273">
        <v>110</v>
      </c>
      <c r="R273" s="31">
        <v>0</v>
      </c>
      <c r="S273" s="30">
        <f>IFERROR(PROPERTIES[[#This Row],[TE_STARTING_KN]]/(PROPERTIES[[#This Row],[WEIGHT]]*9.81),0)</f>
        <v>0</v>
      </c>
      <c r="T273" s="30">
        <v>0.28999999999999998</v>
      </c>
      <c r="U273" s="27">
        <f>ROUND(IF(IFERROR(PROPERTIES[[#This Row],[TE_COEFFICIENT_CALC]],0)=0,PROPERTIES[[#This Row],[TE_COEFFICIENT_MANUAL]],PROPERTIES[[#This Row],[TE_COEFFICIENT_CALC]]),3)</f>
        <v>0.28999999999999998</v>
      </c>
      <c r="V273" s="6">
        <v>40</v>
      </c>
      <c r="W273" s="10">
        <v>0</v>
      </c>
      <c r="X273" s="10">
        <v>0</v>
      </c>
      <c r="Y273" s="10"/>
      <c r="Z273" t="str">
        <f>"RUNNING_COST_"&amp;IF(PROPERTIES[[#This Row],[ENGINE_CLASS]]="MAGLEV","ELECTRIC",PROPERTIES[[#This Row],[ENGINE_CLASS]])</f>
        <v>RUNNING_COST_DIESEL</v>
      </c>
      <c r="AA273" s="10" t="s">
        <v>1000</v>
      </c>
      <c r="AB273" s="10" t="s">
        <v>1001</v>
      </c>
      <c r="AC273" s="10" t="str">
        <f>SUBSTITUTE(SUBSTITUTE(PROPERTIES[[#This Row],[PURCHASECOST_VALUE]], "PURCHASECOST_", ""), "_VALUE", "")</f>
        <v>DIESELENGINE</v>
      </c>
      <c r="AD273" s="2" t="b">
        <v>0</v>
      </c>
      <c r="AV273"/>
      <c r="AW273"/>
      <c r="AX273"/>
    </row>
    <row r="274" spans="1:50">
      <c r="A274" s="2" t="s">
        <v>297</v>
      </c>
      <c r="B274">
        <v>1991</v>
      </c>
      <c r="C274">
        <v>0</v>
      </c>
      <c r="D274" t="s">
        <v>1807</v>
      </c>
      <c r="E274" t="str">
        <f>_xlfn.XLOOKUP(PROPERTIES[[#This Row],[COUNTRY]],COUNTRIES[COUNTRY_DESCRIPTION],COUNTRIES[COUNTRY_LABEL],"")</f>
        <v>AR</v>
      </c>
      <c r="F274" t="s">
        <v>35</v>
      </c>
      <c r="G274" t="s">
        <v>20</v>
      </c>
      <c r="H274">
        <v>0</v>
      </c>
      <c r="I274">
        <v>7</v>
      </c>
      <c r="J274">
        <v>7</v>
      </c>
      <c r="K274" s="2" t="s">
        <v>20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4">
        <v>117</v>
      </c>
      <c r="P274">
        <v>1876</v>
      </c>
      <c r="Q274">
        <v>140</v>
      </c>
      <c r="R274" s="31">
        <v>302</v>
      </c>
      <c r="S274" s="30">
        <f>IFERROR(PROPERTIES[[#This Row],[TE_STARTING_KN]]/(PROPERTIES[[#This Row],[WEIGHT]]*9.81),0)</f>
        <v>0.2631189175531683</v>
      </c>
      <c r="T274" s="30">
        <v>0.18</v>
      </c>
      <c r="U274" s="27">
        <f>ROUND(IF(IFERROR(PROPERTIES[[#This Row],[TE_COEFFICIENT_CALC]],0)=0,PROPERTIES[[#This Row],[TE_COEFFICIENT_MANUAL]],PROPERTIES[[#This Row],[TE_COEFFICIENT_CALC]]),3)</f>
        <v>0.26300000000000001</v>
      </c>
      <c r="V274" s="6">
        <v>40</v>
      </c>
      <c r="W274" s="10">
        <v>0</v>
      </c>
      <c r="X274" s="10">
        <v>0</v>
      </c>
      <c r="Y274" s="10"/>
      <c r="Z274" t="str">
        <f>"RUNNING_COST_"&amp;IF(PROPERTIES[[#This Row],[ENGINE_CLASS]]="MAGLEV","ELECTRIC",PROPERTIES[[#This Row],[ENGINE_CLASS]])</f>
        <v>RUNNING_COST_DIESEL</v>
      </c>
      <c r="AA274" s="10" t="s">
        <v>1000</v>
      </c>
      <c r="AB274" s="10" t="s">
        <v>1001</v>
      </c>
      <c r="AC274" s="10" t="str">
        <f>SUBSTITUTE(SUBSTITUTE(PROPERTIES[[#This Row],[PURCHASECOST_VALUE]], "PURCHASECOST_", ""), "_VALUE", "")</f>
        <v>DIESELENGINE</v>
      </c>
      <c r="AD274" s="2" t="b">
        <v>0</v>
      </c>
      <c r="AV274"/>
      <c r="AW274"/>
      <c r="AX274"/>
    </row>
    <row r="275" spans="1:50">
      <c r="A275" s="2" t="s">
        <v>298</v>
      </c>
      <c r="B275">
        <v>2013</v>
      </c>
      <c r="C275">
        <v>0</v>
      </c>
      <c r="D275" t="s">
        <v>1807</v>
      </c>
      <c r="E275" t="str">
        <f>_xlfn.XLOOKUP(PROPERTIES[[#This Row],[COUNTRY]],COUNTRIES[COUNTRY_DESCRIPTION],COUNTRIES[COUNTRY_LABEL],"")</f>
        <v>AR</v>
      </c>
      <c r="F275" t="s">
        <v>35</v>
      </c>
      <c r="G275" t="s">
        <v>20</v>
      </c>
      <c r="H275">
        <v>0</v>
      </c>
      <c r="I275">
        <v>8</v>
      </c>
      <c r="J275">
        <v>8</v>
      </c>
      <c r="K275" s="2" t="s">
        <v>20</v>
      </c>
      <c r="L275">
        <f>_xlfn.XLOOKUP("LOADINGSPEEDDEF_"&amp;PROPERTIES[[#This Row],[LOADINGSPEED]],LOADINGSPEEDDEF[TYPE],LOADINGSPEEDDEF[SPEED])</f>
        <v>0</v>
      </c>
      <c r="M275" t="s">
        <v>21</v>
      </c>
      <c r="N275">
        <v>1</v>
      </c>
      <c r="O275" s="34">
        <v>120</v>
      </c>
      <c r="P275">
        <v>2950</v>
      </c>
      <c r="Q275">
        <v>120</v>
      </c>
      <c r="R275" s="31">
        <v>384</v>
      </c>
      <c r="S275" s="30">
        <f>IFERROR(PROPERTIES[[#This Row],[TE_STARTING_KN]]/(PROPERTIES[[#This Row],[WEIGHT]]*9.81),0)</f>
        <v>0.32619775739041795</v>
      </c>
      <c r="T275" s="30">
        <v>0.32</v>
      </c>
      <c r="U275" s="27">
        <f>ROUND(IF(IFERROR(PROPERTIES[[#This Row],[TE_COEFFICIENT_CALC]],0)=0,PROPERTIES[[#This Row],[TE_COEFFICIENT_MANUAL]],PROPERTIES[[#This Row],[TE_COEFFICIENT_CALC]]),3)</f>
        <v>0.32600000000000001</v>
      </c>
      <c r="V275" s="6">
        <v>40</v>
      </c>
      <c r="W275" s="10">
        <v>0</v>
      </c>
      <c r="X275" s="10">
        <v>0</v>
      </c>
      <c r="Y275" s="10"/>
      <c r="Z275" t="str">
        <f>"RUNNING_COST_"&amp;IF(PROPERTIES[[#This Row],[ENGINE_CLASS]]="MAGLEV","ELECTRIC",PROPERTIES[[#This Row],[ENGINE_CLASS]])</f>
        <v>RUNNING_COST_DIESEL</v>
      </c>
      <c r="AA275" s="10" t="s">
        <v>1000</v>
      </c>
      <c r="AB275" s="10" t="s">
        <v>1001</v>
      </c>
      <c r="AC275" s="10" t="str">
        <f>SUBSTITUTE(SUBSTITUTE(PROPERTIES[[#This Row],[PURCHASECOST_VALUE]], "PURCHASECOST_", ""), "_VALUE", "")</f>
        <v>DIESELENGINE</v>
      </c>
      <c r="AD275" s="2" t="b">
        <v>0</v>
      </c>
      <c r="AV275"/>
      <c r="AW275"/>
      <c r="AX275"/>
    </row>
    <row r="276" spans="1:50">
      <c r="A276" s="2" t="s">
        <v>299</v>
      </c>
      <c r="B276">
        <v>1939</v>
      </c>
      <c r="C276">
        <v>0</v>
      </c>
      <c r="D276" t="s">
        <v>2043</v>
      </c>
      <c r="E276" t="str">
        <f>_xlfn.XLOOKUP(PROPERTIES[[#This Row],[COUNTRY]],COUNTRIES[COUNTRY_DESCRIPTION],COUNTRIES[COUNTRY_LABEL],"")</f>
        <v>ZA</v>
      </c>
      <c r="F276" t="s">
        <v>35</v>
      </c>
      <c r="G276" t="s">
        <v>20</v>
      </c>
      <c r="H276">
        <v>0</v>
      </c>
      <c r="I276">
        <v>5</v>
      </c>
      <c r="J276">
        <v>5</v>
      </c>
      <c r="K276" s="2" t="s">
        <v>20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4">
        <v>68</v>
      </c>
      <c r="P276">
        <v>410</v>
      </c>
      <c r="Q276">
        <v>60</v>
      </c>
      <c r="R276" s="31">
        <v>157</v>
      </c>
      <c r="S276" s="30">
        <f>IFERROR(PROPERTIES[[#This Row],[TE_STARTING_KN]]/(PROPERTIES[[#This Row],[WEIGHT]]*9.81),0)</f>
        <v>0.23535408047010853</v>
      </c>
      <c r="T276" s="30">
        <v>0.23</v>
      </c>
      <c r="U276" s="27">
        <f>ROUND(IF(IFERROR(PROPERTIES[[#This Row],[TE_COEFFICIENT_CALC]],0)=0,PROPERTIES[[#This Row],[TE_COEFFICIENT_MANUAL]],PROPERTIES[[#This Row],[TE_COEFFICIENT_CALC]]),3)</f>
        <v>0.23499999999999999</v>
      </c>
      <c r="V276" s="6">
        <v>40</v>
      </c>
      <c r="W276" s="10">
        <v>0</v>
      </c>
      <c r="X276" s="10">
        <v>0</v>
      </c>
      <c r="Y276" s="10"/>
      <c r="Z276" t="str">
        <f>"RUNNING_COST_"&amp;IF(PROPERTIES[[#This Row],[ENGINE_CLASS]]="MAGLEV","ELECTRIC",PROPERTIES[[#This Row],[ENGINE_CLASS]])</f>
        <v>RUNNING_COST_DIESEL</v>
      </c>
      <c r="AA276" s="10" t="s">
        <v>1000</v>
      </c>
      <c r="AB276" s="10" t="s">
        <v>1001</v>
      </c>
      <c r="AC276" s="10" t="str">
        <f>SUBSTITUTE(SUBSTITUTE(PROPERTIES[[#This Row],[PURCHASECOST_VALUE]], "PURCHASECOST_", ""), "_VALUE", "")</f>
        <v>DIESELENGINE</v>
      </c>
      <c r="AD276" s="2" t="b">
        <v>0</v>
      </c>
      <c r="AV276"/>
      <c r="AW276"/>
      <c r="AX276"/>
    </row>
    <row r="277" spans="1:50">
      <c r="A277" s="2" t="s">
        <v>300</v>
      </c>
      <c r="B277">
        <v>1950</v>
      </c>
      <c r="C277">
        <v>0</v>
      </c>
      <c r="D277" t="s">
        <v>1859</v>
      </c>
      <c r="E277" t="str">
        <f>_xlfn.XLOOKUP(PROPERTIES[[#This Row],[COUNTRY]],COUNTRIES[COUNTRY_DESCRIPTION],COUNTRIES[COUNTRY_LABEL],"")</f>
        <v>DZ</v>
      </c>
      <c r="F277" t="s">
        <v>35</v>
      </c>
      <c r="G277" t="s">
        <v>20</v>
      </c>
      <c r="H277">
        <v>0</v>
      </c>
      <c r="I277">
        <v>6</v>
      </c>
      <c r="J277">
        <v>6</v>
      </c>
      <c r="K277" s="2" t="s">
        <v>20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4">
        <v>115</v>
      </c>
      <c r="P277">
        <v>800</v>
      </c>
      <c r="Q277">
        <v>80</v>
      </c>
      <c r="R277" s="31">
        <v>0</v>
      </c>
      <c r="S277" s="30">
        <f>IFERROR(PROPERTIES[[#This Row],[TE_STARTING_KN]]/(PROPERTIES[[#This Row],[WEIGHT]]*9.81),0)</f>
        <v>0</v>
      </c>
      <c r="T277" s="30">
        <v>0.16</v>
      </c>
      <c r="U277" s="27">
        <f>ROUND(IF(IFERROR(PROPERTIES[[#This Row],[TE_COEFFICIENT_CALC]],0)=0,PROPERTIES[[#This Row],[TE_COEFFICIENT_MANUAL]],PROPERTIES[[#This Row],[TE_COEFFICIENT_CALC]]),3)</f>
        <v>0.16</v>
      </c>
      <c r="V277" s="6">
        <v>40</v>
      </c>
      <c r="W277" s="10">
        <v>0</v>
      </c>
      <c r="X277" s="10">
        <v>0</v>
      </c>
      <c r="Y277" s="10"/>
      <c r="Z277" t="str">
        <f>"RUNNING_COST_"&amp;IF(PROPERTIES[[#This Row],[ENGINE_CLASS]]="MAGLEV","ELECTRIC",PROPERTIES[[#This Row],[ENGINE_CLASS]])</f>
        <v>RUNNING_COST_DIESEL</v>
      </c>
      <c r="AA277" s="10" t="s">
        <v>1000</v>
      </c>
      <c r="AB277" s="10" t="s">
        <v>1001</v>
      </c>
      <c r="AC277" s="10" t="str">
        <f>SUBSTITUTE(SUBSTITUTE(PROPERTIES[[#This Row],[PURCHASECOST_VALUE]], "PURCHASECOST_", ""), "_VALUE", "")</f>
        <v>DIESELENGINE</v>
      </c>
      <c r="AD277" s="2" t="b">
        <v>0</v>
      </c>
      <c r="AV277"/>
      <c r="AW277"/>
      <c r="AX277"/>
    </row>
    <row r="278" spans="1:50">
      <c r="A278" s="2" t="s">
        <v>301</v>
      </c>
      <c r="B278">
        <v>1960</v>
      </c>
      <c r="C278">
        <v>0</v>
      </c>
      <c r="D278" t="s">
        <v>2019</v>
      </c>
      <c r="E278" t="str">
        <f>_xlfn.XLOOKUP(PROPERTIES[[#This Row],[COUNTRY]],COUNTRIES[COUNTRY_DESCRIPTION],COUNTRIES[COUNTRY_LABEL],"")</f>
        <v>TN</v>
      </c>
      <c r="F278" t="s">
        <v>35</v>
      </c>
      <c r="G278" t="s">
        <v>20</v>
      </c>
      <c r="H278">
        <v>0</v>
      </c>
      <c r="I278">
        <v>5</v>
      </c>
      <c r="J278">
        <v>5</v>
      </c>
      <c r="K278" s="2" t="s">
        <v>20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4">
        <v>59</v>
      </c>
      <c r="P278">
        <v>875</v>
      </c>
      <c r="Q278">
        <v>100</v>
      </c>
      <c r="R278" s="31">
        <v>0</v>
      </c>
      <c r="S278" s="30">
        <f>IFERROR(PROPERTIES[[#This Row],[TE_STARTING_KN]]/(PROPERTIES[[#This Row],[WEIGHT]]*9.81),0)</f>
        <v>0</v>
      </c>
      <c r="T278" s="30">
        <v>0.25</v>
      </c>
      <c r="U278" s="27">
        <f>ROUND(IF(IFERROR(PROPERTIES[[#This Row],[TE_COEFFICIENT_CALC]],0)=0,PROPERTIES[[#This Row],[TE_COEFFICIENT_MANUAL]],PROPERTIES[[#This Row],[TE_COEFFICIENT_CALC]]),3)</f>
        <v>0.25</v>
      </c>
      <c r="V278" s="6">
        <v>40</v>
      </c>
      <c r="W278" s="10">
        <v>0</v>
      </c>
      <c r="X278" s="10">
        <v>0</v>
      </c>
      <c r="Y278" s="10"/>
      <c r="Z278" t="str">
        <f>"RUNNING_COST_"&amp;IF(PROPERTIES[[#This Row],[ENGINE_CLASS]]="MAGLEV","ELECTRIC",PROPERTIES[[#This Row],[ENGINE_CLASS]])</f>
        <v>RUNNING_COST_DIESEL</v>
      </c>
      <c r="AA278" s="10" t="s">
        <v>1000</v>
      </c>
      <c r="AB278" s="10" t="s">
        <v>1001</v>
      </c>
      <c r="AC278" s="10" t="str">
        <f>SUBSTITUTE(SUBSTITUTE(PROPERTIES[[#This Row],[PURCHASECOST_VALUE]], "PURCHASECOST_", ""), "_VALUE", "")</f>
        <v>DIESELENGINE</v>
      </c>
      <c r="AD278" s="2" t="b">
        <v>0</v>
      </c>
      <c r="AV278"/>
      <c r="AW278"/>
      <c r="AX278"/>
    </row>
    <row r="279" spans="1:50">
      <c r="A279" s="2" t="s">
        <v>302</v>
      </c>
      <c r="B279">
        <v>1974</v>
      </c>
      <c r="C279">
        <v>0</v>
      </c>
      <c r="D279" t="s">
        <v>1862</v>
      </c>
      <c r="E279" t="str">
        <f>_xlfn.XLOOKUP(PROPERTIES[[#This Row],[COUNTRY]],COUNTRIES[COUNTRY_DESCRIPTION],COUNTRIES[COUNTRY_LABEL],"")</f>
        <v>EG</v>
      </c>
      <c r="F279" t="s">
        <v>35</v>
      </c>
      <c r="G279" t="s">
        <v>20</v>
      </c>
      <c r="H279">
        <v>0</v>
      </c>
      <c r="I279">
        <v>7</v>
      </c>
      <c r="J279">
        <v>7</v>
      </c>
      <c r="K279" s="2" t="s">
        <v>20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4">
        <v>120</v>
      </c>
      <c r="P279">
        <v>2800</v>
      </c>
      <c r="Q279">
        <v>120</v>
      </c>
      <c r="R279" s="31">
        <v>365</v>
      </c>
      <c r="S279" s="30">
        <f>IFERROR(PROPERTIES[[#This Row],[TE_STARTING_KN]]/(PROPERTIES[[#This Row],[WEIGHT]]*9.81),0)</f>
        <v>0.31005776418620457</v>
      </c>
      <c r="T279" s="30">
        <v>0.17</v>
      </c>
      <c r="U279" s="27">
        <f>ROUND(IF(IFERROR(PROPERTIES[[#This Row],[TE_COEFFICIENT_CALC]],0)=0,PROPERTIES[[#This Row],[TE_COEFFICIENT_MANUAL]],PROPERTIES[[#This Row],[TE_COEFFICIENT_CALC]]),3)</f>
        <v>0.31</v>
      </c>
      <c r="V279" s="6">
        <v>40</v>
      </c>
      <c r="W279" s="10">
        <v>0</v>
      </c>
      <c r="X279" s="10">
        <v>0</v>
      </c>
      <c r="Y279" s="10"/>
      <c r="Z279" t="str">
        <f>"RUNNING_COST_"&amp;IF(PROPERTIES[[#This Row],[ENGINE_CLASS]]="MAGLEV","ELECTRIC",PROPERTIES[[#This Row],[ENGINE_CLASS]])</f>
        <v>RUNNING_COST_DIESEL</v>
      </c>
      <c r="AA279" s="10" t="s">
        <v>1000</v>
      </c>
      <c r="AB279" s="10" t="s">
        <v>1001</v>
      </c>
      <c r="AC279" s="10" t="str">
        <f>SUBSTITUTE(SUBSTITUTE(PROPERTIES[[#This Row],[PURCHASECOST_VALUE]], "PURCHASECOST_", ""), "_VALUE", "")</f>
        <v>DIESELENGINE</v>
      </c>
      <c r="AD279" s="2" t="b">
        <v>0</v>
      </c>
      <c r="AV279"/>
      <c r="AW279"/>
      <c r="AX279"/>
    </row>
    <row r="280" spans="1:50">
      <c r="A280" s="2" t="s">
        <v>303</v>
      </c>
      <c r="B280">
        <v>1977</v>
      </c>
      <c r="C280">
        <v>0</v>
      </c>
      <c r="D280" t="s">
        <v>2019</v>
      </c>
      <c r="E280" t="str">
        <f>_xlfn.XLOOKUP(PROPERTIES[[#This Row],[COUNTRY]],COUNTRIES[COUNTRY_DESCRIPTION],COUNTRIES[COUNTRY_LABEL],"")</f>
        <v>TN</v>
      </c>
      <c r="F280" t="s">
        <v>35</v>
      </c>
      <c r="G280" t="s">
        <v>20</v>
      </c>
      <c r="H280">
        <v>0</v>
      </c>
      <c r="I280">
        <v>5</v>
      </c>
      <c r="J280">
        <v>5</v>
      </c>
      <c r="K280" s="2" t="s">
        <v>20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4">
        <v>53</v>
      </c>
      <c r="P280">
        <v>700</v>
      </c>
      <c r="Q280">
        <v>75</v>
      </c>
      <c r="R280" s="31">
        <v>128</v>
      </c>
      <c r="S280" s="30">
        <f>IFERROR(PROPERTIES[[#This Row],[TE_STARTING_KN]]/(PROPERTIES[[#This Row],[WEIGHT]]*9.81),0)</f>
        <v>0.24618698670974937</v>
      </c>
      <c r="T280" s="30">
        <v>0.28000000000000003</v>
      </c>
      <c r="U280" s="27">
        <f>ROUND(IF(IFERROR(PROPERTIES[[#This Row],[TE_COEFFICIENT_CALC]],0)=0,PROPERTIES[[#This Row],[TE_COEFFICIENT_MANUAL]],PROPERTIES[[#This Row],[TE_COEFFICIENT_CALC]]),3)</f>
        <v>0.246</v>
      </c>
      <c r="V280" s="6">
        <v>40</v>
      </c>
      <c r="W280" s="10">
        <v>0</v>
      </c>
      <c r="X280" s="10">
        <v>0</v>
      </c>
      <c r="Y280" s="10"/>
      <c r="Z280" t="str">
        <f>"RUNNING_COST_"&amp;IF(PROPERTIES[[#This Row],[ENGINE_CLASS]]="MAGLEV","ELECTRIC",PROPERTIES[[#This Row],[ENGINE_CLASS]])</f>
        <v>RUNNING_COST_DIESEL</v>
      </c>
      <c r="AA280" s="10" t="s">
        <v>1000</v>
      </c>
      <c r="AB280" s="10" t="s">
        <v>1001</v>
      </c>
      <c r="AC280" s="10" t="str">
        <f>SUBSTITUTE(SUBSTITUTE(PROPERTIES[[#This Row],[PURCHASECOST_VALUE]], "PURCHASECOST_", ""), "_VALUE", "")</f>
        <v>DIESELENGINE</v>
      </c>
      <c r="AD280" s="2" t="b">
        <v>0</v>
      </c>
      <c r="AV280"/>
      <c r="AW280"/>
      <c r="AX280"/>
    </row>
    <row r="281" spans="1:50">
      <c r="A281" s="2" t="s">
        <v>304</v>
      </c>
      <c r="B281">
        <v>1989</v>
      </c>
      <c r="C281">
        <v>0</v>
      </c>
      <c r="D281" t="s">
        <v>1933</v>
      </c>
      <c r="E281" t="str">
        <f>_xlfn.XLOOKUP(PROPERTIES[[#This Row],[COUNTRY]],COUNTRIES[COUNTRY_DESCRIPTION],COUNTRIES[COUNTRY_LABEL],"")</f>
        <v>MA</v>
      </c>
      <c r="F281" t="s">
        <v>35</v>
      </c>
      <c r="G281" t="s">
        <v>20</v>
      </c>
      <c r="H281">
        <v>0</v>
      </c>
      <c r="I281">
        <v>8</v>
      </c>
      <c r="J281">
        <v>8</v>
      </c>
      <c r="K281" s="2" t="s">
        <v>20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4">
        <v>108</v>
      </c>
      <c r="P281">
        <v>3400</v>
      </c>
      <c r="Q281">
        <v>135</v>
      </c>
      <c r="R281" s="31">
        <v>360</v>
      </c>
      <c r="S281" s="30">
        <f>IFERROR(PROPERTIES[[#This Row],[TE_STARTING_KN]]/(PROPERTIES[[#This Row],[WEIGHT]]*9.81),0)</f>
        <v>0.3397893306150187</v>
      </c>
      <c r="T281" s="30">
        <v>0.33</v>
      </c>
      <c r="U281" s="27">
        <f>ROUND(IF(IFERROR(PROPERTIES[[#This Row],[TE_COEFFICIENT_CALC]],0)=0,PROPERTIES[[#This Row],[TE_COEFFICIENT_MANUAL]],PROPERTIES[[#This Row],[TE_COEFFICIENT_CALC]]),3)</f>
        <v>0.34</v>
      </c>
      <c r="V281" s="6">
        <v>40</v>
      </c>
      <c r="W281" s="10">
        <v>0</v>
      </c>
      <c r="X281" s="10">
        <v>0</v>
      </c>
      <c r="Y281" s="10"/>
      <c r="Z281" t="str">
        <f>"RUNNING_COST_"&amp;IF(PROPERTIES[[#This Row],[ENGINE_CLASS]]="MAGLEV","ELECTRIC",PROPERTIES[[#This Row],[ENGINE_CLASS]])</f>
        <v>RUNNING_COST_DIESEL</v>
      </c>
      <c r="AA281" s="10" t="s">
        <v>1000</v>
      </c>
      <c r="AB281" s="10" t="s">
        <v>1001</v>
      </c>
      <c r="AC281" s="10" t="str">
        <f>SUBSTITUTE(SUBSTITUTE(PROPERTIES[[#This Row],[PURCHASECOST_VALUE]], "PURCHASECOST_", ""), "_VALUE", "")</f>
        <v>DIESELENGINE</v>
      </c>
      <c r="AD281" s="2" t="b">
        <v>0</v>
      </c>
      <c r="AV281"/>
      <c r="AW281"/>
      <c r="AX281"/>
    </row>
    <row r="282" spans="1:50">
      <c r="A282" s="2" t="s">
        <v>305</v>
      </c>
      <c r="B282">
        <v>1964</v>
      </c>
      <c r="C282">
        <v>0</v>
      </c>
      <c r="D282" t="s">
        <v>2026</v>
      </c>
      <c r="E282" t="str">
        <f>_xlfn.XLOOKUP(PROPERTIES[[#This Row],[COUNTRY]],COUNTRIES[COUNTRY_DESCRIPTION],COUNTRIES[COUNTRY_LABEL],"")</f>
        <v>UA</v>
      </c>
      <c r="F282" t="s">
        <v>35</v>
      </c>
      <c r="G282" t="s">
        <v>20</v>
      </c>
      <c r="H282">
        <v>0</v>
      </c>
      <c r="I282">
        <v>8</v>
      </c>
      <c r="J282">
        <v>8</v>
      </c>
      <c r="K282" s="2" t="s">
        <v>20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4">
        <v>129</v>
      </c>
      <c r="P282">
        <v>2290</v>
      </c>
      <c r="Q282">
        <v>140</v>
      </c>
      <c r="R282" s="31">
        <v>245</v>
      </c>
      <c r="S282" s="30">
        <f>IFERROR(PROPERTIES[[#This Row],[TE_STARTING_KN]]/(PROPERTIES[[#This Row],[WEIGHT]]*9.81),0)</f>
        <v>0.19360089767599903</v>
      </c>
      <c r="T282" s="30">
        <v>0.13</v>
      </c>
      <c r="U282" s="27">
        <f>ROUND(IF(IFERROR(PROPERTIES[[#This Row],[TE_COEFFICIENT_CALC]],0)=0,PROPERTIES[[#This Row],[TE_COEFFICIENT_MANUAL]],PROPERTIES[[#This Row],[TE_COEFFICIENT_CALC]]),3)</f>
        <v>0.19400000000000001</v>
      </c>
      <c r="V282" s="6">
        <v>40</v>
      </c>
      <c r="W282" s="10">
        <v>0</v>
      </c>
      <c r="X282" s="10">
        <v>0</v>
      </c>
      <c r="Y282" s="10"/>
      <c r="Z282" t="str">
        <f>"RUNNING_COST_"&amp;IF(PROPERTIES[[#This Row],[ENGINE_CLASS]]="MAGLEV","ELECTRIC",PROPERTIES[[#This Row],[ENGINE_CLASS]])</f>
        <v>RUNNING_COST_DIESEL</v>
      </c>
      <c r="AA282" s="10" t="s">
        <v>1000</v>
      </c>
      <c r="AB282" s="10" t="s">
        <v>1001</v>
      </c>
      <c r="AC282" s="10" t="str">
        <f>SUBSTITUTE(SUBSTITUTE(PROPERTIES[[#This Row],[PURCHASECOST_VALUE]], "PURCHASECOST_", ""), "_VALUE", "")</f>
        <v>DIESELENGINE</v>
      </c>
      <c r="AD282" s="2" t="b">
        <v>0</v>
      </c>
      <c r="AV282"/>
      <c r="AW282"/>
      <c r="AX282"/>
    </row>
    <row r="283" spans="1:50">
      <c r="A283" s="2" t="s">
        <v>306</v>
      </c>
      <c r="B283">
        <v>1981</v>
      </c>
      <c r="C283">
        <v>0</v>
      </c>
      <c r="D283" t="s">
        <v>2048</v>
      </c>
      <c r="E283" t="str">
        <f>_xlfn.XLOOKUP(PROPERTIES[[#This Row],[COUNTRY]],COUNTRIES[COUNTRY_DESCRIPTION],COUNTRIES[COUNTRY_LABEL],"")</f>
        <v>SU</v>
      </c>
      <c r="F283" t="s">
        <v>35</v>
      </c>
      <c r="G283" t="s">
        <v>20</v>
      </c>
      <c r="H283">
        <v>0</v>
      </c>
      <c r="I283">
        <v>8</v>
      </c>
      <c r="J283">
        <v>16</v>
      </c>
      <c r="K283" s="2" t="s">
        <v>20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4">
        <v>276</v>
      </c>
      <c r="P283">
        <v>6160</v>
      </c>
      <c r="Q283">
        <v>100</v>
      </c>
      <c r="R283" s="31">
        <v>784</v>
      </c>
      <c r="S283" s="30">
        <f>IFERROR(PROPERTIES[[#This Row],[TE_STARTING_KN]]/(PROPERTIES[[#This Row],[WEIGHT]]*9.81),0)</f>
        <v>0.28955960348062465</v>
      </c>
      <c r="T283" s="30">
        <v>0.18</v>
      </c>
      <c r="U283" s="27">
        <f>ROUND(IF(IFERROR(PROPERTIES[[#This Row],[TE_COEFFICIENT_CALC]],0)=0,PROPERTIES[[#This Row],[TE_COEFFICIENT_MANUAL]],PROPERTIES[[#This Row],[TE_COEFFICIENT_CALC]]),3)</f>
        <v>0.28999999999999998</v>
      </c>
      <c r="V283" s="6">
        <v>40</v>
      </c>
      <c r="W283" s="10">
        <v>0</v>
      </c>
      <c r="X283" s="10">
        <v>0</v>
      </c>
      <c r="Y283" s="10"/>
      <c r="Z283" t="str">
        <f>"RUNNING_COST_"&amp;IF(PROPERTIES[[#This Row],[ENGINE_CLASS]]="MAGLEV","ELECTRIC",PROPERTIES[[#This Row],[ENGINE_CLASS]])</f>
        <v>RUNNING_COST_DIESEL</v>
      </c>
      <c r="AA283" s="10" t="s">
        <v>1000</v>
      </c>
      <c r="AB283" s="10" t="s">
        <v>1001</v>
      </c>
      <c r="AC283" s="10" t="str">
        <f>SUBSTITUTE(SUBSTITUTE(PROPERTIES[[#This Row],[PURCHASECOST_VALUE]], "PURCHASECOST_", ""), "_VALUE", "")</f>
        <v>DIESELENGINE</v>
      </c>
      <c r="AD283" s="2" t="b">
        <v>0</v>
      </c>
      <c r="AV283"/>
      <c r="AW283"/>
      <c r="AX283"/>
    </row>
    <row r="284" spans="1:50">
      <c r="A284" s="2" t="s">
        <v>307</v>
      </c>
      <c r="B284">
        <v>1985</v>
      </c>
      <c r="C284">
        <v>0</v>
      </c>
      <c r="D284" t="s">
        <v>1975</v>
      </c>
      <c r="E284" t="str">
        <f>_xlfn.XLOOKUP(PROPERTIES[[#This Row],[COUNTRY]],COUNTRIES[COUNTRY_DESCRIPTION],COUNTRIES[COUNTRY_LABEL],"")</f>
        <v>PL</v>
      </c>
      <c r="F284" t="s">
        <v>35</v>
      </c>
      <c r="G284" t="s">
        <v>20</v>
      </c>
      <c r="H284">
        <v>0</v>
      </c>
      <c r="I284">
        <v>6</v>
      </c>
      <c r="J284">
        <v>6</v>
      </c>
      <c r="K284" s="2" t="s">
        <v>20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4">
        <v>74</v>
      </c>
      <c r="P284">
        <v>1015</v>
      </c>
      <c r="Q284">
        <v>100</v>
      </c>
      <c r="R284" s="31">
        <v>181.42</v>
      </c>
      <c r="S284" s="30">
        <f>IFERROR(PROPERTIES[[#This Row],[TE_STARTING_KN]]/(PROPERTIES[[#This Row],[WEIGHT]]*9.81),0)</f>
        <v>0.2499104609196352</v>
      </c>
      <c r="T284" s="30">
        <v>0.25</v>
      </c>
      <c r="U284" s="27">
        <f>ROUND(IF(IFERROR(PROPERTIES[[#This Row],[TE_COEFFICIENT_CALC]],0)=0,PROPERTIES[[#This Row],[TE_COEFFICIENT_MANUAL]],PROPERTIES[[#This Row],[TE_COEFFICIENT_CALC]]),3)</f>
        <v>0.25</v>
      </c>
      <c r="V284" s="6">
        <v>40</v>
      </c>
      <c r="W284" s="10">
        <v>0</v>
      </c>
      <c r="X284" s="10">
        <v>0</v>
      </c>
      <c r="Y284" s="10"/>
      <c r="Z284" t="str">
        <f>"RUNNING_COST_"&amp;IF(PROPERTIES[[#This Row],[ENGINE_CLASS]]="MAGLEV","ELECTRIC",PROPERTIES[[#This Row],[ENGINE_CLASS]])</f>
        <v>RUNNING_COST_DIESEL</v>
      </c>
      <c r="AA284" s="10" t="s">
        <v>1000</v>
      </c>
      <c r="AB284" s="10" t="s">
        <v>1001</v>
      </c>
      <c r="AC284" s="10" t="str">
        <f>SUBSTITUTE(SUBSTITUTE(PROPERTIES[[#This Row],[PURCHASECOST_VALUE]], "PURCHASECOST_", ""), "_VALUE", "")</f>
        <v>DIESELENGINE</v>
      </c>
      <c r="AD284" s="2" t="b">
        <v>0</v>
      </c>
      <c r="AV284"/>
      <c r="AW284"/>
      <c r="AX284"/>
    </row>
    <row r="285" spans="1:50">
      <c r="A285" s="2" t="s">
        <v>308</v>
      </c>
      <c r="B285">
        <v>1987</v>
      </c>
      <c r="C285">
        <v>0</v>
      </c>
      <c r="D285" t="s">
        <v>2026</v>
      </c>
      <c r="E285" t="str">
        <f>_xlfn.XLOOKUP(PROPERTIES[[#This Row],[COUNTRY]],COUNTRIES[COUNTRY_DESCRIPTION],COUNTRIES[COUNTRY_LABEL],"")</f>
        <v>UA</v>
      </c>
      <c r="F285" t="s">
        <v>35</v>
      </c>
      <c r="G285" t="s">
        <v>20</v>
      </c>
      <c r="H285">
        <v>0</v>
      </c>
      <c r="I285">
        <v>8</v>
      </c>
      <c r="J285">
        <v>8</v>
      </c>
      <c r="K285" s="2" t="s">
        <v>20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4">
        <v>272</v>
      </c>
      <c r="P285">
        <v>6035</v>
      </c>
      <c r="Q285">
        <v>100</v>
      </c>
      <c r="R285" s="31">
        <f>2*255</f>
        <v>510</v>
      </c>
      <c r="S285" s="30">
        <f>IFERROR(PROPERTIES[[#This Row],[TE_STARTING_KN]]/(PROPERTIES[[#This Row],[WEIGHT]]*9.81),0)</f>
        <v>0.19113149847094801</v>
      </c>
      <c r="T285" s="30">
        <v>0.2</v>
      </c>
      <c r="U285" s="27">
        <f>ROUND(IF(IFERROR(PROPERTIES[[#This Row],[TE_COEFFICIENT_CALC]],0)=0,PROPERTIES[[#This Row],[TE_COEFFICIENT_MANUAL]],PROPERTIES[[#This Row],[TE_COEFFICIENT_CALC]]),3)</f>
        <v>0.191</v>
      </c>
      <c r="V285" s="6">
        <v>40</v>
      </c>
      <c r="W285" s="10">
        <v>0</v>
      </c>
      <c r="X285" s="10">
        <v>0</v>
      </c>
      <c r="Y285" s="10"/>
      <c r="Z285" t="str">
        <f>"RUNNING_COST_"&amp;IF(PROPERTIES[[#This Row],[ENGINE_CLASS]]="MAGLEV","ELECTRIC",PROPERTIES[[#This Row],[ENGINE_CLASS]])</f>
        <v>RUNNING_COST_DIESEL</v>
      </c>
      <c r="AA285" s="10" t="s">
        <v>1000</v>
      </c>
      <c r="AB285" s="10" t="s">
        <v>1001</v>
      </c>
      <c r="AC285" s="10" t="str">
        <f>SUBSTITUTE(SUBSTITUTE(PROPERTIES[[#This Row],[PURCHASECOST_VALUE]], "PURCHASECOST_", ""), "_VALUE", "")</f>
        <v>DIESELENGINE</v>
      </c>
      <c r="AD285" s="2" t="b">
        <v>0</v>
      </c>
      <c r="AV285"/>
      <c r="AW285"/>
      <c r="AX285"/>
    </row>
    <row r="286" spans="1:50">
      <c r="A286" s="2" t="s">
        <v>309</v>
      </c>
      <c r="B286">
        <v>1989</v>
      </c>
      <c r="C286">
        <v>0</v>
      </c>
      <c r="D286" t="s">
        <v>2026</v>
      </c>
      <c r="E286" t="str">
        <f>_xlfn.XLOOKUP(PROPERTIES[[#This Row],[COUNTRY]],COUNTRIES[COUNTRY_DESCRIPTION],COUNTRIES[COUNTRY_LABEL],"")</f>
        <v>UA</v>
      </c>
      <c r="F286" t="s">
        <v>35</v>
      </c>
      <c r="G286" t="s">
        <v>20</v>
      </c>
      <c r="H286">
        <v>0</v>
      </c>
      <c r="I286">
        <v>8</v>
      </c>
      <c r="J286">
        <v>16</v>
      </c>
      <c r="K286" s="2" t="s">
        <v>20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4">
        <v>276</v>
      </c>
      <c r="P286">
        <v>4560</v>
      </c>
      <c r="Q286">
        <v>120</v>
      </c>
      <c r="R286" s="31">
        <v>0</v>
      </c>
      <c r="S286" s="30">
        <f>IFERROR(PROPERTIES[[#This Row],[TE_STARTING_KN]]/(PROPERTIES[[#This Row],[WEIGHT]]*9.81),0)</f>
        <v>0</v>
      </c>
      <c r="T286" s="30">
        <v>0.15</v>
      </c>
      <c r="U286" s="27">
        <f>ROUND(IF(IFERROR(PROPERTIES[[#This Row],[TE_COEFFICIENT_CALC]],0)=0,PROPERTIES[[#This Row],[TE_COEFFICIENT_MANUAL]],PROPERTIES[[#This Row],[TE_COEFFICIENT_CALC]]),3)</f>
        <v>0.15</v>
      </c>
      <c r="V286" s="6">
        <v>40</v>
      </c>
      <c r="W286" s="10">
        <v>0</v>
      </c>
      <c r="X286" s="10">
        <v>0</v>
      </c>
      <c r="Y286" s="10"/>
      <c r="Z286" t="str">
        <f>"RUNNING_COST_"&amp;IF(PROPERTIES[[#This Row],[ENGINE_CLASS]]="MAGLEV","ELECTRIC",PROPERTIES[[#This Row],[ENGINE_CLASS]])</f>
        <v>RUNNING_COST_DIESEL</v>
      </c>
      <c r="AA286" s="10" t="s">
        <v>1000</v>
      </c>
      <c r="AB286" s="10" t="s">
        <v>1001</v>
      </c>
      <c r="AC286" s="10" t="str">
        <f>SUBSTITUTE(SUBSTITUTE(PROPERTIES[[#This Row],[PURCHASECOST_VALUE]], "PURCHASECOST_", ""), "_VALUE", "")</f>
        <v>DIESELENGINE</v>
      </c>
      <c r="AD286" s="2" t="b">
        <v>0</v>
      </c>
      <c r="AV286"/>
      <c r="AW286"/>
      <c r="AX286"/>
    </row>
    <row r="287" spans="1:50">
      <c r="A287" s="2" t="s">
        <v>310</v>
      </c>
      <c r="B287">
        <v>1992</v>
      </c>
      <c r="C287">
        <v>0</v>
      </c>
      <c r="D287" t="s">
        <v>2049</v>
      </c>
      <c r="E287" t="str">
        <f>_xlfn.XLOOKUP(PROPERTIES[[#This Row],[COUNTRY]],COUNTRIES[COUNTRY_DESCRIPTION],COUNTRIES[COUNTRY_LABEL],"")</f>
        <v>YU</v>
      </c>
      <c r="F287" t="s">
        <v>35</v>
      </c>
      <c r="G287" t="s">
        <v>20</v>
      </c>
      <c r="H287">
        <v>0</v>
      </c>
      <c r="I287">
        <v>4</v>
      </c>
      <c r="J287">
        <v>4</v>
      </c>
      <c r="K287" s="2" t="s">
        <v>20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4">
        <v>36</v>
      </c>
      <c r="P287">
        <v>530</v>
      </c>
      <c r="Q287">
        <v>80</v>
      </c>
      <c r="R287" s="31">
        <v>108</v>
      </c>
      <c r="S287" s="30">
        <f>IFERROR(PROPERTIES[[#This Row],[TE_STARTING_KN]]/(PROPERTIES[[#This Row],[WEIGHT]]*9.81),0)</f>
        <v>0.3058103975535168</v>
      </c>
      <c r="T287" s="30">
        <v>0.3</v>
      </c>
      <c r="U287" s="27">
        <f>ROUND(IF(IFERROR(PROPERTIES[[#This Row],[TE_COEFFICIENT_CALC]],0)=0,PROPERTIES[[#This Row],[TE_COEFFICIENT_MANUAL]],PROPERTIES[[#This Row],[TE_COEFFICIENT_CALC]]),3)</f>
        <v>0.30599999999999999</v>
      </c>
      <c r="V287" s="6">
        <v>40</v>
      </c>
      <c r="W287" s="10">
        <v>0</v>
      </c>
      <c r="X287" s="10">
        <v>0</v>
      </c>
      <c r="Y287" s="10"/>
      <c r="Z287" t="str">
        <f>"RUNNING_COST_"&amp;IF(PROPERTIES[[#This Row],[ENGINE_CLASS]]="MAGLEV","ELECTRIC",PROPERTIES[[#This Row],[ENGINE_CLASS]])</f>
        <v>RUNNING_COST_DIESEL</v>
      </c>
      <c r="AA287" s="10" t="s">
        <v>1000</v>
      </c>
      <c r="AB287" s="10" t="s">
        <v>1001</v>
      </c>
      <c r="AC287" s="10" t="str">
        <f>SUBSTITUTE(SUBSTITUTE(PROPERTIES[[#This Row],[PURCHASECOST_VALUE]], "PURCHASECOST_", ""), "_VALUE", "")</f>
        <v>DIESELENGINE</v>
      </c>
      <c r="AD287" s="2" t="b">
        <v>0</v>
      </c>
      <c r="AV287"/>
      <c r="AW287"/>
      <c r="AX287"/>
    </row>
    <row r="288" spans="1:50">
      <c r="A288" s="2" t="s">
        <v>311</v>
      </c>
      <c r="B288">
        <v>1931</v>
      </c>
      <c r="C288">
        <v>0</v>
      </c>
      <c r="D288" t="s">
        <v>1906</v>
      </c>
      <c r="E288" t="str">
        <f>_xlfn.XLOOKUP(PROPERTIES[[#This Row],[COUNTRY]],COUNTRIES[COUNTRY_DESCRIPTION],COUNTRIES[COUNTRY_LABEL],"")</f>
        <v>IT</v>
      </c>
      <c r="F288" t="s">
        <v>35</v>
      </c>
      <c r="G288" t="s">
        <v>20</v>
      </c>
      <c r="H288">
        <v>0</v>
      </c>
      <c r="I288">
        <v>2</v>
      </c>
      <c r="J288">
        <v>2</v>
      </c>
      <c r="K288" s="2" t="s">
        <v>20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4">
        <v>6</v>
      </c>
      <c r="P288">
        <v>75</v>
      </c>
      <c r="Q288">
        <v>30</v>
      </c>
      <c r="R288" s="31">
        <v>13</v>
      </c>
      <c r="S288" s="30">
        <f>IFERROR(PROPERTIES[[#This Row],[TE_STARTING_KN]]/(PROPERTIES[[#This Row],[WEIGHT]]*9.81),0)</f>
        <v>0.22086306489976215</v>
      </c>
      <c r="T288" s="30">
        <v>0.27</v>
      </c>
      <c r="U288" s="27">
        <f>ROUND(IF(IFERROR(PROPERTIES[[#This Row],[TE_COEFFICIENT_CALC]],0)=0,PROPERTIES[[#This Row],[TE_COEFFICIENT_MANUAL]],PROPERTIES[[#This Row],[TE_COEFFICIENT_CALC]]),3)</f>
        <v>0.221</v>
      </c>
      <c r="V288" s="6">
        <v>40</v>
      </c>
      <c r="W288" s="10">
        <v>0</v>
      </c>
      <c r="X288" s="10">
        <v>0</v>
      </c>
      <c r="Y288" s="10"/>
      <c r="Z288" t="str">
        <f>"RUNNING_COST_"&amp;IF(PROPERTIES[[#This Row],[ENGINE_CLASS]]="MAGLEV","ELECTRIC",PROPERTIES[[#This Row],[ENGINE_CLASS]])</f>
        <v>RUNNING_COST_DIESEL</v>
      </c>
      <c r="AA288" s="10" t="s">
        <v>1000</v>
      </c>
      <c r="AB288" s="10" t="s">
        <v>1001</v>
      </c>
      <c r="AC288" s="10" t="str">
        <f>SUBSTITUTE(SUBSTITUTE(PROPERTIES[[#This Row],[PURCHASECOST_VALUE]], "PURCHASECOST_", ""), "_VALUE", "")</f>
        <v>DIESELENGINE</v>
      </c>
      <c r="AD288" s="2" t="b">
        <v>0</v>
      </c>
      <c r="AV288"/>
      <c r="AW288"/>
      <c r="AX288"/>
    </row>
    <row r="289" spans="1:50">
      <c r="A289" s="2" t="s">
        <v>312</v>
      </c>
      <c r="B289">
        <v>1945</v>
      </c>
      <c r="C289">
        <v>0</v>
      </c>
      <c r="D289" t="s">
        <v>2048</v>
      </c>
      <c r="E289" t="str">
        <f>_xlfn.XLOOKUP(PROPERTIES[[#This Row],[COUNTRY]],COUNTRIES[COUNTRY_DESCRIPTION],COUNTRIES[COUNTRY_LABEL],"")</f>
        <v>SU</v>
      </c>
      <c r="F289" t="s">
        <v>35</v>
      </c>
      <c r="G289" t="s">
        <v>20</v>
      </c>
      <c r="H289">
        <v>0</v>
      </c>
      <c r="I289">
        <v>8</v>
      </c>
      <c r="J289">
        <v>8</v>
      </c>
      <c r="K289" s="2" t="s">
        <v>20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4">
        <v>122</v>
      </c>
      <c r="P289">
        <v>1000</v>
      </c>
      <c r="Q289">
        <v>97</v>
      </c>
      <c r="R289" s="31">
        <v>310</v>
      </c>
      <c r="S289" s="30">
        <f>IFERROR(PROPERTIES[[#This Row],[TE_STARTING_KN]]/(PROPERTIES[[#This Row],[WEIGHT]]*9.81),0)</f>
        <v>0.2590197356327601</v>
      </c>
      <c r="T289" s="30">
        <v>0.15</v>
      </c>
      <c r="U289" s="27">
        <f>ROUND(IF(IFERROR(PROPERTIES[[#This Row],[TE_COEFFICIENT_CALC]],0)=0,PROPERTIES[[#This Row],[TE_COEFFICIENT_MANUAL]],PROPERTIES[[#This Row],[TE_COEFFICIENT_CALC]]),3)</f>
        <v>0.25900000000000001</v>
      </c>
      <c r="V289" s="6">
        <v>40</v>
      </c>
      <c r="W289" s="10">
        <v>0</v>
      </c>
      <c r="X289" s="10">
        <v>0</v>
      </c>
      <c r="Y289" s="10"/>
      <c r="Z289" t="str">
        <f>"RUNNING_COST_"&amp;IF(PROPERTIES[[#This Row],[ENGINE_CLASS]]="MAGLEV","ELECTRIC",PROPERTIES[[#This Row],[ENGINE_CLASS]])</f>
        <v>RUNNING_COST_DIESEL</v>
      </c>
      <c r="AA289" s="10" t="s">
        <v>1000</v>
      </c>
      <c r="AB289" s="10" t="s">
        <v>1001</v>
      </c>
      <c r="AC289" s="10" t="str">
        <f>SUBSTITUTE(SUBSTITUTE(PROPERTIES[[#This Row],[PURCHASECOST_VALUE]], "PURCHASECOST_", ""), "_VALUE", "")</f>
        <v>DIESELENGINE</v>
      </c>
      <c r="AD289" s="2" t="b">
        <v>0</v>
      </c>
      <c r="AV289"/>
      <c r="AW289"/>
      <c r="AX289"/>
    </row>
    <row r="290" spans="1:50">
      <c r="A290" s="2" t="s">
        <v>313</v>
      </c>
      <c r="B290">
        <v>1948</v>
      </c>
      <c r="C290">
        <v>0</v>
      </c>
      <c r="D290" t="s">
        <v>1980</v>
      </c>
      <c r="E290" t="str">
        <f>_xlfn.XLOOKUP(PROPERTIES[[#This Row],[COUNTRY]],COUNTRIES[COUNTRY_DESCRIPTION],COUNTRIES[COUNTRY_LABEL],"")</f>
        <v>PT</v>
      </c>
      <c r="F290" t="s">
        <v>35</v>
      </c>
      <c r="G290" t="s">
        <v>20</v>
      </c>
      <c r="H290">
        <v>0</v>
      </c>
      <c r="I290">
        <v>6</v>
      </c>
      <c r="J290">
        <v>6</v>
      </c>
      <c r="K290" s="2" t="s">
        <v>20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4">
        <v>111</v>
      </c>
      <c r="P290">
        <v>1500</v>
      </c>
      <c r="Q290">
        <v>120</v>
      </c>
      <c r="R290" s="31">
        <v>0</v>
      </c>
      <c r="S290" s="30">
        <f>IFERROR(PROPERTIES[[#This Row],[TE_STARTING_KN]]/(PROPERTIES[[#This Row],[WEIGHT]]*9.81),0)</f>
        <v>0</v>
      </c>
      <c r="T290" s="30">
        <v>0.15</v>
      </c>
      <c r="U290" s="27">
        <f>ROUND(IF(IFERROR(PROPERTIES[[#This Row],[TE_COEFFICIENT_CALC]],0)=0,PROPERTIES[[#This Row],[TE_COEFFICIENT_MANUAL]],PROPERTIES[[#This Row],[TE_COEFFICIENT_CALC]]),3)</f>
        <v>0.15</v>
      </c>
      <c r="V290" s="6">
        <v>40</v>
      </c>
      <c r="W290" s="10">
        <v>0</v>
      </c>
      <c r="X290" s="10">
        <v>0</v>
      </c>
      <c r="Y290" s="10"/>
      <c r="Z290" t="str">
        <f>"RUNNING_COST_"&amp;IF(PROPERTIES[[#This Row],[ENGINE_CLASS]]="MAGLEV","ELECTRIC",PROPERTIES[[#This Row],[ENGINE_CLASS]])</f>
        <v>RUNNING_COST_DIESEL</v>
      </c>
      <c r="AA290" s="10" t="s">
        <v>1000</v>
      </c>
      <c r="AB290" s="10" t="s">
        <v>1001</v>
      </c>
      <c r="AC290" s="10" t="str">
        <f>SUBSTITUTE(SUBSTITUTE(PROPERTIES[[#This Row],[PURCHASECOST_VALUE]], "PURCHASECOST_", ""), "_VALUE", "")</f>
        <v>DIESELENGINE</v>
      </c>
      <c r="AD290" s="2" t="b">
        <v>0</v>
      </c>
      <c r="AV290"/>
      <c r="AW290"/>
      <c r="AX290"/>
    </row>
    <row r="291" spans="1:50">
      <c r="A291" s="2" t="s">
        <v>314</v>
      </c>
      <c r="B291">
        <v>1969</v>
      </c>
      <c r="C291">
        <v>0</v>
      </c>
      <c r="D291" t="s">
        <v>1872</v>
      </c>
      <c r="E291" t="str">
        <f>_xlfn.XLOOKUP(PROPERTIES[[#This Row],[COUNTRY]],COUNTRIES[COUNTRY_DESCRIPTION],COUNTRIES[COUNTRY_LABEL],"")</f>
        <v>FR</v>
      </c>
      <c r="F291" t="s">
        <v>35</v>
      </c>
      <c r="G291" t="s">
        <v>20</v>
      </c>
      <c r="H291">
        <v>0</v>
      </c>
      <c r="I291">
        <v>8</v>
      </c>
      <c r="J291">
        <v>8</v>
      </c>
      <c r="K291" s="2" t="s">
        <v>20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4">
        <v>83</v>
      </c>
      <c r="P291">
        <v>2367</v>
      </c>
      <c r="Q291">
        <v>140</v>
      </c>
      <c r="R291" s="31">
        <v>250</v>
      </c>
      <c r="S291" s="30">
        <f>IFERROR(PROPERTIES[[#This Row],[TE_STARTING_KN]]/(PROPERTIES[[#This Row],[WEIGHT]]*9.81),0)</f>
        <v>0.30703855176055905</v>
      </c>
      <c r="T291" s="30">
        <v>0.34</v>
      </c>
      <c r="U291" s="27">
        <f>ROUND(IF(IFERROR(PROPERTIES[[#This Row],[TE_COEFFICIENT_CALC]],0)=0,PROPERTIES[[#This Row],[TE_COEFFICIENT_MANUAL]],PROPERTIES[[#This Row],[TE_COEFFICIENT_CALC]]),3)</f>
        <v>0.307</v>
      </c>
      <c r="V291" s="6">
        <v>40</v>
      </c>
      <c r="W291" s="10">
        <v>0</v>
      </c>
      <c r="X291" s="10">
        <v>0</v>
      </c>
      <c r="Y291" s="10"/>
      <c r="Z291" t="str">
        <f>"RUNNING_COST_"&amp;IF(PROPERTIES[[#This Row],[ENGINE_CLASS]]="MAGLEV","ELECTRIC",PROPERTIES[[#This Row],[ENGINE_CLASS]])</f>
        <v>RUNNING_COST_DIESEL</v>
      </c>
      <c r="AA291" s="10" t="s">
        <v>1000</v>
      </c>
      <c r="AB291" s="10" t="s">
        <v>1001</v>
      </c>
      <c r="AC291" s="10" t="str">
        <f>SUBSTITUTE(SUBSTITUTE(PROPERTIES[[#This Row],[PURCHASECOST_VALUE]], "PURCHASECOST_", ""), "_VALUE", "")</f>
        <v>DIESELENGINE</v>
      </c>
      <c r="AD291" s="2" t="b">
        <v>0</v>
      </c>
      <c r="AV291"/>
      <c r="AW291"/>
      <c r="AX291"/>
    </row>
    <row r="292" spans="1:50">
      <c r="A292" s="2" t="s">
        <v>315</v>
      </c>
      <c r="B292">
        <v>1988</v>
      </c>
      <c r="C292">
        <v>0</v>
      </c>
      <c r="D292" t="s">
        <v>1962</v>
      </c>
      <c r="E292" t="str">
        <f>_xlfn.XLOOKUP(PROPERTIES[[#This Row],[COUNTRY]],COUNTRIES[COUNTRY_DESCRIPTION],COUNTRIES[COUNTRY_LABEL],"")</f>
        <v>NL</v>
      </c>
      <c r="F292" t="s">
        <v>35</v>
      </c>
      <c r="G292" t="s">
        <v>20</v>
      </c>
      <c r="H292">
        <v>0</v>
      </c>
      <c r="I292">
        <v>6</v>
      </c>
      <c r="J292">
        <v>6</v>
      </c>
      <c r="K292" s="2" t="s">
        <v>20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4">
        <v>80</v>
      </c>
      <c r="P292">
        <v>1580</v>
      </c>
      <c r="Q292">
        <v>120</v>
      </c>
      <c r="R292" s="31">
        <v>290</v>
      </c>
      <c r="S292" s="30">
        <f>IFERROR(PROPERTIES[[#This Row],[TE_STARTING_KN]]/(PROPERTIES[[#This Row],[WEIGHT]]*9.81),0)</f>
        <v>0.36952089704383279</v>
      </c>
      <c r="T292" s="30">
        <v>0.38</v>
      </c>
      <c r="U292" s="27">
        <f>ROUND(IF(IFERROR(PROPERTIES[[#This Row],[TE_COEFFICIENT_CALC]],0)=0,PROPERTIES[[#This Row],[TE_COEFFICIENT_MANUAL]],PROPERTIES[[#This Row],[TE_COEFFICIENT_CALC]]),3)</f>
        <v>0.37</v>
      </c>
      <c r="V292" s="6">
        <v>40</v>
      </c>
      <c r="W292" s="10">
        <v>0</v>
      </c>
      <c r="X292" s="10">
        <v>0</v>
      </c>
      <c r="Y292" s="10"/>
      <c r="Z292" t="str">
        <f>"RUNNING_COST_"&amp;IF(PROPERTIES[[#This Row],[ENGINE_CLASS]]="MAGLEV","ELECTRIC",PROPERTIES[[#This Row],[ENGINE_CLASS]])</f>
        <v>RUNNING_COST_DIESEL</v>
      </c>
      <c r="AA292" s="10" t="s">
        <v>1000</v>
      </c>
      <c r="AB292" s="10" t="s">
        <v>1001</v>
      </c>
      <c r="AC292" s="10" t="str">
        <f>SUBSTITUTE(SUBSTITUTE(PROPERTIES[[#This Row],[PURCHASECOST_VALUE]], "PURCHASECOST_", ""), "_VALUE", "")</f>
        <v>DIESELENGINE</v>
      </c>
      <c r="AD292" s="2" t="b">
        <v>0</v>
      </c>
      <c r="AV292"/>
      <c r="AW292"/>
      <c r="AX292"/>
    </row>
    <row r="293" spans="1:50">
      <c r="A293" s="2" t="s">
        <v>316</v>
      </c>
      <c r="B293">
        <v>2009</v>
      </c>
      <c r="C293">
        <v>0</v>
      </c>
      <c r="D293" t="s">
        <v>1862</v>
      </c>
      <c r="E293" t="str">
        <f>_xlfn.XLOOKUP(PROPERTIES[[#This Row],[COUNTRY]],COUNTRIES[COUNTRY_DESCRIPTION],COUNTRIES[COUNTRY_LABEL],"")</f>
        <v>EG</v>
      </c>
      <c r="F293" t="s">
        <v>35</v>
      </c>
      <c r="G293" t="s">
        <v>20</v>
      </c>
      <c r="H293">
        <v>0</v>
      </c>
      <c r="I293">
        <v>8</v>
      </c>
      <c r="J293">
        <v>8</v>
      </c>
      <c r="K293" s="2" t="s">
        <v>20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4">
        <v>140</v>
      </c>
      <c r="P293">
        <v>4250</v>
      </c>
      <c r="Q293">
        <v>121</v>
      </c>
      <c r="R293" s="31">
        <v>810</v>
      </c>
      <c r="S293" s="30">
        <f>IFERROR(PROPERTIES[[#This Row],[TE_STARTING_KN]]/(PROPERTIES[[#This Row],[WEIGHT]]*9.81),0)</f>
        <v>0.58977719528178241</v>
      </c>
      <c r="T293" s="30">
        <v>0.53</v>
      </c>
      <c r="U293" s="27">
        <f>ROUND(IF(IFERROR(PROPERTIES[[#This Row],[TE_COEFFICIENT_CALC]],0)=0,PROPERTIES[[#This Row],[TE_COEFFICIENT_MANUAL]],PROPERTIES[[#This Row],[TE_COEFFICIENT_CALC]]),3)</f>
        <v>0.59</v>
      </c>
      <c r="V293" s="6">
        <v>40</v>
      </c>
      <c r="W293" s="10">
        <v>0</v>
      </c>
      <c r="X293" s="10">
        <v>0</v>
      </c>
      <c r="Y293" s="10"/>
      <c r="Z293" t="str">
        <f>"RUNNING_COST_"&amp;IF(PROPERTIES[[#This Row],[ENGINE_CLASS]]="MAGLEV","ELECTRIC",PROPERTIES[[#This Row],[ENGINE_CLASS]])</f>
        <v>RUNNING_COST_DIESEL</v>
      </c>
      <c r="AA293" s="10" t="s">
        <v>1000</v>
      </c>
      <c r="AB293" s="10" t="s">
        <v>1001</v>
      </c>
      <c r="AC293" s="10" t="str">
        <f>SUBSTITUTE(SUBSTITUTE(PROPERTIES[[#This Row],[PURCHASECOST_VALUE]], "PURCHASECOST_", ""), "_VALUE", "")</f>
        <v>DIESELENGINE</v>
      </c>
      <c r="AD293" s="2" t="b">
        <v>0</v>
      </c>
      <c r="AV293"/>
      <c r="AW293"/>
      <c r="AX293"/>
    </row>
    <row r="294" spans="1:50">
      <c r="A294" s="2" t="s">
        <v>317</v>
      </c>
      <c r="B294">
        <v>2014</v>
      </c>
      <c r="C294">
        <v>0</v>
      </c>
      <c r="D294" t="s">
        <v>2043</v>
      </c>
      <c r="E294" t="str">
        <f>_xlfn.XLOOKUP(PROPERTIES[[#This Row],[COUNTRY]],COUNTRIES[COUNTRY_DESCRIPTION],COUNTRIES[COUNTRY_LABEL],"")</f>
        <v>ZA</v>
      </c>
      <c r="F294" t="s">
        <v>35</v>
      </c>
      <c r="G294" t="s">
        <v>20</v>
      </c>
      <c r="H294">
        <v>0</v>
      </c>
      <c r="I294">
        <v>8</v>
      </c>
      <c r="J294">
        <v>8</v>
      </c>
      <c r="K294" s="2" t="s">
        <v>20</v>
      </c>
      <c r="L294">
        <f>_xlfn.XLOOKUP("LOADINGSPEEDDEF_"&amp;PROPERTIES[[#This Row],[LOADINGSPEED]],LOADINGSPEEDDEF[TYPE],LOADINGSPEEDDEF[SPEED])</f>
        <v>0</v>
      </c>
      <c r="M294" t="s">
        <v>21</v>
      </c>
      <c r="N294">
        <v>1</v>
      </c>
      <c r="O294" s="34">
        <v>123</v>
      </c>
      <c r="P294">
        <v>4262</v>
      </c>
      <c r="Q294">
        <v>130</v>
      </c>
      <c r="R294" s="31">
        <v>0</v>
      </c>
      <c r="S294" s="30">
        <f>IFERROR(PROPERTIES[[#This Row],[TE_STARTING_KN]]/(PROPERTIES[[#This Row],[WEIGHT]]*9.81),0)</f>
        <v>0</v>
      </c>
      <c r="T294" s="30">
        <v>0.26</v>
      </c>
      <c r="U294" s="27">
        <f>ROUND(IF(IFERROR(PROPERTIES[[#This Row],[TE_COEFFICIENT_CALC]],0)=0,PROPERTIES[[#This Row],[TE_COEFFICIENT_MANUAL]],PROPERTIES[[#This Row],[TE_COEFFICIENT_CALC]]),3)</f>
        <v>0.26</v>
      </c>
      <c r="V294" s="6">
        <v>40</v>
      </c>
      <c r="W294" s="10">
        <v>0</v>
      </c>
      <c r="X294" s="10">
        <v>0</v>
      </c>
      <c r="Y294" s="10"/>
      <c r="Z294" t="str">
        <f>"RUNNING_COST_"&amp;IF(PROPERTIES[[#This Row],[ENGINE_CLASS]]="MAGLEV","ELECTRIC",PROPERTIES[[#This Row],[ENGINE_CLASS]])</f>
        <v>RUNNING_COST_DIESEL</v>
      </c>
      <c r="AA294" s="10" t="s">
        <v>1000</v>
      </c>
      <c r="AB294" s="10" t="s">
        <v>1001</v>
      </c>
      <c r="AC294" s="10" t="str">
        <f>SUBSTITUTE(SUBSTITUTE(PROPERTIES[[#This Row],[PURCHASECOST_VALUE]], "PURCHASECOST_", ""), "_VALUE", "")</f>
        <v>DIESELENGINE</v>
      </c>
      <c r="AD294" s="2" t="b">
        <v>0</v>
      </c>
      <c r="AV294"/>
      <c r="AW294"/>
      <c r="AX294"/>
    </row>
    <row r="295" spans="1:50">
      <c r="A295" s="2" t="s">
        <v>318</v>
      </c>
      <c r="B295">
        <v>1966</v>
      </c>
      <c r="C295">
        <v>0</v>
      </c>
      <c r="D295" t="s">
        <v>1865</v>
      </c>
      <c r="E295" t="str">
        <f>_xlfn.XLOOKUP(PROPERTIES[[#This Row],[COUNTRY]],COUNTRIES[COUNTRY_DESCRIPTION],COUNTRIES[COUNTRY_LABEL],"")</f>
        <v>ES</v>
      </c>
      <c r="F295" t="s">
        <v>35</v>
      </c>
      <c r="G295" t="s">
        <v>20</v>
      </c>
      <c r="H295">
        <v>0</v>
      </c>
      <c r="I295">
        <v>5</v>
      </c>
      <c r="J295">
        <v>5</v>
      </c>
      <c r="K295" s="2" t="s">
        <v>20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4">
        <v>64</v>
      </c>
      <c r="P295">
        <v>710</v>
      </c>
      <c r="Q295">
        <v>120</v>
      </c>
      <c r="R295" s="31">
        <v>126</v>
      </c>
      <c r="S295" s="30">
        <f>IFERROR(PROPERTIES[[#This Row],[TE_STARTING_KN]]/(PROPERTIES[[#This Row],[WEIGHT]]*9.81),0)</f>
        <v>0.2006880733944954</v>
      </c>
      <c r="T295" s="30">
        <v>0.2</v>
      </c>
      <c r="U295" s="27">
        <f>ROUND(IF(IFERROR(PROPERTIES[[#This Row],[TE_COEFFICIENT_CALC]],0)=0,PROPERTIES[[#This Row],[TE_COEFFICIENT_MANUAL]],PROPERTIES[[#This Row],[TE_COEFFICIENT_CALC]]),3)</f>
        <v>0.20100000000000001</v>
      </c>
      <c r="V295" s="6">
        <v>40</v>
      </c>
      <c r="W295" s="10">
        <v>0</v>
      </c>
      <c r="X295" s="10">
        <v>0</v>
      </c>
      <c r="Y295" s="10"/>
      <c r="Z295" t="str">
        <f>"RUNNING_COST_"&amp;IF(PROPERTIES[[#This Row],[ENGINE_CLASS]]="MAGLEV","ELECTRIC",PROPERTIES[[#This Row],[ENGINE_CLASS]])</f>
        <v>RUNNING_COST_DIESEL</v>
      </c>
      <c r="AA295" s="10" t="s">
        <v>1000</v>
      </c>
      <c r="AB295" s="10" t="s">
        <v>1001</v>
      </c>
      <c r="AC295" s="10" t="str">
        <f>SUBSTITUTE(SUBSTITUTE(PROPERTIES[[#This Row],[PURCHASECOST_VALUE]], "PURCHASECOST_", ""), "_VALUE", "")</f>
        <v>DIESELENGINE</v>
      </c>
      <c r="AD295" s="2" t="b">
        <v>0</v>
      </c>
      <c r="AV295"/>
      <c r="AW295"/>
      <c r="AX295"/>
    </row>
    <row r="296" spans="1:50">
      <c r="A296" s="2" t="s">
        <v>319</v>
      </c>
      <c r="B296">
        <v>2002</v>
      </c>
      <c r="C296">
        <v>0</v>
      </c>
      <c r="D296" t="s">
        <v>1810</v>
      </c>
      <c r="E296" t="str">
        <f>_xlfn.XLOOKUP(PROPERTIES[[#This Row],[COUNTRY]],COUNTRIES[COUNTRY_DESCRIPTION],COUNTRIES[COUNTRY_LABEL],"")</f>
        <v>AU</v>
      </c>
      <c r="F296" t="s">
        <v>35</v>
      </c>
      <c r="G296" t="s">
        <v>20</v>
      </c>
      <c r="H296">
        <v>0</v>
      </c>
      <c r="I296">
        <v>7</v>
      </c>
      <c r="J296">
        <v>7</v>
      </c>
      <c r="K296" s="2" t="s">
        <v>24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4">
        <v>124</v>
      </c>
      <c r="P296">
        <v>3300</v>
      </c>
      <c r="Q296">
        <v>115</v>
      </c>
      <c r="R296" s="31">
        <v>385</v>
      </c>
      <c r="S296" s="30">
        <f>IFERROR(PROPERTIES[[#This Row],[TE_STARTING_KN]]/(PROPERTIES[[#This Row],[WEIGHT]]*9.81),0)</f>
        <v>0.3164973200486666</v>
      </c>
      <c r="T296" s="30">
        <v>0.34</v>
      </c>
      <c r="U296" s="27">
        <f>ROUND(IF(IFERROR(PROPERTIES[[#This Row],[TE_COEFFICIENT_CALC]],0)=0,PROPERTIES[[#This Row],[TE_COEFFICIENT_MANUAL]],PROPERTIES[[#This Row],[TE_COEFFICIENT_CALC]]),3)</f>
        <v>0.316</v>
      </c>
      <c r="V296" s="6">
        <v>40</v>
      </c>
      <c r="W296" s="10">
        <v>0</v>
      </c>
      <c r="X296" s="10">
        <v>0</v>
      </c>
      <c r="Y296" s="10"/>
      <c r="Z296" t="str">
        <f>"RUNNING_COST_"&amp;IF(PROPERTIES[[#This Row],[ENGINE_CLASS]]="MAGLEV","ELECTRIC",PROPERTIES[[#This Row],[ENGINE_CLASS]])</f>
        <v>RUNNING_COST_DIESEL</v>
      </c>
      <c r="AA296" s="10" t="s">
        <v>1000</v>
      </c>
      <c r="AB296" s="10" t="s">
        <v>1001</v>
      </c>
      <c r="AC296" s="10" t="str">
        <f>SUBSTITUTE(SUBSTITUTE(PROPERTIES[[#This Row],[PURCHASECOST_VALUE]], "PURCHASECOST_", ""), "_VALUE", "")</f>
        <v>DIESELENGINE</v>
      </c>
      <c r="AD296" s="2" t="b">
        <v>0</v>
      </c>
      <c r="AV296"/>
      <c r="AW296"/>
      <c r="AX296"/>
    </row>
    <row r="297" spans="1:50">
      <c r="A297" s="2" t="s">
        <v>320</v>
      </c>
      <c r="B297">
        <v>2006</v>
      </c>
      <c r="C297">
        <v>0</v>
      </c>
      <c r="D297" t="s">
        <v>1963</v>
      </c>
      <c r="E297" t="str">
        <f>_xlfn.XLOOKUP(PROPERTIES[[#This Row],[COUNTRY]],COUNTRIES[COUNTRY_DESCRIPTION],COUNTRIES[COUNTRY_LABEL],"")</f>
        <v>NO</v>
      </c>
      <c r="F297" t="s">
        <v>35</v>
      </c>
      <c r="G297" t="s">
        <v>20</v>
      </c>
      <c r="H297">
        <v>0</v>
      </c>
      <c r="I297">
        <v>8</v>
      </c>
      <c r="J297">
        <v>8</v>
      </c>
      <c r="K297" s="2" t="s">
        <v>20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4">
        <v>123</v>
      </c>
      <c r="P297">
        <v>4262</v>
      </c>
      <c r="Q297">
        <v>120</v>
      </c>
      <c r="R297" s="31">
        <v>400</v>
      </c>
      <c r="S297" s="30">
        <f>IFERROR(PROPERTIES[[#This Row],[TE_STARTING_KN]]/(PROPERTIES[[#This Row],[WEIGHT]]*9.81),0)</f>
        <v>0.33150178596587188</v>
      </c>
      <c r="T297" s="30">
        <v>0.33</v>
      </c>
      <c r="U297" s="27">
        <f>ROUND(IF(IFERROR(PROPERTIES[[#This Row],[TE_COEFFICIENT_CALC]],0)=0,PROPERTIES[[#This Row],[TE_COEFFICIENT_MANUAL]],PROPERTIES[[#This Row],[TE_COEFFICIENT_CALC]]),3)</f>
        <v>0.33200000000000002</v>
      </c>
      <c r="V297" s="6">
        <v>40</v>
      </c>
      <c r="W297" s="10">
        <v>0</v>
      </c>
      <c r="X297" s="10">
        <v>0</v>
      </c>
      <c r="Y297" s="10"/>
      <c r="Z297" t="str">
        <f>"RUNNING_COST_"&amp;IF(PROPERTIES[[#This Row],[ENGINE_CLASS]]="MAGLEV","ELECTRIC",PROPERTIES[[#This Row],[ENGINE_CLASS]])</f>
        <v>RUNNING_COST_DIESEL</v>
      </c>
      <c r="AA297" s="10" t="s">
        <v>1000</v>
      </c>
      <c r="AB297" s="10" t="s">
        <v>1001</v>
      </c>
      <c r="AC297" s="10" t="str">
        <f>SUBSTITUTE(SUBSTITUTE(PROPERTIES[[#This Row],[PURCHASECOST_VALUE]], "PURCHASECOST_", ""), "_VALUE", "")</f>
        <v>DIESELENGINE</v>
      </c>
      <c r="AD297" s="2" t="b">
        <v>0</v>
      </c>
      <c r="AV297"/>
      <c r="AW297"/>
      <c r="AX297"/>
    </row>
    <row r="298" spans="1:50">
      <c r="A298" s="2" t="s">
        <v>321</v>
      </c>
      <c r="B298">
        <v>2008</v>
      </c>
      <c r="C298">
        <v>0</v>
      </c>
      <c r="D298" t="s">
        <v>1810</v>
      </c>
      <c r="E298" t="str">
        <f>_xlfn.XLOOKUP(PROPERTIES[[#This Row],[COUNTRY]],COUNTRIES[COUNTRY_DESCRIPTION],COUNTRIES[COUNTRY_LABEL],"")</f>
        <v>AU</v>
      </c>
      <c r="F298" t="s">
        <v>35</v>
      </c>
      <c r="G298" t="s">
        <v>20</v>
      </c>
      <c r="H298">
        <v>0</v>
      </c>
      <c r="I298">
        <v>8</v>
      </c>
      <c r="J298">
        <v>8</v>
      </c>
      <c r="K298" s="2" t="s">
        <v>24</v>
      </c>
      <c r="L298">
        <f>_xlfn.XLOOKUP("LOADINGSPEEDDEF_"&amp;PROPERTIES[[#This Row],[LOADINGSPEED]],LOADINGSPEEDDEF[TYPE],LOADINGSPEEDDEF[SPEED])</f>
        <v>40</v>
      </c>
      <c r="M298" t="s">
        <v>21</v>
      </c>
      <c r="N298">
        <v>1</v>
      </c>
      <c r="O298" s="34">
        <v>140</v>
      </c>
      <c r="P298">
        <v>4520</v>
      </c>
      <c r="Q298">
        <v>115</v>
      </c>
      <c r="R298" s="31">
        <v>535</v>
      </c>
      <c r="S298" s="30">
        <f>IFERROR(PROPERTIES[[#This Row],[TE_STARTING_KN]]/(PROPERTIES[[#This Row],[WEIGHT]]*9.81),0)</f>
        <v>0.38954419688364639</v>
      </c>
      <c r="T298" s="30">
        <v>0.38</v>
      </c>
      <c r="U298" s="27">
        <f>ROUND(IF(IFERROR(PROPERTIES[[#This Row],[TE_COEFFICIENT_CALC]],0)=0,PROPERTIES[[#This Row],[TE_COEFFICIENT_MANUAL]],PROPERTIES[[#This Row],[TE_COEFFICIENT_CALC]]),3)</f>
        <v>0.39</v>
      </c>
      <c r="V298" s="6">
        <v>40</v>
      </c>
      <c r="W298" s="10">
        <v>0</v>
      </c>
      <c r="X298" s="10">
        <v>0</v>
      </c>
      <c r="Y298" s="10"/>
      <c r="Z298" t="str">
        <f>"RUNNING_COST_"&amp;IF(PROPERTIES[[#This Row],[ENGINE_CLASS]]="MAGLEV","ELECTRIC",PROPERTIES[[#This Row],[ENGINE_CLASS]])</f>
        <v>RUNNING_COST_DIESEL</v>
      </c>
      <c r="AA298" s="10" t="s">
        <v>1000</v>
      </c>
      <c r="AB298" s="10" t="s">
        <v>1001</v>
      </c>
      <c r="AC298" s="10" t="str">
        <f>SUBSTITUTE(SUBSTITUTE(PROPERTIES[[#This Row],[PURCHASECOST_VALUE]], "PURCHASECOST_", ""), "_VALUE", "")</f>
        <v>DIESELENGINE</v>
      </c>
      <c r="AD298" s="2" t="b">
        <v>0</v>
      </c>
      <c r="AV298"/>
      <c r="AW298"/>
      <c r="AX298"/>
    </row>
    <row r="299" spans="1:50">
      <c r="A299" s="2" t="s">
        <v>322</v>
      </c>
      <c r="B299">
        <v>2014</v>
      </c>
      <c r="C299">
        <v>0</v>
      </c>
      <c r="D299" t="s">
        <v>1873</v>
      </c>
      <c r="E299" t="str">
        <f>_xlfn.XLOOKUP(PROPERTIES[[#This Row],[COUNTRY]],COUNTRIES[COUNTRY_DESCRIPTION],COUNTRIES[COUNTRY_LABEL],"")</f>
        <v>GB</v>
      </c>
      <c r="F299" t="s">
        <v>35</v>
      </c>
      <c r="G299" t="s">
        <v>20</v>
      </c>
      <c r="H299">
        <v>0</v>
      </c>
      <c r="I299">
        <v>8</v>
      </c>
      <c r="J299">
        <v>8</v>
      </c>
      <c r="K299" s="2" t="s">
        <v>20</v>
      </c>
      <c r="L299">
        <f>_xlfn.XLOOKUP("LOADINGSPEEDDEF_"&amp;PROPERTIES[[#This Row],[LOADINGSPEED]],LOADINGSPEEDDEF[TYPE],LOADINGSPEEDDEF[SPEED])</f>
        <v>0</v>
      </c>
      <c r="M299" t="s">
        <v>21</v>
      </c>
      <c r="N299">
        <v>1</v>
      </c>
      <c r="O299" s="34">
        <v>85</v>
      </c>
      <c r="P299">
        <v>3800</v>
      </c>
      <c r="Q299">
        <v>160</v>
      </c>
      <c r="R299" s="31">
        <v>317</v>
      </c>
      <c r="S299" s="30">
        <f>IFERROR(PROPERTIES[[#This Row],[TE_STARTING_KN]]/(PROPERTIES[[#This Row],[WEIGHT]]*9.81),0)</f>
        <v>0.38016429813515618</v>
      </c>
      <c r="T299" s="30">
        <v>0.37</v>
      </c>
      <c r="U299" s="27">
        <f>ROUND(IF(IFERROR(PROPERTIES[[#This Row],[TE_COEFFICIENT_CALC]],0)=0,PROPERTIES[[#This Row],[TE_COEFFICIENT_MANUAL]],PROPERTIES[[#This Row],[TE_COEFFICIENT_CALC]]),3)</f>
        <v>0.38</v>
      </c>
      <c r="V299" s="6">
        <v>40</v>
      </c>
      <c r="W299" s="10">
        <v>0</v>
      </c>
      <c r="X299" s="10">
        <v>0</v>
      </c>
      <c r="Y299" s="10"/>
      <c r="Z299" t="str">
        <f>"RUNNING_COST_"&amp;IF(PROPERTIES[[#This Row],[ENGINE_CLASS]]="MAGLEV","ELECTRIC",PROPERTIES[[#This Row],[ENGINE_CLASS]])</f>
        <v>RUNNING_COST_DIESEL</v>
      </c>
      <c r="AA299" s="10" t="s">
        <v>1000</v>
      </c>
      <c r="AB299" s="10" t="s">
        <v>1001</v>
      </c>
      <c r="AC299" s="10" t="str">
        <f>SUBSTITUTE(SUBSTITUTE(PROPERTIES[[#This Row],[PURCHASECOST_VALUE]], "PURCHASECOST_", ""), "_VALUE", "")</f>
        <v>DIESELENGINE</v>
      </c>
      <c r="AD299" s="2" t="b">
        <v>0</v>
      </c>
      <c r="AV299"/>
      <c r="AW299"/>
      <c r="AX299"/>
    </row>
    <row r="300" spans="1:50">
      <c r="A300" s="2" t="s">
        <v>323</v>
      </c>
      <c r="B300">
        <v>2015</v>
      </c>
      <c r="C300">
        <v>0</v>
      </c>
      <c r="D300" t="s">
        <v>2029</v>
      </c>
      <c r="E300" t="str">
        <f>_xlfn.XLOOKUP(PROPERTIES[[#This Row],[COUNTRY]],COUNTRIES[COUNTRY_DESCRIPTION],COUNTRIES[COUNTRY_LABEL],"")</f>
        <v>US</v>
      </c>
      <c r="F300" t="s">
        <v>35</v>
      </c>
      <c r="G300" t="s">
        <v>20</v>
      </c>
      <c r="H300">
        <v>0</v>
      </c>
      <c r="I300">
        <v>8</v>
      </c>
      <c r="J300">
        <v>8</v>
      </c>
      <c r="K300" s="2" t="s">
        <v>20</v>
      </c>
      <c r="L300">
        <f>_xlfn.XLOOKUP("LOADINGSPEEDDEF_"&amp;PROPERTIES[[#This Row],[LOADINGSPEED]],LOADINGSPEEDDEF[TYPE],LOADINGSPEEDDEF[SPEED])</f>
        <v>0</v>
      </c>
      <c r="M300" t="s">
        <v>21</v>
      </c>
      <c r="N300">
        <v>1</v>
      </c>
      <c r="O300" s="34">
        <v>120</v>
      </c>
      <c r="P300">
        <v>4200</v>
      </c>
      <c r="Q300">
        <v>201</v>
      </c>
      <c r="R300" s="31">
        <v>290</v>
      </c>
      <c r="S300" s="30">
        <f>IFERROR(PROPERTIES[[#This Row],[TE_STARTING_KN]]/(PROPERTIES[[#This Row],[WEIGHT]]*9.81),0)</f>
        <v>0.24634726469588855</v>
      </c>
      <c r="T300" s="30">
        <v>0.24</v>
      </c>
      <c r="U300" s="27">
        <f>ROUND(IF(IFERROR(PROPERTIES[[#This Row],[TE_COEFFICIENT_CALC]],0)=0,PROPERTIES[[#This Row],[TE_COEFFICIENT_MANUAL]],PROPERTIES[[#This Row],[TE_COEFFICIENT_CALC]]),3)</f>
        <v>0.246</v>
      </c>
      <c r="V300" s="6">
        <v>40</v>
      </c>
      <c r="W300" s="10">
        <v>0</v>
      </c>
      <c r="X300" s="10">
        <v>0</v>
      </c>
      <c r="Y300" s="10"/>
      <c r="Z300" t="str">
        <f>"RUNNING_COST_"&amp;IF(PROPERTIES[[#This Row],[ENGINE_CLASS]]="MAGLEV","ELECTRIC",PROPERTIES[[#This Row],[ENGINE_CLASS]])</f>
        <v>RUNNING_COST_DIESEL</v>
      </c>
      <c r="AA300" s="10" t="s">
        <v>1000</v>
      </c>
      <c r="AB300" s="10" t="s">
        <v>1001</v>
      </c>
      <c r="AC300" s="10" t="str">
        <f>SUBSTITUTE(SUBSTITUTE(PROPERTIES[[#This Row],[PURCHASECOST_VALUE]], "PURCHASECOST_", ""), "_VALUE", "")</f>
        <v>DIESELENGINE</v>
      </c>
      <c r="AD300" s="2" t="b">
        <v>0</v>
      </c>
      <c r="AV300"/>
      <c r="AW300"/>
      <c r="AX300"/>
    </row>
    <row r="301" spans="1:50">
      <c r="A301" s="2" t="s">
        <v>324</v>
      </c>
      <c r="B301">
        <v>1911</v>
      </c>
      <c r="C301">
        <v>1</v>
      </c>
      <c r="D301" t="s">
        <v>1807</v>
      </c>
      <c r="E301" t="str">
        <f>_xlfn.XLOOKUP(PROPERTIES[[#This Row],[COUNTRY]],COUNTRIES[COUNTRY_DESCRIPTION],COUNTRIES[COUNTRY_LABEL],"")</f>
        <v>AR</v>
      </c>
      <c r="F301" t="s">
        <v>19</v>
      </c>
      <c r="G301" t="s">
        <v>325</v>
      </c>
      <c r="H301">
        <v>84</v>
      </c>
      <c r="I301">
        <v>7</v>
      </c>
      <c r="J301">
        <v>7</v>
      </c>
      <c r="K301" s="2" t="s">
        <v>326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4">
        <v>13.5</v>
      </c>
      <c r="P301">
        <v>310</v>
      </c>
      <c r="Q301">
        <v>50</v>
      </c>
      <c r="R301" s="31">
        <v>0</v>
      </c>
      <c r="S301" s="30">
        <f>IFERROR(PROPERTIES[[#This Row],[TE_STARTING_KN]]/(PROPERTIES[[#This Row],[WEIGHT]]*9.81),0)</f>
        <v>0</v>
      </c>
      <c r="T301" s="30">
        <v>0.2</v>
      </c>
      <c r="U301" s="27">
        <f>ROUND(IF(IFERROR(PROPERTIES[[#This Row],[TE_COEFFICIENT_CALC]],0)=0,PROPERTIES[[#This Row],[TE_COEFFICIENT_MANUAL]],PROPERTIES[[#This Row],[TE_COEFFICIENT_CALC]]),3)</f>
        <v>0.2</v>
      </c>
      <c r="V301" s="6">
        <v>60</v>
      </c>
      <c r="W301" s="10">
        <v>142</v>
      </c>
      <c r="X301" s="10">
        <v>7</v>
      </c>
      <c r="Y301" s="10"/>
      <c r="Z301" t="str">
        <f>"RUNNING_COST_"&amp;IF(PROPERTIES[[#This Row],[ENGINE_CLASS]]="MAGLEV","ELECTRIC",PROPERTIES[[#This Row],[ENGINE_CLASS]])</f>
        <v>RUNNING_COST_ELECTRIC</v>
      </c>
      <c r="AA301" s="10" t="s">
        <v>1002</v>
      </c>
      <c r="AB301" s="10" t="s">
        <v>1003</v>
      </c>
      <c r="AC301" s="10" t="str">
        <f>SUBSTITUTE(SUBSTITUTE(PROPERTIES[[#This Row],[PURCHASECOST_VALUE]], "PURCHASECOST_", ""), "_VALUE", "")</f>
        <v>METRO</v>
      </c>
      <c r="AD301" s="2" t="b">
        <v>0</v>
      </c>
      <c r="AV301"/>
      <c r="AW301"/>
      <c r="AX301"/>
    </row>
    <row r="302" spans="1:50">
      <c r="A302" s="2" t="s">
        <v>327</v>
      </c>
      <c r="B302">
        <v>1930</v>
      </c>
      <c r="C302">
        <v>1</v>
      </c>
      <c r="D302" t="s">
        <v>2029</v>
      </c>
      <c r="E302" t="str">
        <f>_xlfn.XLOOKUP(PROPERTIES[[#This Row],[COUNTRY]],COUNTRIES[COUNTRY_DESCRIPTION],COUNTRIES[COUNTRY_LABEL],"")</f>
        <v>US</v>
      </c>
      <c r="F302" t="s">
        <v>19</v>
      </c>
      <c r="G302" t="s">
        <v>325</v>
      </c>
      <c r="H302">
        <v>105</v>
      </c>
      <c r="I302">
        <v>8</v>
      </c>
      <c r="J302">
        <v>8</v>
      </c>
      <c r="K302" s="2" t="s">
        <v>326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4">
        <v>42</v>
      </c>
      <c r="P302">
        <v>760</v>
      </c>
      <c r="Q302">
        <v>90</v>
      </c>
      <c r="R302" s="31">
        <v>0</v>
      </c>
      <c r="S302" s="30">
        <f>IFERROR(PROPERTIES[[#This Row],[TE_STARTING_KN]]/(PROPERTIES[[#This Row],[WEIGHT]]*9.81),0)</f>
        <v>0</v>
      </c>
      <c r="T302" s="30">
        <v>0.24</v>
      </c>
      <c r="U302" s="27">
        <f>ROUND(IF(IFERROR(PROPERTIES[[#This Row],[TE_COEFFICIENT_CALC]],0)=0,PROPERTIES[[#This Row],[TE_COEFFICIENT_MANUAL]],PROPERTIES[[#This Row],[TE_COEFFICIENT_CALC]]),3)</f>
        <v>0.24</v>
      </c>
      <c r="V302" s="6">
        <v>60</v>
      </c>
      <c r="W302" s="10">
        <v>156</v>
      </c>
      <c r="X302" s="10">
        <v>8</v>
      </c>
      <c r="Y302" s="10"/>
      <c r="Z302" t="str">
        <f>"RUNNING_COST_"&amp;IF(PROPERTIES[[#This Row],[ENGINE_CLASS]]="MAGLEV","ELECTRIC",PROPERTIES[[#This Row],[ENGINE_CLASS]])</f>
        <v>RUNNING_COST_ELECTRIC</v>
      </c>
      <c r="AA302" s="10" t="s">
        <v>1002</v>
      </c>
      <c r="AB302" s="10" t="s">
        <v>1003</v>
      </c>
      <c r="AC302" s="10" t="str">
        <f>SUBSTITUTE(SUBSTITUTE(PROPERTIES[[#This Row],[PURCHASECOST_VALUE]], "PURCHASECOST_", ""), "_VALUE", "")</f>
        <v>METRO</v>
      </c>
      <c r="AD302" s="2" t="b">
        <v>0</v>
      </c>
      <c r="AV302"/>
      <c r="AW302"/>
      <c r="AX302"/>
    </row>
    <row r="303" spans="1:50">
      <c r="A303" s="2" t="s">
        <v>328</v>
      </c>
      <c r="B303">
        <v>1942</v>
      </c>
      <c r="C303">
        <v>1</v>
      </c>
      <c r="D303" t="s">
        <v>1854</v>
      </c>
      <c r="E303" t="str">
        <f>_xlfn.XLOOKUP(PROPERTIES[[#This Row],[COUNTRY]],COUNTRIES[COUNTRY_DESCRIPTION],COUNTRIES[COUNTRY_LABEL],"")</f>
        <v>DE</v>
      </c>
      <c r="F303" t="s">
        <v>19</v>
      </c>
      <c r="G303" t="s">
        <v>325</v>
      </c>
      <c r="H303">
        <v>95</v>
      </c>
      <c r="I303">
        <v>8</v>
      </c>
      <c r="J303">
        <v>8</v>
      </c>
      <c r="K303" s="2" t="s">
        <v>326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4">
        <v>48</v>
      </c>
      <c r="P303">
        <v>800</v>
      </c>
      <c r="Q303">
        <v>80</v>
      </c>
      <c r="R303" s="31">
        <v>0</v>
      </c>
      <c r="S303" s="30">
        <f>IFERROR(PROPERTIES[[#This Row],[TE_STARTING_KN]]/(PROPERTIES[[#This Row],[WEIGHT]]*9.81),0)</f>
        <v>0</v>
      </c>
      <c r="T303" s="30">
        <v>0.22</v>
      </c>
      <c r="U303" s="27">
        <f>ROUND(IF(IFERROR(PROPERTIES[[#This Row],[TE_COEFFICIENT_CALC]],0)=0,PROPERTIES[[#This Row],[TE_COEFFICIENT_MANUAL]],PROPERTIES[[#This Row],[TE_COEFFICIENT_CALC]]),3)</f>
        <v>0.22</v>
      </c>
      <c r="V303" s="6">
        <v>60</v>
      </c>
      <c r="W303" s="10">
        <v>160</v>
      </c>
      <c r="X303" s="10">
        <v>8</v>
      </c>
      <c r="Y303" s="10"/>
      <c r="Z303" t="str">
        <f>"RUNNING_COST_"&amp;IF(PROPERTIES[[#This Row],[ENGINE_CLASS]]="MAGLEV","ELECTRIC",PROPERTIES[[#This Row],[ENGINE_CLASS]])</f>
        <v>RUNNING_COST_ELECTRIC</v>
      </c>
      <c r="AA303" s="10" t="s">
        <v>1002</v>
      </c>
      <c r="AB303" s="10" t="s">
        <v>1003</v>
      </c>
      <c r="AC303" s="10" t="str">
        <f>SUBSTITUTE(SUBSTITUTE(PROPERTIES[[#This Row],[PURCHASECOST_VALUE]], "PURCHASECOST_", ""), "_VALUE", "")</f>
        <v>METRO</v>
      </c>
      <c r="AD303" s="2" t="b">
        <v>0</v>
      </c>
      <c r="AV303"/>
      <c r="AW303"/>
      <c r="AX303"/>
    </row>
    <row r="304" spans="1:50">
      <c r="A304" s="2" t="s">
        <v>329</v>
      </c>
      <c r="B304">
        <v>1957</v>
      </c>
      <c r="C304">
        <v>1</v>
      </c>
      <c r="D304" t="s">
        <v>1872</v>
      </c>
      <c r="E304" t="str">
        <f>_xlfn.XLOOKUP(PROPERTIES[[#This Row],[COUNTRY]],COUNTRIES[COUNTRY_DESCRIPTION],COUNTRIES[COUNTRY_LABEL],"")</f>
        <v>FR</v>
      </c>
      <c r="F304" t="s">
        <v>19</v>
      </c>
      <c r="G304" t="s">
        <v>325</v>
      </c>
      <c r="H304">
        <v>65</v>
      </c>
      <c r="I304">
        <v>7</v>
      </c>
      <c r="J304">
        <v>7</v>
      </c>
      <c r="K304" s="2" t="s">
        <v>326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4">
        <v>10</v>
      </c>
      <c r="P304">
        <v>140</v>
      </c>
      <c r="Q304">
        <v>45</v>
      </c>
      <c r="R304" s="31">
        <v>0</v>
      </c>
      <c r="S304" s="30">
        <f>IFERROR(PROPERTIES[[#This Row],[TE_STARTING_KN]]/(PROPERTIES[[#This Row],[WEIGHT]]*9.81),0)</f>
        <v>0</v>
      </c>
      <c r="T304" s="30">
        <v>0.18</v>
      </c>
      <c r="U304" s="27">
        <f>ROUND(IF(IFERROR(PROPERTIES[[#This Row],[TE_COEFFICIENT_CALC]],0)=0,PROPERTIES[[#This Row],[TE_COEFFICIENT_MANUAL]],PROPERTIES[[#This Row],[TE_COEFFICIENT_CALC]]),3)</f>
        <v>0.18</v>
      </c>
      <c r="V304" s="6">
        <v>60</v>
      </c>
      <c r="W304" s="10">
        <v>140</v>
      </c>
      <c r="X304" s="10">
        <v>7</v>
      </c>
      <c r="Y304" s="10"/>
      <c r="Z304" t="str">
        <f>"RUNNING_COST_"&amp;IF(PROPERTIES[[#This Row],[ENGINE_CLASS]]="MAGLEV","ELECTRIC",PROPERTIES[[#This Row],[ENGINE_CLASS]])</f>
        <v>RUNNING_COST_ELECTRIC</v>
      </c>
      <c r="AA304" s="10" t="s">
        <v>1002</v>
      </c>
      <c r="AB304" s="10" t="s">
        <v>1003</v>
      </c>
      <c r="AC304" s="10" t="str">
        <f>SUBSTITUTE(SUBSTITUTE(PROPERTIES[[#This Row],[PURCHASECOST_VALUE]], "PURCHASECOST_", ""), "_VALUE", "")</f>
        <v>METRO</v>
      </c>
      <c r="AD304" s="2" t="b">
        <v>0</v>
      </c>
      <c r="AV304"/>
      <c r="AW304"/>
      <c r="AX304"/>
    </row>
    <row r="305" spans="1:50">
      <c r="A305" s="2" t="s">
        <v>330</v>
      </c>
      <c r="B305">
        <v>1959</v>
      </c>
      <c r="C305">
        <v>1</v>
      </c>
      <c r="D305" t="s">
        <v>1980</v>
      </c>
      <c r="E305" t="str">
        <f>_xlfn.XLOOKUP(PROPERTIES[[#This Row],[COUNTRY]],COUNTRIES[COUNTRY_DESCRIPTION],COUNTRIES[COUNTRY_LABEL],"")</f>
        <v>PT</v>
      </c>
      <c r="F305" t="s">
        <v>19</v>
      </c>
      <c r="G305" t="s">
        <v>325</v>
      </c>
      <c r="H305">
        <v>85</v>
      </c>
      <c r="I305">
        <v>8</v>
      </c>
      <c r="J305">
        <v>8</v>
      </c>
      <c r="K305" s="2" t="s">
        <v>326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4">
        <v>19</v>
      </c>
      <c r="P305">
        <v>430</v>
      </c>
      <c r="Q305">
        <v>60</v>
      </c>
      <c r="R305" s="31">
        <v>0</v>
      </c>
      <c r="S305" s="30">
        <f>IFERROR(PROPERTIES[[#This Row],[TE_STARTING_KN]]/(PROPERTIES[[#This Row],[WEIGHT]]*9.81),0)</f>
        <v>0</v>
      </c>
      <c r="T305" s="30">
        <v>0.24</v>
      </c>
      <c r="U305" s="27">
        <f>ROUND(IF(IFERROR(PROPERTIES[[#This Row],[TE_COEFFICIENT_CALC]],0)=0,PROPERTIES[[#This Row],[TE_COEFFICIENT_MANUAL]],PROPERTIES[[#This Row],[TE_COEFFICIENT_CALC]]),3)</f>
        <v>0.24</v>
      </c>
      <c r="V305" s="6">
        <v>60</v>
      </c>
      <c r="W305" s="10">
        <v>160</v>
      </c>
      <c r="X305" s="10">
        <v>8</v>
      </c>
      <c r="Y305" s="10"/>
      <c r="Z305" t="str">
        <f>"RUNNING_COST_"&amp;IF(PROPERTIES[[#This Row],[ENGINE_CLASS]]="MAGLEV","ELECTRIC",PROPERTIES[[#This Row],[ENGINE_CLASS]])</f>
        <v>RUNNING_COST_ELECTRIC</v>
      </c>
      <c r="AA305" s="10" t="s">
        <v>1002</v>
      </c>
      <c r="AB305" s="10" t="s">
        <v>1003</v>
      </c>
      <c r="AC305" s="10" t="str">
        <f>SUBSTITUTE(SUBSTITUTE(PROPERTIES[[#This Row],[PURCHASECOST_VALUE]], "PURCHASECOST_", ""), "_VALUE", "")</f>
        <v>METRO</v>
      </c>
      <c r="AD305" s="2" t="b">
        <v>0</v>
      </c>
      <c r="AV305"/>
      <c r="AW305"/>
      <c r="AX305"/>
    </row>
    <row r="306" spans="1:50">
      <c r="A306" s="2" t="s">
        <v>331</v>
      </c>
      <c r="B306">
        <v>1975</v>
      </c>
      <c r="C306">
        <v>1</v>
      </c>
      <c r="D306" t="s">
        <v>1896</v>
      </c>
      <c r="E306" t="str">
        <f>_xlfn.XLOOKUP(PROPERTIES[[#This Row],[COUNTRY]],COUNTRIES[COUNTRY_DESCRIPTION],COUNTRIES[COUNTRY_LABEL],"")</f>
        <v>HU</v>
      </c>
      <c r="F306" t="s">
        <v>19</v>
      </c>
      <c r="G306" t="s">
        <v>325</v>
      </c>
      <c r="H306">
        <v>132</v>
      </c>
      <c r="I306">
        <v>8</v>
      </c>
      <c r="J306">
        <v>8</v>
      </c>
      <c r="K306" s="2" t="s">
        <v>326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4">
        <v>32.5</v>
      </c>
      <c r="P306">
        <v>770</v>
      </c>
      <c r="Q306">
        <v>90</v>
      </c>
      <c r="R306" s="31">
        <v>0</v>
      </c>
      <c r="S306" s="30">
        <f>IFERROR(PROPERTIES[[#This Row],[TE_STARTING_KN]]/(PROPERTIES[[#This Row],[WEIGHT]]*9.81),0)</f>
        <v>0</v>
      </c>
      <c r="T306" s="30">
        <v>0.25</v>
      </c>
      <c r="U306" s="27">
        <f>ROUND(IF(IFERROR(PROPERTIES[[#This Row],[TE_COEFFICIENT_CALC]],0)=0,PROPERTIES[[#This Row],[TE_COEFFICIENT_MANUAL]],PROPERTIES[[#This Row],[TE_COEFFICIENT_CALC]]),3)</f>
        <v>0.25</v>
      </c>
      <c r="V306" s="6">
        <v>60</v>
      </c>
      <c r="W306" s="10">
        <v>150</v>
      </c>
      <c r="X306" s="10">
        <v>8</v>
      </c>
      <c r="Y306" s="10"/>
      <c r="Z306" t="str">
        <f>"RUNNING_COST_"&amp;IF(PROPERTIES[[#This Row],[ENGINE_CLASS]]="MAGLEV","ELECTRIC",PROPERTIES[[#This Row],[ENGINE_CLASS]])</f>
        <v>RUNNING_COST_ELECTRIC</v>
      </c>
      <c r="AA306" s="10" t="s">
        <v>1002</v>
      </c>
      <c r="AB306" s="10" t="s">
        <v>1003</v>
      </c>
      <c r="AC306" s="10" t="str">
        <f>SUBSTITUTE(SUBSTITUTE(PROPERTIES[[#This Row],[PURCHASECOST_VALUE]], "PURCHASECOST_", ""), "_VALUE", "")</f>
        <v>METRO</v>
      </c>
      <c r="AD306" s="2" t="b">
        <v>0</v>
      </c>
      <c r="AV306"/>
      <c r="AW306"/>
      <c r="AX306"/>
    </row>
    <row r="307" spans="1:50">
      <c r="A307" s="2" t="s">
        <v>332</v>
      </c>
      <c r="B307">
        <v>1964</v>
      </c>
      <c r="C307">
        <v>1</v>
      </c>
      <c r="D307" t="s">
        <v>1963</v>
      </c>
      <c r="E307" t="str">
        <f>_xlfn.XLOOKUP(PROPERTIES[[#This Row],[COUNTRY]],COUNTRIES[COUNTRY_DESCRIPTION],COUNTRIES[COUNTRY_LABEL],"")</f>
        <v>NO</v>
      </c>
      <c r="F307" t="s">
        <v>19</v>
      </c>
      <c r="G307" t="s">
        <v>325</v>
      </c>
      <c r="H307">
        <v>135</v>
      </c>
      <c r="I307">
        <v>7</v>
      </c>
      <c r="J307">
        <v>7</v>
      </c>
      <c r="K307" s="2" t="s">
        <v>326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4">
        <v>29.7</v>
      </c>
      <c r="P307">
        <v>1050</v>
      </c>
      <c r="Q307">
        <v>70</v>
      </c>
      <c r="R307" s="31">
        <v>0</v>
      </c>
      <c r="S307" s="30">
        <f>IFERROR(PROPERTIES[[#This Row],[TE_STARTING_KN]]/(PROPERTIES[[#This Row],[WEIGHT]]*9.81),0)</f>
        <v>0</v>
      </c>
      <c r="T307" s="30">
        <v>0.25</v>
      </c>
      <c r="U307" s="27">
        <f>ROUND(IF(IFERROR(PROPERTIES[[#This Row],[TE_COEFFICIENT_CALC]],0)=0,PROPERTIES[[#This Row],[TE_COEFFICIENT_MANUAL]],PROPERTIES[[#This Row],[TE_COEFFICIENT_CALC]]),3)</f>
        <v>0.25</v>
      </c>
      <c r="V307" s="6">
        <v>60</v>
      </c>
      <c r="W307" s="10">
        <v>180</v>
      </c>
      <c r="X307" s="10">
        <v>7</v>
      </c>
      <c r="Y307" s="10"/>
      <c r="Z307" t="str">
        <f>"RUNNING_COST_"&amp;IF(PROPERTIES[[#This Row],[ENGINE_CLASS]]="MAGLEV","ELECTRIC",PROPERTIES[[#This Row],[ENGINE_CLASS]])</f>
        <v>RUNNING_COST_ELECTRIC</v>
      </c>
      <c r="AA307" s="10" t="s">
        <v>1002</v>
      </c>
      <c r="AB307" s="10" t="s">
        <v>1003</v>
      </c>
      <c r="AC307" s="10" t="str">
        <f>SUBSTITUTE(SUBSTITUTE(PROPERTIES[[#This Row],[PURCHASECOST_VALUE]], "PURCHASECOST_", ""), "_VALUE", "")</f>
        <v>METRO</v>
      </c>
      <c r="AD307" s="2" t="b">
        <v>0</v>
      </c>
      <c r="AV307"/>
      <c r="AW307"/>
      <c r="AX307"/>
    </row>
    <row r="308" spans="1:50">
      <c r="A308" s="2" t="s">
        <v>333</v>
      </c>
      <c r="B308">
        <v>1965</v>
      </c>
      <c r="C308">
        <v>1</v>
      </c>
      <c r="D308" t="s">
        <v>1835</v>
      </c>
      <c r="E308" t="str">
        <f>_xlfn.XLOOKUP(PROPERTIES[[#This Row],[COUNTRY]],COUNTRIES[COUNTRY_DESCRIPTION],COUNTRIES[COUNTRY_LABEL],"")</f>
        <v>CA</v>
      </c>
      <c r="F308" t="s">
        <v>19</v>
      </c>
      <c r="G308" t="s">
        <v>325</v>
      </c>
      <c r="H308">
        <v>150</v>
      </c>
      <c r="I308">
        <v>8</v>
      </c>
      <c r="J308">
        <v>8</v>
      </c>
      <c r="K308" s="2" t="s">
        <v>326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4">
        <v>27.5</v>
      </c>
      <c r="P308">
        <v>960</v>
      </c>
      <c r="Q308">
        <v>80</v>
      </c>
      <c r="R308" s="31">
        <v>0</v>
      </c>
      <c r="S308" s="30">
        <f>IFERROR(PROPERTIES[[#This Row],[TE_STARTING_KN]]/(PROPERTIES[[#This Row],[WEIGHT]]*9.81),0)</f>
        <v>0</v>
      </c>
      <c r="T308" s="30">
        <v>0.25</v>
      </c>
      <c r="U308" s="27">
        <f>ROUND(IF(IFERROR(PROPERTIES[[#This Row],[TE_COEFFICIENT_CALC]],0)=0,PROPERTIES[[#This Row],[TE_COEFFICIENT_MANUAL]],PROPERTIES[[#This Row],[TE_COEFFICIENT_CALC]]),3)</f>
        <v>0.25</v>
      </c>
      <c r="V308" s="6">
        <v>60</v>
      </c>
      <c r="W308" s="10">
        <v>210</v>
      </c>
      <c r="X308" s="10">
        <v>8</v>
      </c>
      <c r="Y308" s="10"/>
      <c r="Z308" t="str">
        <f>"RUNNING_COST_"&amp;IF(PROPERTIES[[#This Row],[ENGINE_CLASS]]="MAGLEV","ELECTRIC",PROPERTIES[[#This Row],[ENGINE_CLASS]])</f>
        <v>RUNNING_COST_ELECTRIC</v>
      </c>
      <c r="AA308" s="10" t="s">
        <v>1002</v>
      </c>
      <c r="AB308" s="10" t="s">
        <v>1003</v>
      </c>
      <c r="AC308" s="10" t="str">
        <f>SUBSTITUTE(SUBSTITUTE(PROPERTIES[[#This Row],[PURCHASECOST_VALUE]], "PURCHASECOST_", ""), "_VALUE", "")</f>
        <v>METRO</v>
      </c>
      <c r="AD308" s="2" t="b">
        <v>0</v>
      </c>
      <c r="AV308"/>
      <c r="AW308"/>
      <c r="AX308"/>
    </row>
    <row r="309" spans="1:50">
      <c r="A309" s="2" t="s">
        <v>334</v>
      </c>
      <c r="B309">
        <v>1971</v>
      </c>
      <c r="C309">
        <v>1</v>
      </c>
      <c r="D309" t="s">
        <v>2046</v>
      </c>
      <c r="E309" t="str">
        <f>_xlfn.XLOOKUP(PROPERTIES[[#This Row],[COUNTRY]],COUNTRIES[COUNTRY_DESCRIPTION],COUNTRIES[COUNTRY_LABEL],"")</f>
        <v>GDR</v>
      </c>
      <c r="F309" t="s">
        <v>19</v>
      </c>
      <c r="G309" t="s">
        <v>325</v>
      </c>
      <c r="H309">
        <v>145</v>
      </c>
      <c r="I309">
        <v>8</v>
      </c>
      <c r="J309">
        <v>8</v>
      </c>
      <c r="K309" s="2" t="s">
        <v>326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4">
        <v>25.8</v>
      </c>
      <c r="P309">
        <v>965</v>
      </c>
      <c r="Q309">
        <v>80</v>
      </c>
      <c r="R309" s="31">
        <v>0</v>
      </c>
      <c r="S309" s="30">
        <f>IFERROR(PROPERTIES[[#This Row],[TE_STARTING_KN]]/(PROPERTIES[[#This Row],[WEIGHT]]*9.81),0)</f>
        <v>0</v>
      </c>
      <c r="T309" s="30">
        <v>0.26</v>
      </c>
      <c r="U309" s="27">
        <f>ROUND(IF(IFERROR(PROPERTIES[[#This Row],[TE_COEFFICIENT_CALC]],0)=0,PROPERTIES[[#This Row],[TE_COEFFICIENT_MANUAL]],PROPERTIES[[#This Row],[TE_COEFFICIENT_CALC]]),3)</f>
        <v>0.26</v>
      </c>
      <c r="V309" s="6">
        <v>60</v>
      </c>
      <c r="W309" s="10">
        <v>195</v>
      </c>
      <c r="X309" s="10">
        <v>8</v>
      </c>
      <c r="Y309" s="10"/>
      <c r="Z309" t="str">
        <f>"RUNNING_COST_"&amp;IF(PROPERTIES[[#This Row],[ENGINE_CLASS]]="MAGLEV","ELECTRIC",PROPERTIES[[#This Row],[ENGINE_CLASS]])</f>
        <v>RUNNING_COST_ELECTRIC</v>
      </c>
      <c r="AA309" s="10" t="s">
        <v>1002</v>
      </c>
      <c r="AB309" s="10" t="s">
        <v>1003</v>
      </c>
      <c r="AC309" s="10" t="str">
        <f>SUBSTITUTE(SUBSTITUTE(PROPERTIES[[#This Row],[PURCHASECOST_VALUE]], "PURCHASECOST_", ""), "_VALUE", "")</f>
        <v>METRO</v>
      </c>
      <c r="AD309" s="2" t="b">
        <v>0</v>
      </c>
      <c r="AV309"/>
      <c r="AW309"/>
      <c r="AX309"/>
    </row>
    <row r="310" spans="1:50">
      <c r="A310" s="2" t="s">
        <v>335</v>
      </c>
      <c r="B310">
        <v>1971</v>
      </c>
      <c r="C310">
        <v>1</v>
      </c>
      <c r="D310" t="s">
        <v>2029</v>
      </c>
      <c r="E310" t="str">
        <f>_xlfn.XLOOKUP(PROPERTIES[[#This Row],[COUNTRY]],COUNTRIES[COUNTRY_DESCRIPTION],COUNTRIES[COUNTRY_LABEL],"")</f>
        <v>US</v>
      </c>
      <c r="F310" t="s">
        <v>19</v>
      </c>
      <c r="G310" t="s">
        <v>325</v>
      </c>
      <c r="H310">
        <v>150</v>
      </c>
      <c r="I310">
        <v>8</v>
      </c>
      <c r="J310">
        <v>8</v>
      </c>
      <c r="K310" s="2" t="s">
        <v>326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4">
        <v>37</v>
      </c>
      <c r="P310">
        <v>920</v>
      </c>
      <c r="Q310">
        <v>110</v>
      </c>
      <c r="R310" s="31">
        <v>0</v>
      </c>
      <c r="S310" s="30">
        <f>IFERROR(PROPERTIES[[#This Row],[TE_STARTING_KN]]/(PROPERTIES[[#This Row],[WEIGHT]]*9.81),0)</f>
        <v>0</v>
      </c>
      <c r="T310" s="30">
        <v>0.26</v>
      </c>
      <c r="U310" s="27">
        <f>ROUND(IF(IFERROR(PROPERTIES[[#This Row],[TE_COEFFICIENT_CALC]],0)=0,PROPERTIES[[#This Row],[TE_COEFFICIENT_MANUAL]],PROPERTIES[[#This Row],[TE_COEFFICIENT_CALC]]),3)</f>
        <v>0.26</v>
      </c>
      <c r="V310" s="6">
        <v>60</v>
      </c>
      <c r="W310" s="10">
        <v>162</v>
      </c>
      <c r="X310" s="10">
        <v>8</v>
      </c>
      <c r="Y310" s="10"/>
      <c r="Z310" t="str">
        <f>"RUNNING_COST_"&amp;IF(PROPERTIES[[#This Row],[ENGINE_CLASS]]="MAGLEV","ELECTRIC",PROPERTIES[[#This Row],[ENGINE_CLASS]])</f>
        <v>RUNNING_COST_ELECTRIC</v>
      </c>
      <c r="AA310" s="10" t="s">
        <v>1002</v>
      </c>
      <c r="AB310" s="10" t="s">
        <v>1003</v>
      </c>
      <c r="AC310" s="10" t="str">
        <f>SUBSTITUTE(SUBSTITUTE(PROPERTIES[[#This Row],[PURCHASECOST_VALUE]], "PURCHASECOST_", ""), "_VALUE", "")</f>
        <v>METRO</v>
      </c>
      <c r="AD310" s="2" t="b">
        <v>0</v>
      </c>
      <c r="AV310"/>
      <c r="AW310"/>
      <c r="AX310"/>
    </row>
    <row r="311" spans="1:50">
      <c r="A311" s="2" t="s">
        <v>336</v>
      </c>
      <c r="B311">
        <v>1973</v>
      </c>
      <c r="C311">
        <v>1</v>
      </c>
      <c r="D311" t="s">
        <v>1962</v>
      </c>
      <c r="E311" t="str">
        <f>_xlfn.XLOOKUP(PROPERTIES[[#This Row],[COUNTRY]],COUNTRIES[COUNTRY_DESCRIPTION],COUNTRIES[COUNTRY_LABEL],"")</f>
        <v>NL</v>
      </c>
      <c r="F311" t="s">
        <v>19</v>
      </c>
      <c r="G311" t="s">
        <v>325</v>
      </c>
      <c r="H311">
        <v>150</v>
      </c>
      <c r="I311">
        <v>8</v>
      </c>
      <c r="J311">
        <v>8</v>
      </c>
      <c r="K311" s="2" t="s">
        <v>326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4">
        <v>27</v>
      </c>
      <c r="P311">
        <v>1050</v>
      </c>
      <c r="Q311">
        <v>80</v>
      </c>
      <c r="R311" s="31">
        <v>0</v>
      </c>
      <c r="S311" s="30">
        <f>IFERROR(PROPERTIES[[#This Row],[TE_STARTING_KN]]/(PROPERTIES[[#This Row],[WEIGHT]]*9.81),0)</f>
        <v>0</v>
      </c>
      <c r="T311" s="30">
        <v>0.26</v>
      </c>
      <c r="U311" s="27">
        <f>ROUND(IF(IFERROR(PROPERTIES[[#This Row],[TE_COEFFICIENT_CALC]],0)=0,PROPERTIES[[#This Row],[TE_COEFFICIENT_MANUAL]],PROPERTIES[[#This Row],[TE_COEFFICIENT_CALC]]),3)</f>
        <v>0.26</v>
      </c>
      <c r="V311" s="6">
        <v>60</v>
      </c>
      <c r="W311" s="10">
        <v>174</v>
      </c>
      <c r="X311" s="10">
        <v>7</v>
      </c>
      <c r="Y311" s="10"/>
      <c r="Z311" t="str">
        <f>"RUNNING_COST_"&amp;IF(PROPERTIES[[#This Row],[ENGINE_CLASS]]="MAGLEV","ELECTRIC",PROPERTIES[[#This Row],[ENGINE_CLASS]])</f>
        <v>RUNNING_COST_ELECTRIC</v>
      </c>
      <c r="AA311" s="10" t="s">
        <v>1002</v>
      </c>
      <c r="AB311" s="10" t="s">
        <v>1003</v>
      </c>
      <c r="AC311" s="10" t="str">
        <f>SUBSTITUTE(SUBSTITUTE(PROPERTIES[[#This Row],[PURCHASECOST_VALUE]], "PURCHASECOST_", ""), "_VALUE", "")</f>
        <v>METRO</v>
      </c>
      <c r="AD311" s="2" t="b">
        <v>0</v>
      </c>
      <c r="AV311"/>
      <c r="AW311"/>
      <c r="AX311"/>
    </row>
    <row r="312" spans="1:50">
      <c r="A312" s="2" t="s">
        <v>337</v>
      </c>
      <c r="B312">
        <v>1974</v>
      </c>
      <c r="C312">
        <v>1</v>
      </c>
      <c r="D312" t="s">
        <v>1993</v>
      </c>
      <c r="E312" t="str">
        <f>_xlfn.XLOOKUP(PROPERTIES[[#This Row],[COUNTRY]],COUNTRIES[COUNTRY_DESCRIPTION],COUNTRIES[COUNTRY_LABEL],"")</f>
        <v>SE</v>
      </c>
      <c r="F312" t="s">
        <v>19</v>
      </c>
      <c r="G312" t="s">
        <v>325</v>
      </c>
      <c r="H312">
        <v>150</v>
      </c>
      <c r="I312">
        <v>8</v>
      </c>
      <c r="J312">
        <v>8</v>
      </c>
      <c r="K312" s="2" t="s">
        <v>326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4">
        <v>23.5</v>
      </c>
      <c r="P312">
        <v>860</v>
      </c>
      <c r="Q312">
        <v>90</v>
      </c>
      <c r="R312" s="31">
        <v>0</v>
      </c>
      <c r="S312" s="30">
        <f>IFERROR(PROPERTIES[[#This Row],[TE_STARTING_KN]]/(PROPERTIES[[#This Row],[WEIGHT]]*9.81),0)</f>
        <v>0</v>
      </c>
      <c r="T312" s="30">
        <v>0.27</v>
      </c>
      <c r="U312" s="27">
        <f>ROUND(IF(IFERROR(PROPERTIES[[#This Row],[TE_COEFFICIENT_CALC]],0)=0,PROPERTIES[[#This Row],[TE_COEFFICIENT_MANUAL]],PROPERTIES[[#This Row],[TE_COEFFICIENT_CALC]]),3)</f>
        <v>0.27</v>
      </c>
      <c r="V312" s="6">
        <v>60</v>
      </c>
      <c r="W312" s="10">
        <v>158</v>
      </c>
      <c r="X312" s="10">
        <v>8</v>
      </c>
      <c r="Y312" s="10"/>
      <c r="Z312" t="str">
        <f>"RUNNING_COST_"&amp;IF(PROPERTIES[[#This Row],[ENGINE_CLASS]]="MAGLEV","ELECTRIC",PROPERTIES[[#This Row],[ENGINE_CLASS]])</f>
        <v>RUNNING_COST_ELECTRIC</v>
      </c>
      <c r="AA312" s="10" t="s">
        <v>1002</v>
      </c>
      <c r="AB312" s="10" t="s">
        <v>1003</v>
      </c>
      <c r="AC312" s="10" t="str">
        <f>SUBSTITUTE(SUBSTITUTE(PROPERTIES[[#This Row],[PURCHASECOST_VALUE]], "PURCHASECOST_", ""), "_VALUE", "")</f>
        <v>METRO</v>
      </c>
      <c r="AD312" s="2" t="b">
        <v>0</v>
      </c>
      <c r="AV312"/>
      <c r="AW312"/>
      <c r="AX312"/>
    </row>
    <row r="313" spans="1:50">
      <c r="A313" s="2" t="s">
        <v>338</v>
      </c>
      <c r="B313">
        <v>1999</v>
      </c>
      <c r="C313">
        <v>1</v>
      </c>
      <c r="D313" t="s">
        <v>1917</v>
      </c>
      <c r="E313" t="str">
        <f>_xlfn.XLOOKUP(PROPERTIES[[#This Row],[COUNTRY]],COUNTRIES[COUNTRY_DESCRIPTION],COUNTRIES[COUNTRY_LABEL],"")</f>
        <v>KP</v>
      </c>
      <c r="F313" t="s">
        <v>19</v>
      </c>
      <c r="G313" t="s">
        <v>325</v>
      </c>
      <c r="H313">
        <v>160</v>
      </c>
      <c r="I313">
        <v>8</v>
      </c>
      <c r="J313">
        <v>8</v>
      </c>
      <c r="K313" s="2" t="s">
        <v>326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4">
        <v>28.5</v>
      </c>
      <c r="P313">
        <v>800</v>
      </c>
      <c r="Q313">
        <v>70</v>
      </c>
      <c r="R313" s="31">
        <v>0</v>
      </c>
      <c r="S313" s="30">
        <f>IFERROR(PROPERTIES[[#This Row],[TE_STARTING_KN]]/(PROPERTIES[[#This Row],[WEIGHT]]*9.81),0)</f>
        <v>0</v>
      </c>
      <c r="T313" s="30">
        <v>0.23</v>
      </c>
      <c r="U313" s="27">
        <f>ROUND(IF(IFERROR(PROPERTIES[[#This Row],[TE_COEFFICIENT_CALC]],0)=0,PROPERTIES[[#This Row],[TE_COEFFICIENT_MANUAL]],PROPERTIES[[#This Row],[TE_COEFFICIENT_CALC]]),3)</f>
        <v>0.23</v>
      </c>
      <c r="V313" s="6">
        <v>60</v>
      </c>
      <c r="W313" s="10">
        <v>180</v>
      </c>
      <c r="X313" s="10">
        <v>8</v>
      </c>
      <c r="Y313" s="10"/>
      <c r="Z313" t="str">
        <f>"RUNNING_COST_"&amp;IF(PROPERTIES[[#This Row],[ENGINE_CLASS]]="MAGLEV","ELECTRIC",PROPERTIES[[#This Row],[ENGINE_CLASS]])</f>
        <v>RUNNING_COST_ELECTRIC</v>
      </c>
      <c r="AA313" s="10" t="s">
        <v>1002</v>
      </c>
      <c r="AB313" s="10" t="s">
        <v>1003</v>
      </c>
      <c r="AC313" s="10" t="str">
        <f>SUBSTITUTE(SUBSTITUTE(PROPERTIES[[#This Row],[PURCHASECOST_VALUE]], "PURCHASECOST_", ""), "_VALUE", "")</f>
        <v>METRO</v>
      </c>
      <c r="AD313" s="2" t="b">
        <v>0</v>
      </c>
      <c r="AV313"/>
      <c r="AW313"/>
      <c r="AX313"/>
    </row>
    <row r="314" spans="1:50">
      <c r="A314" s="2" t="s">
        <v>339</v>
      </c>
      <c r="B314">
        <v>1977</v>
      </c>
      <c r="C314">
        <v>1</v>
      </c>
      <c r="D314" t="s">
        <v>1867</v>
      </c>
      <c r="E314" t="str">
        <f>_xlfn.XLOOKUP(PROPERTIES[[#This Row],[COUNTRY]],COUNTRIES[COUNTRY_DESCRIPTION],COUNTRIES[COUNTRY_LABEL],"")</f>
        <v>FI</v>
      </c>
      <c r="F314" t="s">
        <v>19</v>
      </c>
      <c r="G314" t="s">
        <v>325</v>
      </c>
      <c r="H314">
        <v>144</v>
      </c>
      <c r="I314">
        <v>8</v>
      </c>
      <c r="J314">
        <v>8</v>
      </c>
      <c r="K314" s="2" t="s">
        <v>326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4">
        <v>30.8</v>
      </c>
      <c r="P314">
        <v>1340</v>
      </c>
      <c r="Q314">
        <v>90</v>
      </c>
      <c r="R314" s="31">
        <v>0</v>
      </c>
      <c r="S314" s="30">
        <f>IFERROR(PROPERTIES[[#This Row],[TE_STARTING_KN]]/(PROPERTIES[[#This Row],[WEIGHT]]*9.81),0)</f>
        <v>0</v>
      </c>
      <c r="T314" s="30">
        <v>0.3</v>
      </c>
      <c r="U314" s="27">
        <f>ROUND(IF(IFERROR(PROPERTIES[[#This Row],[TE_COEFFICIENT_CALC]],0)=0,PROPERTIES[[#This Row],[TE_COEFFICIENT_MANUAL]],PROPERTIES[[#This Row],[TE_COEFFICIENT_CALC]]),3)</f>
        <v>0.3</v>
      </c>
      <c r="V314" s="6">
        <v>60</v>
      </c>
      <c r="W314" s="10">
        <v>165</v>
      </c>
      <c r="X314" s="10">
        <v>8</v>
      </c>
      <c r="Y314" s="10"/>
      <c r="Z314" t="str">
        <f>"RUNNING_COST_"&amp;IF(PROPERTIES[[#This Row],[ENGINE_CLASS]]="MAGLEV","ELECTRIC",PROPERTIES[[#This Row],[ENGINE_CLASS]])</f>
        <v>RUNNING_COST_ELECTRIC</v>
      </c>
      <c r="AA314" s="10" t="s">
        <v>1002</v>
      </c>
      <c r="AB314" s="10" t="s">
        <v>1003</v>
      </c>
      <c r="AC314" s="10" t="str">
        <f>SUBSTITUTE(SUBSTITUTE(PROPERTIES[[#This Row],[PURCHASECOST_VALUE]], "PURCHASECOST_", ""), "_VALUE", "")</f>
        <v>METRO</v>
      </c>
      <c r="AD314" s="2" t="b">
        <v>0</v>
      </c>
      <c r="AV314"/>
      <c r="AW314"/>
      <c r="AX314"/>
    </row>
    <row r="315" spans="1:50">
      <c r="A315" s="2" t="s">
        <v>340</v>
      </c>
      <c r="B315">
        <v>1979</v>
      </c>
      <c r="C315">
        <v>1</v>
      </c>
      <c r="D315" t="s">
        <v>1828</v>
      </c>
      <c r="E315" t="str">
        <f>_xlfn.XLOOKUP(PROPERTIES[[#This Row],[COUNTRY]],COUNTRIES[COUNTRY_DESCRIPTION],COUNTRIES[COUNTRY_LABEL],"")</f>
        <v>BR</v>
      </c>
      <c r="F315" t="s">
        <v>19</v>
      </c>
      <c r="G315" t="s">
        <v>325</v>
      </c>
      <c r="H315">
        <v>160</v>
      </c>
      <c r="I315">
        <v>8</v>
      </c>
      <c r="J315">
        <v>8</v>
      </c>
      <c r="K315" s="2" t="s">
        <v>326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4">
        <v>52</v>
      </c>
      <c r="P315">
        <v>1530</v>
      </c>
      <c r="Q315">
        <v>100</v>
      </c>
      <c r="R315" s="31">
        <v>0</v>
      </c>
      <c r="S315" s="30">
        <f>IFERROR(PROPERTIES[[#This Row],[TE_STARTING_KN]]/(PROPERTIES[[#This Row],[WEIGHT]]*9.81),0)</f>
        <v>0</v>
      </c>
      <c r="T315" s="30">
        <v>0.25</v>
      </c>
      <c r="U315" s="27">
        <f>ROUND(IF(IFERROR(PROPERTIES[[#This Row],[TE_COEFFICIENT_CALC]],0)=0,PROPERTIES[[#This Row],[TE_COEFFICIENT_MANUAL]],PROPERTIES[[#This Row],[TE_COEFFICIENT_CALC]]),3)</f>
        <v>0.25</v>
      </c>
      <c r="V315" s="6">
        <v>60</v>
      </c>
      <c r="W315" s="10">
        <v>230</v>
      </c>
      <c r="X315" s="10">
        <v>8</v>
      </c>
      <c r="Y315" s="10"/>
      <c r="Z315" t="str">
        <f>"RUNNING_COST_"&amp;IF(PROPERTIES[[#This Row],[ENGINE_CLASS]]="MAGLEV","ELECTRIC",PROPERTIES[[#This Row],[ENGINE_CLASS]])</f>
        <v>RUNNING_COST_ELECTRIC</v>
      </c>
      <c r="AA315" s="10" t="s">
        <v>1002</v>
      </c>
      <c r="AB315" s="10" t="s">
        <v>1003</v>
      </c>
      <c r="AC315" s="10" t="str">
        <f>SUBSTITUTE(SUBSTITUTE(PROPERTIES[[#This Row],[PURCHASECOST_VALUE]], "PURCHASECOST_", ""), "_VALUE", "")</f>
        <v>METRO</v>
      </c>
      <c r="AD315" s="2" t="b">
        <v>0</v>
      </c>
      <c r="AV315"/>
      <c r="AW315"/>
      <c r="AX315"/>
    </row>
    <row r="316" spans="1:50">
      <c r="A316" s="2" t="s">
        <v>341</v>
      </c>
      <c r="B316">
        <v>1981</v>
      </c>
      <c r="C316">
        <v>1</v>
      </c>
      <c r="D316" t="s">
        <v>2048</v>
      </c>
      <c r="E316" t="str">
        <f>_xlfn.XLOOKUP(PROPERTIES[[#This Row],[COUNTRY]],COUNTRIES[COUNTRY_DESCRIPTION],COUNTRIES[COUNTRY_LABEL],"")</f>
        <v>SU</v>
      </c>
      <c r="F316" t="s">
        <v>19</v>
      </c>
      <c r="G316" t="s">
        <v>325</v>
      </c>
      <c r="H316">
        <v>144</v>
      </c>
      <c r="I316">
        <v>8</v>
      </c>
      <c r="J316">
        <v>8</v>
      </c>
      <c r="K316" s="2" t="s">
        <v>326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4">
        <v>36</v>
      </c>
      <c r="P316">
        <v>1115</v>
      </c>
      <c r="Q316">
        <v>100</v>
      </c>
      <c r="R316" s="31">
        <v>0</v>
      </c>
      <c r="S316" s="30">
        <f>IFERROR(PROPERTIES[[#This Row],[TE_STARTING_KN]]/(PROPERTIES[[#This Row],[WEIGHT]]*9.81),0)</f>
        <v>0</v>
      </c>
      <c r="T316" s="30">
        <v>0.3</v>
      </c>
      <c r="U316" s="27">
        <f>ROUND(IF(IFERROR(PROPERTIES[[#This Row],[TE_COEFFICIENT_CALC]],0)=0,PROPERTIES[[#This Row],[TE_COEFFICIENT_MANUAL]],PROPERTIES[[#This Row],[TE_COEFFICIENT_CALC]]),3)</f>
        <v>0.3</v>
      </c>
      <c r="V316" s="6">
        <v>60</v>
      </c>
      <c r="W316" s="10">
        <v>144</v>
      </c>
      <c r="X316" s="10">
        <v>8</v>
      </c>
      <c r="Y316" s="10"/>
      <c r="Z316" t="str">
        <f>"RUNNING_COST_"&amp;IF(PROPERTIES[[#This Row],[ENGINE_CLASS]]="MAGLEV","ELECTRIC",PROPERTIES[[#This Row],[ENGINE_CLASS]])</f>
        <v>RUNNING_COST_ELECTRIC</v>
      </c>
      <c r="AA316" s="10" t="s">
        <v>1002</v>
      </c>
      <c r="AB316" s="10" t="s">
        <v>1003</v>
      </c>
      <c r="AC316" s="10" t="str">
        <f>SUBSTITUTE(SUBSTITUTE(PROPERTIES[[#This Row],[PURCHASECOST_VALUE]], "PURCHASECOST_", ""), "_VALUE", "")</f>
        <v>METRO</v>
      </c>
      <c r="AD316" s="2" t="b">
        <v>0</v>
      </c>
      <c r="AV316"/>
      <c r="AW316"/>
      <c r="AX316"/>
    </row>
    <row r="317" spans="1:50">
      <c r="A317" s="2" t="s">
        <v>342</v>
      </c>
      <c r="B317">
        <v>1985</v>
      </c>
      <c r="C317">
        <v>1</v>
      </c>
      <c r="D317" t="s">
        <v>1910</v>
      </c>
      <c r="E317" t="str">
        <f>_xlfn.XLOOKUP(PROPERTIES[[#This Row],[COUNTRY]],COUNTRIES[COUNTRY_DESCRIPTION],COUNTRIES[COUNTRY_LABEL],"")</f>
        <v>JP</v>
      </c>
      <c r="F317" t="s">
        <v>19</v>
      </c>
      <c r="G317" t="s">
        <v>325</v>
      </c>
      <c r="H317">
        <v>100</v>
      </c>
      <c r="I317">
        <v>8</v>
      </c>
      <c r="J317">
        <v>8</v>
      </c>
      <c r="K317" s="2" t="s">
        <v>326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4">
        <v>23.5</v>
      </c>
      <c r="P317">
        <v>640</v>
      </c>
      <c r="Q317">
        <v>80</v>
      </c>
      <c r="R317" s="31">
        <v>0</v>
      </c>
      <c r="S317" s="30">
        <f>IFERROR(PROPERTIES[[#This Row],[TE_STARTING_KN]]/(PROPERTIES[[#This Row],[WEIGHT]]*9.81),0)</f>
        <v>0</v>
      </c>
      <c r="T317" s="30">
        <v>0.28000000000000003</v>
      </c>
      <c r="U317" s="27">
        <f>ROUND(IF(IFERROR(PROPERTIES[[#This Row],[TE_COEFFICIENT_CALC]],0)=0,PROPERTIES[[#This Row],[TE_COEFFICIENT_MANUAL]],PROPERTIES[[#This Row],[TE_COEFFICIENT_CALC]]),3)</f>
        <v>0.28000000000000003</v>
      </c>
      <c r="V317" s="6">
        <v>60</v>
      </c>
      <c r="W317" s="10">
        <v>120</v>
      </c>
      <c r="X317" s="10">
        <v>8</v>
      </c>
      <c r="Y317" s="10"/>
      <c r="Z317" t="str">
        <f>"RUNNING_COST_"&amp;IF(PROPERTIES[[#This Row],[ENGINE_CLASS]]="MAGLEV","ELECTRIC",PROPERTIES[[#This Row],[ENGINE_CLASS]])</f>
        <v>RUNNING_COST_ELECTRIC</v>
      </c>
      <c r="AA317" s="10" t="s">
        <v>1002</v>
      </c>
      <c r="AB317" s="10" t="s">
        <v>1003</v>
      </c>
      <c r="AC317" s="10" t="str">
        <f>SUBSTITUTE(SUBSTITUTE(PROPERTIES[[#This Row],[PURCHASECOST_VALUE]], "PURCHASECOST_", ""), "_VALUE", "")</f>
        <v>METRO</v>
      </c>
      <c r="AD317" s="2" t="b">
        <v>0</v>
      </c>
      <c r="AV317"/>
      <c r="AW317"/>
      <c r="AX317"/>
    </row>
    <row r="318" spans="1:50">
      <c r="A318" s="2" t="s">
        <v>343</v>
      </c>
      <c r="B318">
        <v>1987</v>
      </c>
      <c r="C318">
        <v>1</v>
      </c>
      <c r="D318" t="s">
        <v>1862</v>
      </c>
      <c r="E318" t="str">
        <f>_xlfn.XLOOKUP(PROPERTIES[[#This Row],[COUNTRY]],COUNTRIES[COUNTRY_DESCRIPTION],COUNTRIES[COUNTRY_LABEL],"")</f>
        <v>EG</v>
      </c>
      <c r="F318" t="s">
        <v>19</v>
      </c>
      <c r="G318" t="s">
        <v>325</v>
      </c>
      <c r="H318">
        <v>165</v>
      </c>
      <c r="I318">
        <v>8</v>
      </c>
      <c r="J318">
        <v>8</v>
      </c>
      <c r="K318" s="2" t="s">
        <v>326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4">
        <v>37.5</v>
      </c>
      <c r="P318">
        <v>1450</v>
      </c>
      <c r="Q318">
        <v>100</v>
      </c>
      <c r="R318" s="31">
        <v>0</v>
      </c>
      <c r="S318" s="30">
        <f>IFERROR(PROPERTIES[[#This Row],[TE_STARTING_KN]]/(PROPERTIES[[#This Row],[WEIGHT]]*9.81),0)</f>
        <v>0</v>
      </c>
      <c r="T318" s="30">
        <v>0.26</v>
      </c>
      <c r="U318" s="27">
        <f>ROUND(IF(IFERROR(PROPERTIES[[#This Row],[TE_COEFFICIENT_CALC]],0)=0,PROPERTIES[[#This Row],[TE_COEFFICIENT_MANUAL]],PROPERTIES[[#This Row],[TE_COEFFICIENT_CALC]]),3)</f>
        <v>0.26</v>
      </c>
      <c r="V318" s="6">
        <v>60</v>
      </c>
      <c r="W318" s="10">
        <v>250</v>
      </c>
      <c r="X318" s="10">
        <v>8</v>
      </c>
      <c r="Y318" s="10"/>
      <c r="Z318" t="str">
        <f>"RUNNING_COST_"&amp;IF(PROPERTIES[[#This Row],[ENGINE_CLASS]]="MAGLEV","ELECTRIC",PROPERTIES[[#This Row],[ENGINE_CLASS]])</f>
        <v>RUNNING_COST_ELECTRIC</v>
      </c>
      <c r="AA318" s="10" t="s">
        <v>1002</v>
      </c>
      <c r="AB318" s="10" t="s">
        <v>1003</v>
      </c>
      <c r="AC318" s="10" t="str">
        <f>SUBSTITUTE(SUBSTITUTE(PROPERTIES[[#This Row],[PURCHASECOST_VALUE]], "PURCHASECOST_", ""), "_VALUE", "")</f>
        <v>METRO</v>
      </c>
      <c r="AD318" s="2" t="b">
        <v>0</v>
      </c>
      <c r="AV318"/>
      <c r="AW318"/>
      <c r="AX318"/>
    </row>
    <row r="319" spans="1:50">
      <c r="A319" s="2" t="s">
        <v>344</v>
      </c>
      <c r="B319">
        <v>1986</v>
      </c>
      <c r="C319">
        <v>1</v>
      </c>
      <c r="D319" t="s">
        <v>1873</v>
      </c>
      <c r="E319" t="str">
        <f>_xlfn.XLOOKUP(PROPERTIES[[#This Row],[COUNTRY]],COUNTRIES[COUNTRY_DESCRIPTION],COUNTRIES[COUNTRY_LABEL],"")</f>
        <v>GB</v>
      </c>
      <c r="F319" t="s">
        <v>19</v>
      </c>
      <c r="G319" t="s">
        <v>325</v>
      </c>
      <c r="H319">
        <v>142</v>
      </c>
      <c r="I319">
        <v>6</v>
      </c>
      <c r="J319">
        <v>6</v>
      </c>
      <c r="K319" s="2" t="s">
        <v>326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4">
        <v>33</v>
      </c>
      <c r="P319">
        <v>640</v>
      </c>
      <c r="Q319">
        <v>80</v>
      </c>
      <c r="R319" s="31">
        <v>0</v>
      </c>
      <c r="S319" s="30">
        <f>IFERROR(PROPERTIES[[#This Row],[TE_STARTING_KN]]/(PROPERTIES[[#This Row],[WEIGHT]]*9.81),0)</f>
        <v>0</v>
      </c>
      <c r="T319" s="30">
        <v>0.25</v>
      </c>
      <c r="U319" s="27">
        <f>ROUND(IF(IFERROR(PROPERTIES[[#This Row],[TE_COEFFICIENT_CALC]],0)=0,PROPERTIES[[#This Row],[TE_COEFFICIENT_MANUAL]],PROPERTIES[[#This Row],[TE_COEFFICIENT_CALC]]),3)</f>
        <v>0.25</v>
      </c>
      <c r="V319" s="6">
        <v>60</v>
      </c>
      <c r="W319" s="10">
        <v>200</v>
      </c>
      <c r="X319" s="10">
        <v>6</v>
      </c>
      <c r="Y319" s="10"/>
      <c r="Z319" t="str">
        <f>"RUNNING_COST_"&amp;IF(PROPERTIES[[#This Row],[ENGINE_CLASS]]="MAGLEV","ELECTRIC",PROPERTIES[[#This Row],[ENGINE_CLASS]])</f>
        <v>RUNNING_COST_ELECTRIC</v>
      </c>
      <c r="AA319" s="10" t="s">
        <v>1002</v>
      </c>
      <c r="AB319" s="10" t="s">
        <v>1003</v>
      </c>
      <c r="AC319" s="10" t="str">
        <f>SUBSTITUTE(SUBSTITUTE(PROPERTIES[[#This Row],[PURCHASECOST_VALUE]], "PURCHASECOST_", ""), "_VALUE", "")</f>
        <v>METRO</v>
      </c>
      <c r="AD319" s="2" t="b">
        <v>0</v>
      </c>
      <c r="AV319"/>
      <c r="AW319"/>
      <c r="AX319"/>
    </row>
    <row r="320" spans="1:50">
      <c r="A320" s="2" t="s">
        <v>345</v>
      </c>
      <c r="B320">
        <v>1993</v>
      </c>
      <c r="C320">
        <v>1</v>
      </c>
      <c r="D320" t="s">
        <v>1987</v>
      </c>
      <c r="E320" t="str">
        <f>_xlfn.XLOOKUP(PROPERTIES[[#This Row],[COUNTRY]],COUNTRIES[COUNTRY_DESCRIPTION],COUNTRIES[COUNTRY_LABEL],"")</f>
        <v>RU</v>
      </c>
      <c r="F320" t="s">
        <v>19</v>
      </c>
      <c r="G320" t="s">
        <v>325</v>
      </c>
      <c r="H320">
        <v>144</v>
      </c>
      <c r="I320">
        <v>8</v>
      </c>
      <c r="J320">
        <v>8</v>
      </c>
      <c r="K320" s="2" t="s">
        <v>326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4">
        <v>34</v>
      </c>
      <c r="P320">
        <v>1180</v>
      </c>
      <c r="Q320">
        <v>90</v>
      </c>
      <c r="R320" s="31">
        <v>0</v>
      </c>
      <c r="S320" s="30">
        <f>IFERROR(PROPERTIES[[#This Row],[TE_STARTING_KN]]/(PROPERTIES[[#This Row],[WEIGHT]]*9.81),0)</f>
        <v>0</v>
      </c>
      <c r="T320" s="30">
        <v>0.27</v>
      </c>
      <c r="U320" s="27">
        <f>ROUND(IF(IFERROR(PROPERTIES[[#This Row],[TE_COEFFICIENT_CALC]],0)=0,PROPERTIES[[#This Row],[TE_COEFFICIENT_MANUAL]],PROPERTIES[[#This Row],[TE_COEFFICIENT_CALC]]),3)</f>
        <v>0.27</v>
      </c>
      <c r="V320" s="6">
        <v>60</v>
      </c>
      <c r="W320" s="10">
        <v>147</v>
      </c>
      <c r="X320" s="10">
        <v>8</v>
      </c>
      <c r="Y320" s="10"/>
      <c r="Z320" t="str">
        <f>"RUNNING_COST_"&amp;IF(PROPERTIES[[#This Row],[ENGINE_CLASS]]="MAGLEV","ELECTRIC",PROPERTIES[[#This Row],[ENGINE_CLASS]])</f>
        <v>RUNNING_COST_ELECTRIC</v>
      </c>
      <c r="AA320" s="10" t="s">
        <v>1002</v>
      </c>
      <c r="AB320" s="10" t="s">
        <v>1003</v>
      </c>
      <c r="AC320" s="10" t="str">
        <f>SUBSTITUTE(SUBSTITUTE(PROPERTIES[[#This Row],[PURCHASECOST_VALUE]], "PURCHASECOST_", ""), "_VALUE", "")</f>
        <v>METRO</v>
      </c>
      <c r="AD320" s="2" t="b">
        <v>0</v>
      </c>
      <c r="AV320"/>
      <c r="AW320"/>
      <c r="AX320"/>
    </row>
    <row r="321" spans="1:50">
      <c r="A321" s="2" t="s">
        <v>346</v>
      </c>
      <c r="B321">
        <v>1993</v>
      </c>
      <c r="C321">
        <v>1</v>
      </c>
      <c r="D321" t="s">
        <v>2029</v>
      </c>
      <c r="E321" t="str">
        <f>_xlfn.XLOOKUP(PROPERTIES[[#This Row],[COUNTRY]],COUNTRIES[COUNTRY_DESCRIPTION],COUNTRIES[COUNTRY_LABEL],"")</f>
        <v>US</v>
      </c>
      <c r="F321" t="s">
        <v>19</v>
      </c>
      <c r="G321" t="s">
        <v>325</v>
      </c>
      <c r="H321">
        <v>155</v>
      </c>
      <c r="I321">
        <v>8</v>
      </c>
      <c r="J321">
        <v>8</v>
      </c>
      <c r="K321" s="2" t="s">
        <v>326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4">
        <v>36.5</v>
      </c>
      <c r="P321">
        <v>910</v>
      </c>
      <c r="Q321">
        <v>80</v>
      </c>
      <c r="R321" s="31">
        <v>0</v>
      </c>
      <c r="S321" s="30">
        <f>IFERROR(PROPERTIES[[#This Row],[TE_STARTING_KN]]/(PROPERTIES[[#This Row],[WEIGHT]]*9.81),0)</f>
        <v>0</v>
      </c>
      <c r="T321" s="30">
        <v>0.26</v>
      </c>
      <c r="U321" s="27">
        <f>ROUND(IF(IFERROR(PROPERTIES[[#This Row],[TE_COEFFICIENT_CALC]],0)=0,PROPERTIES[[#This Row],[TE_COEFFICIENT_MANUAL]],PROPERTIES[[#This Row],[TE_COEFFICIENT_CALC]]),3)</f>
        <v>0.26</v>
      </c>
      <c r="V321" s="6">
        <v>60</v>
      </c>
      <c r="W321" s="10">
        <v>150</v>
      </c>
      <c r="X321" s="10">
        <v>8</v>
      </c>
      <c r="Y321" s="10"/>
      <c r="Z321" t="str">
        <f>"RUNNING_COST_"&amp;IF(PROPERTIES[[#This Row],[ENGINE_CLASS]]="MAGLEV","ELECTRIC",PROPERTIES[[#This Row],[ENGINE_CLASS]])</f>
        <v>RUNNING_COST_ELECTRIC</v>
      </c>
      <c r="AA321" s="10" t="s">
        <v>1002</v>
      </c>
      <c r="AB321" s="10" t="s">
        <v>1003</v>
      </c>
      <c r="AC321" s="10" t="str">
        <f>SUBSTITUTE(SUBSTITUTE(PROPERTIES[[#This Row],[PURCHASECOST_VALUE]], "PURCHASECOST_", ""), "_VALUE", "")</f>
        <v>METRO</v>
      </c>
      <c r="AD321" s="2" t="b">
        <v>0</v>
      </c>
      <c r="AV321"/>
      <c r="AW321"/>
      <c r="AX321"/>
    </row>
    <row r="322" spans="1:50">
      <c r="A322" s="2" t="s">
        <v>347</v>
      </c>
      <c r="B322">
        <v>1993</v>
      </c>
      <c r="C322">
        <v>1</v>
      </c>
      <c r="D322" t="s">
        <v>2029</v>
      </c>
      <c r="E322" t="str">
        <f>_xlfn.XLOOKUP(PROPERTIES[[#This Row],[COUNTRY]],COUNTRIES[COUNTRY_DESCRIPTION],COUNTRIES[COUNTRY_LABEL],"")</f>
        <v>US</v>
      </c>
      <c r="F322" t="s">
        <v>19</v>
      </c>
      <c r="G322" t="s">
        <v>325</v>
      </c>
      <c r="H322">
        <v>150</v>
      </c>
      <c r="I322">
        <v>8</v>
      </c>
      <c r="J322">
        <v>8</v>
      </c>
      <c r="K322" s="2" t="s">
        <v>326</v>
      </c>
      <c r="L322">
        <f>_xlfn.XLOOKUP("LOADINGSPEEDDEF_"&amp;PROPERTIES[[#This Row],[LOADINGSPEED]],LOADINGSPEEDDEF[TYPE],LOADINGSPEEDDEF[SPEED])</f>
        <v>120</v>
      </c>
      <c r="M322" t="s">
        <v>21</v>
      </c>
      <c r="N322">
        <v>1</v>
      </c>
      <c r="O322" s="34">
        <v>36.5</v>
      </c>
      <c r="P322">
        <v>1250</v>
      </c>
      <c r="Q322">
        <v>70</v>
      </c>
      <c r="R322" s="31">
        <v>0</v>
      </c>
      <c r="S322" s="30">
        <f>IFERROR(PROPERTIES[[#This Row],[TE_STARTING_KN]]/(PROPERTIES[[#This Row],[WEIGHT]]*9.81),0)</f>
        <v>0</v>
      </c>
      <c r="T322" s="30">
        <v>0.28000000000000003</v>
      </c>
      <c r="U322" s="27">
        <f>ROUND(IF(IFERROR(PROPERTIES[[#This Row],[TE_COEFFICIENT_CALC]],0)=0,PROPERTIES[[#This Row],[TE_COEFFICIENT_MANUAL]],PROPERTIES[[#This Row],[TE_COEFFICIENT_CALC]]),3)</f>
        <v>0.28000000000000003</v>
      </c>
      <c r="V322" s="6">
        <v>60</v>
      </c>
      <c r="W322" s="10">
        <v>170</v>
      </c>
      <c r="X322" s="10">
        <v>8</v>
      </c>
      <c r="Y322" s="10"/>
      <c r="Z322" t="str">
        <f>"RUNNING_COST_"&amp;IF(PROPERTIES[[#This Row],[ENGINE_CLASS]]="MAGLEV","ELECTRIC",PROPERTIES[[#This Row],[ENGINE_CLASS]])</f>
        <v>RUNNING_COST_ELECTRIC</v>
      </c>
      <c r="AA322" s="10" t="s">
        <v>1002</v>
      </c>
      <c r="AB322" s="10" t="s">
        <v>1003</v>
      </c>
      <c r="AC322" s="10" t="str">
        <f>SUBSTITUTE(SUBSTITUTE(PROPERTIES[[#This Row],[PURCHASECOST_VALUE]], "PURCHASECOST_", ""), "_VALUE", "")</f>
        <v>METRO</v>
      </c>
      <c r="AD322" s="2" t="b">
        <v>0</v>
      </c>
      <c r="AV322"/>
      <c r="AW322"/>
      <c r="AX322"/>
    </row>
    <row r="323" spans="1:50">
      <c r="A323" s="2" t="s">
        <v>348</v>
      </c>
      <c r="B323">
        <v>1992</v>
      </c>
      <c r="C323">
        <v>1</v>
      </c>
      <c r="D323" t="s">
        <v>2024</v>
      </c>
      <c r="E323" t="str">
        <f>_xlfn.XLOOKUP(PROPERTIES[[#This Row],[COUNTRY]],COUNTRIES[COUNTRY_DESCRIPTION],COUNTRIES[COUNTRY_LABEL],"")</f>
        <v>TW</v>
      </c>
      <c r="F323" t="s">
        <v>19</v>
      </c>
      <c r="G323" t="s">
        <v>325</v>
      </c>
      <c r="H323">
        <v>155</v>
      </c>
      <c r="I323">
        <v>8</v>
      </c>
      <c r="J323">
        <v>8</v>
      </c>
      <c r="K323" s="2" t="s">
        <v>326</v>
      </c>
      <c r="L323">
        <f>_xlfn.XLOOKUP("LOADINGSPEEDDEF_"&amp;PROPERTIES[[#This Row],[LOADINGSPEED]],LOADINGSPEEDDEF[TYPE],LOADINGSPEEDDEF[SPEED])</f>
        <v>120</v>
      </c>
      <c r="M323" t="s">
        <v>21</v>
      </c>
      <c r="N323">
        <v>1</v>
      </c>
      <c r="O323" s="34">
        <v>39.5</v>
      </c>
      <c r="P323">
        <v>1550</v>
      </c>
      <c r="Q323">
        <v>80</v>
      </c>
      <c r="R323" s="31">
        <v>0</v>
      </c>
      <c r="S323" s="30">
        <f>IFERROR(PROPERTIES[[#This Row],[TE_STARTING_KN]]/(PROPERTIES[[#This Row],[WEIGHT]]*9.81),0)</f>
        <v>0</v>
      </c>
      <c r="T323" s="30">
        <v>0.3</v>
      </c>
      <c r="U323" s="27">
        <f>ROUND(IF(IFERROR(PROPERTIES[[#This Row],[TE_COEFFICIENT_CALC]],0)=0,PROPERTIES[[#This Row],[TE_COEFFICIENT_MANUAL]],PROPERTIES[[#This Row],[TE_COEFFICIENT_CALC]]),3)</f>
        <v>0.3</v>
      </c>
      <c r="V323" s="6">
        <v>60</v>
      </c>
      <c r="W323" s="10">
        <v>250</v>
      </c>
      <c r="X323" s="10">
        <v>8</v>
      </c>
      <c r="Y323" s="10"/>
      <c r="Z323" t="str">
        <f>"RUNNING_COST_"&amp;IF(PROPERTIES[[#This Row],[ENGINE_CLASS]]="MAGLEV","ELECTRIC",PROPERTIES[[#This Row],[ENGINE_CLASS]])</f>
        <v>RUNNING_COST_ELECTRIC</v>
      </c>
      <c r="AA323" s="10" t="s">
        <v>1002</v>
      </c>
      <c r="AB323" s="10" t="s">
        <v>1003</v>
      </c>
      <c r="AC323" s="10" t="str">
        <f>SUBSTITUTE(SUBSTITUTE(PROPERTIES[[#This Row],[PURCHASECOST_VALUE]], "PURCHASECOST_", ""), "_VALUE", "")</f>
        <v>METRO</v>
      </c>
      <c r="AD323" s="2" t="b">
        <v>0</v>
      </c>
      <c r="AV323"/>
      <c r="AW323"/>
      <c r="AX323"/>
    </row>
    <row r="324" spans="1:50">
      <c r="A324" s="2" t="s">
        <v>349</v>
      </c>
      <c r="B324">
        <v>1997</v>
      </c>
      <c r="C324">
        <v>1</v>
      </c>
      <c r="D324" t="s">
        <v>1962</v>
      </c>
      <c r="E324" t="str">
        <f>_xlfn.XLOOKUP(PROPERTIES[[#This Row],[COUNTRY]],COUNTRIES[COUNTRY_DESCRIPTION],COUNTRIES[COUNTRY_LABEL],"")</f>
        <v>NL</v>
      </c>
      <c r="F324" t="s">
        <v>19</v>
      </c>
      <c r="G324" t="s">
        <v>325</v>
      </c>
      <c r="H324">
        <v>125</v>
      </c>
      <c r="I324">
        <v>8</v>
      </c>
      <c r="J324">
        <v>8</v>
      </c>
      <c r="K324" s="2" t="s">
        <v>326</v>
      </c>
      <c r="L324">
        <f>_xlfn.XLOOKUP("LOADINGSPEEDDEF_"&amp;PROPERTIES[[#This Row],[LOADINGSPEED]],LOADINGSPEEDDEF[TYPE],LOADINGSPEEDDEF[SPEED])</f>
        <v>120</v>
      </c>
      <c r="M324" t="s">
        <v>21</v>
      </c>
      <c r="N324">
        <v>1</v>
      </c>
      <c r="O324" s="34">
        <v>24</v>
      </c>
      <c r="P324">
        <v>1020</v>
      </c>
      <c r="Q324">
        <v>70</v>
      </c>
      <c r="R324" s="31">
        <v>0</v>
      </c>
      <c r="S324" s="30">
        <f>IFERROR(PROPERTIES[[#This Row],[TE_STARTING_KN]]/(PROPERTIES[[#This Row],[WEIGHT]]*9.81),0)</f>
        <v>0</v>
      </c>
      <c r="T324" s="30">
        <v>0.28000000000000003</v>
      </c>
      <c r="U324" s="27">
        <f>ROUND(IF(IFERROR(PROPERTIES[[#This Row],[TE_COEFFICIENT_CALC]],0)=0,PROPERTIES[[#This Row],[TE_COEFFICIENT_MANUAL]],PROPERTIES[[#This Row],[TE_COEFFICIENT_CALC]]),3)</f>
        <v>0.28000000000000003</v>
      </c>
      <c r="V324" s="6">
        <v>60</v>
      </c>
      <c r="W324" s="10">
        <v>250</v>
      </c>
      <c r="X324" s="10">
        <v>8</v>
      </c>
      <c r="Y324" s="10"/>
      <c r="Z324" t="str">
        <f>"RUNNING_COST_"&amp;IF(PROPERTIES[[#This Row],[ENGINE_CLASS]]="MAGLEV","ELECTRIC",PROPERTIES[[#This Row],[ENGINE_CLASS]])</f>
        <v>RUNNING_COST_ELECTRIC</v>
      </c>
      <c r="AA324" s="10" t="s">
        <v>1002</v>
      </c>
      <c r="AB324" s="10" t="s">
        <v>1003</v>
      </c>
      <c r="AC324" s="10" t="str">
        <f>SUBSTITUTE(SUBSTITUTE(PROPERTIES[[#This Row],[PURCHASECOST_VALUE]], "PURCHASECOST_", ""), "_VALUE", "")</f>
        <v>METRO</v>
      </c>
      <c r="AD324" s="2" t="b">
        <v>0</v>
      </c>
      <c r="AV324"/>
      <c r="AW324"/>
      <c r="AX324"/>
    </row>
    <row r="325" spans="1:50">
      <c r="A325" s="2" t="s">
        <v>350</v>
      </c>
      <c r="B325">
        <v>1997</v>
      </c>
      <c r="C325">
        <v>1</v>
      </c>
      <c r="D325" t="s">
        <v>1872</v>
      </c>
      <c r="E325" t="str">
        <f>_xlfn.XLOOKUP(PROPERTIES[[#This Row],[COUNTRY]],COUNTRIES[COUNTRY_DESCRIPTION],COUNTRIES[COUNTRY_LABEL],"")</f>
        <v>FR</v>
      </c>
      <c r="F325" t="s">
        <v>19</v>
      </c>
      <c r="G325" t="s">
        <v>325</v>
      </c>
      <c r="H325">
        <v>120</v>
      </c>
      <c r="I325">
        <v>7</v>
      </c>
      <c r="J325">
        <v>7</v>
      </c>
      <c r="K325" s="2" t="s">
        <v>326</v>
      </c>
      <c r="L325">
        <f>_xlfn.XLOOKUP("LOADINGSPEEDDEF_"&amp;PROPERTIES[[#This Row],[LOADINGSPEED]],LOADINGSPEEDDEF[TYPE],LOADINGSPEEDDEF[SPEED])</f>
        <v>120</v>
      </c>
      <c r="M325" t="s">
        <v>21</v>
      </c>
      <c r="N325">
        <v>1</v>
      </c>
      <c r="O325" s="34">
        <v>24</v>
      </c>
      <c r="P325">
        <v>2680</v>
      </c>
      <c r="Q325">
        <v>80</v>
      </c>
      <c r="R325" s="31">
        <v>0</v>
      </c>
      <c r="S325" s="30">
        <f>IFERROR(PROPERTIES[[#This Row],[TE_STARTING_KN]]/(PROPERTIES[[#This Row],[WEIGHT]]*9.81),0)</f>
        <v>0</v>
      </c>
      <c r="T325" s="30">
        <v>0.35</v>
      </c>
      <c r="U325" s="27">
        <f>ROUND(IF(IFERROR(PROPERTIES[[#This Row],[TE_COEFFICIENT_CALC]],0)=0,PROPERTIES[[#This Row],[TE_COEFFICIENT_MANUAL]],PROPERTIES[[#This Row],[TE_COEFFICIENT_CALC]]),3)</f>
        <v>0.35</v>
      </c>
      <c r="V325" s="6">
        <v>60</v>
      </c>
      <c r="W325" s="10">
        <v>120</v>
      </c>
      <c r="X325" s="10">
        <v>7</v>
      </c>
      <c r="Y325" s="10"/>
      <c r="Z325" t="str">
        <f>"RUNNING_COST_"&amp;IF(PROPERTIES[[#This Row],[ENGINE_CLASS]]="MAGLEV","ELECTRIC",PROPERTIES[[#This Row],[ENGINE_CLASS]])</f>
        <v>RUNNING_COST_ELECTRIC</v>
      </c>
      <c r="AA325" s="10" t="s">
        <v>1002</v>
      </c>
      <c r="AB325" s="10" t="s">
        <v>1003</v>
      </c>
      <c r="AC325" s="10" t="str">
        <f>SUBSTITUTE(SUBSTITUTE(PROPERTIES[[#This Row],[PURCHASECOST_VALUE]], "PURCHASECOST_", ""), "_VALUE", "")</f>
        <v>METRO</v>
      </c>
      <c r="AD325" s="2" t="b">
        <v>0</v>
      </c>
      <c r="AV325"/>
      <c r="AW325"/>
      <c r="AX325"/>
    </row>
    <row r="326" spans="1:50">
      <c r="A326" s="2" t="s">
        <v>351</v>
      </c>
      <c r="B326">
        <v>2003</v>
      </c>
      <c r="C326">
        <v>1</v>
      </c>
      <c r="D326" t="s">
        <v>1987</v>
      </c>
      <c r="E326" t="str">
        <f>_xlfn.XLOOKUP(PROPERTIES[[#This Row],[COUNTRY]],COUNTRIES[COUNTRY_DESCRIPTION],COUNTRIES[COUNTRY_LABEL],"")</f>
        <v>RU</v>
      </c>
      <c r="F326" t="s">
        <v>19</v>
      </c>
      <c r="G326" t="s">
        <v>325</v>
      </c>
      <c r="H326">
        <v>172</v>
      </c>
      <c r="I326">
        <v>7</v>
      </c>
      <c r="J326">
        <v>7</v>
      </c>
      <c r="K326" s="2" t="s">
        <v>326</v>
      </c>
      <c r="L326">
        <f>_xlfn.XLOOKUP("LOADINGSPEEDDEF_"&amp;PROPERTIES[[#This Row],[LOADINGSPEED]],LOADINGSPEEDDEF[TYPE],LOADINGSPEEDDEF[SPEED])</f>
        <v>120</v>
      </c>
      <c r="M326" t="s">
        <v>21</v>
      </c>
      <c r="N326">
        <v>1</v>
      </c>
      <c r="O326" s="34">
        <v>47</v>
      </c>
      <c r="P326">
        <v>1400</v>
      </c>
      <c r="Q326">
        <v>90</v>
      </c>
      <c r="R326" s="31">
        <v>0</v>
      </c>
      <c r="S326" s="30">
        <f>IFERROR(PROPERTIES[[#This Row],[TE_STARTING_KN]]/(PROPERTIES[[#This Row],[WEIGHT]]*9.81),0)</f>
        <v>0</v>
      </c>
      <c r="T326" s="30">
        <v>0.3</v>
      </c>
      <c r="U326" s="27">
        <f>ROUND(IF(IFERROR(PROPERTIES[[#This Row],[TE_COEFFICIENT_CALC]],0)=0,PROPERTIES[[#This Row],[TE_COEFFICIENT_MANUAL]],PROPERTIES[[#This Row],[TE_COEFFICIENT_CALC]]),3)</f>
        <v>0.3</v>
      </c>
      <c r="V326" s="6">
        <v>60</v>
      </c>
      <c r="W326" s="10">
        <v>120</v>
      </c>
      <c r="X326" s="10">
        <v>6</v>
      </c>
      <c r="Y326" s="10"/>
      <c r="Z326" t="str">
        <f>"RUNNING_COST_"&amp;IF(PROPERTIES[[#This Row],[ENGINE_CLASS]]="MAGLEV","ELECTRIC",PROPERTIES[[#This Row],[ENGINE_CLASS]])</f>
        <v>RUNNING_COST_ELECTRIC</v>
      </c>
      <c r="AA326" s="10" t="s">
        <v>1002</v>
      </c>
      <c r="AB326" s="10" t="s">
        <v>1003</v>
      </c>
      <c r="AC326" s="10" t="str">
        <f>SUBSTITUTE(SUBSTITUTE(PROPERTIES[[#This Row],[PURCHASECOST_VALUE]], "PURCHASECOST_", ""), "_VALUE", "")</f>
        <v>METRO</v>
      </c>
      <c r="AD326" s="2" t="b">
        <v>0</v>
      </c>
      <c r="AV326"/>
      <c r="AW326"/>
      <c r="AX326"/>
    </row>
    <row r="327" spans="1:50">
      <c r="A327" s="2" t="s">
        <v>352</v>
      </c>
      <c r="B327">
        <v>2003</v>
      </c>
      <c r="C327">
        <v>1</v>
      </c>
      <c r="D327" t="s">
        <v>1994</v>
      </c>
      <c r="E327" t="str">
        <f>_xlfn.XLOOKUP(PROPERTIES[[#This Row],[COUNTRY]],COUNTRIES[COUNTRY_DESCRIPTION],COUNTRIES[COUNTRY_LABEL],"")</f>
        <v>SG</v>
      </c>
      <c r="F327" t="s">
        <v>19</v>
      </c>
      <c r="G327" t="s">
        <v>325</v>
      </c>
      <c r="H327">
        <v>150</v>
      </c>
      <c r="I327">
        <v>8</v>
      </c>
      <c r="J327">
        <v>8</v>
      </c>
      <c r="K327" s="2" t="s">
        <v>326</v>
      </c>
      <c r="L327">
        <f>_xlfn.XLOOKUP("LOADINGSPEEDDEF_"&amp;PROPERTIES[[#This Row],[LOADINGSPEED]],LOADINGSPEEDDEF[TYPE],LOADINGSPEEDDEF[SPEED])</f>
        <v>120</v>
      </c>
      <c r="M327" t="s">
        <v>21</v>
      </c>
      <c r="N327">
        <v>1</v>
      </c>
      <c r="O327" s="34">
        <v>35</v>
      </c>
      <c r="P327">
        <v>1500</v>
      </c>
      <c r="Q327">
        <v>90</v>
      </c>
      <c r="R327" s="31">
        <v>0</v>
      </c>
      <c r="S327" s="30">
        <f>IFERROR(PROPERTIES[[#This Row],[TE_STARTING_KN]]/(PROPERTIES[[#This Row],[WEIGHT]]*9.81),0)</f>
        <v>0</v>
      </c>
      <c r="T327" s="30">
        <v>0.3</v>
      </c>
      <c r="U327" s="27">
        <f>ROUND(IF(IFERROR(PROPERTIES[[#This Row],[TE_COEFFICIENT_CALC]],0)=0,PROPERTIES[[#This Row],[TE_COEFFICIENT_MANUAL]],PROPERTIES[[#This Row],[TE_COEFFICIENT_CALC]]),3)</f>
        <v>0.3</v>
      </c>
      <c r="V327" s="6">
        <v>60</v>
      </c>
      <c r="W327" s="10">
        <v>250</v>
      </c>
      <c r="X327" s="10">
        <v>8</v>
      </c>
      <c r="Y327" s="10"/>
      <c r="Z327" t="str">
        <f>"RUNNING_COST_"&amp;IF(PROPERTIES[[#This Row],[ENGINE_CLASS]]="MAGLEV","ELECTRIC",PROPERTIES[[#This Row],[ENGINE_CLASS]])</f>
        <v>RUNNING_COST_ELECTRIC</v>
      </c>
      <c r="AA327" s="10" t="s">
        <v>1002</v>
      </c>
      <c r="AB327" s="10" t="s">
        <v>1003</v>
      </c>
      <c r="AC327" s="10" t="str">
        <f>SUBSTITUTE(SUBSTITUTE(PROPERTIES[[#This Row],[PURCHASECOST_VALUE]], "PURCHASECOST_", ""), "_VALUE", "")</f>
        <v>METRO</v>
      </c>
      <c r="AD327" s="2" t="b">
        <v>0</v>
      </c>
      <c r="AV327"/>
      <c r="AW327"/>
      <c r="AX327"/>
    </row>
    <row r="328" spans="1:50">
      <c r="A328" s="2" t="s">
        <v>353</v>
      </c>
      <c r="B328">
        <v>2007</v>
      </c>
      <c r="C328">
        <v>1</v>
      </c>
      <c r="D328" t="s">
        <v>1963</v>
      </c>
      <c r="E328" t="str">
        <f>_xlfn.XLOOKUP(PROPERTIES[[#This Row],[COUNTRY]],COUNTRIES[COUNTRY_DESCRIPTION],COUNTRIES[COUNTRY_LABEL],"")</f>
        <v>NO</v>
      </c>
      <c r="F328" t="s">
        <v>19</v>
      </c>
      <c r="G328" t="s">
        <v>325</v>
      </c>
      <c r="H328">
        <v>164</v>
      </c>
      <c r="I328">
        <v>7</v>
      </c>
      <c r="J328">
        <v>7</v>
      </c>
      <c r="K328" s="2" t="s">
        <v>326</v>
      </c>
      <c r="L328">
        <f>_xlfn.XLOOKUP("LOADINGSPEEDDEF_"&amp;PROPERTIES[[#This Row],[LOADINGSPEED]],LOADINGSPEEDDEF[TYPE],LOADINGSPEEDDEF[SPEED])</f>
        <v>120</v>
      </c>
      <c r="M328" t="s">
        <v>21</v>
      </c>
      <c r="N328">
        <v>1</v>
      </c>
      <c r="O328" s="34">
        <v>31.3</v>
      </c>
      <c r="P328">
        <v>1500</v>
      </c>
      <c r="Q328">
        <v>80</v>
      </c>
      <c r="R328" s="31">
        <v>0</v>
      </c>
      <c r="S328" s="30">
        <f>IFERROR(PROPERTIES[[#This Row],[TE_STARTING_KN]]/(PROPERTIES[[#This Row],[WEIGHT]]*9.81),0)</f>
        <v>0</v>
      </c>
      <c r="T328" s="30">
        <v>0.32</v>
      </c>
      <c r="U328" s="27">
        <f>ROUND(IF(IFERROR(PROPERTIES[[#This Row],[TE_COEFFICIENT_CALC]],0)=0,PROPERTIES[[#This Row],[TE_COEFFICIENT_MANUAL]],PROPERTIES[[#This Row],[TE_COEFFICIENT_CALC]]),3)</f>
        <v>0.32</v>
      </c>
      <c r="V328" s="6">
        <v>60</v>
      </c>
      <c r="W328" s="10">
        <v>164</v>
      </c>
      <c r="X328" s="10">
        <v>7</v>
      </c>
      <c r="Y328" s="10"/>
      <c r="Z328" t="str">
        <f>"RUNNING_COST_"&amp;IF(PROPERTIES[[#This Row],[ENGINE_CLASS]]="MAGLEV","ELECTRIC",PROPERTIES[[#This Row],[ENGINE_CLASS]])</f>
        <v>RUNNING_COST_ELECTRIC</v>
      </c>
      <c r="AA328" s="10" t="s">
        <v>1002</v>
      </c>
      <c r="AB328" s="10" t="s">
        <v>1003</v>
      </c>
      <c r="AC328" s="10" t="str">
        <f>SUBSTITUTE(SUBSTITUTE(PROPERTIES[[#This Row],[PURCHASECOST_VALUE]], "PURCHASECOST_", ""), "_VALUE", "")</f>
        <v>METRO</v>
      </c>
      <c r="AD328" s="2" t="b">
        <v>0</v>
      </c>
      <c r="AV328"/>
      <c r="AW328"/>
      <c r="AX328"/>
    </row>
    <row r="329" spans="1:50">
      <c r="A329" s="2" t="s">
        <v>354</v>
      </c>
      <c r="B329">
        <v>2009</v>
      </c>
      <c r="C329">
        <v>1</v>
      </c>
      <c r="D329" t="s">
        <v>1910</v>
      </c>
      <c r="E329" t="str">
        <f>_xlfn.XLOOKUP(PROPERTIES[[#This Row],[COUNTRY]],COUNTRIES[COUNTRY_DESCRIPTION],COUNTRIES[COUNTRY_LABEL],"")</f>
        <v>JP</v>
      </c>
      <c r="F329" t="s">
        <v>19</v>
      </c>
      <c r="G329" t="s">
        <v>325</v>
      </c>
      <c r="H329">
        <v>140</v>
      </c>
      <c r="I329">
        <v>8</v>
      </c>
      <c r="J329">
        <v>8</v>
      </c>
      <c r="K329" s="2" t="s">
        <v>326</v>
      </c>
      <c r="L329">
        <f>_xlfn.XLOOKUP("LOADINGSPEEDDEF_"&amp;PROPERTIES[[#This Row],[LOADINGSPEED]],LOADINGSPEEDDEF[TYPE],LOADINGSPEEDDEF[SPEED])</f>
        <v>120</v>
      </c>
      <c r="M329" t="s">
        <v>21</v>
      </c>
      <c r="N329">
        <v>1</v>
      </c>
      <c r="O329" s="34">
        <v>31.5</v>
      </c>
      <c r="P329">
        <v>1820</v>
      </c>
      <c r="Q329">
        <v>70</v>
      </c>
      <c r="R329" s="31">
        <v>0</v>
      </c>
      <c r="S329" s="30">
        <f>IFERROR(PROPERTIES[[#This Row],[TE_STARTING_KN]]/(PROPERTIES[[#This Row],[WEIGHT]]*9.81),0)</f>
        <v>0</v>
      </c>
      <c r="T329" s="30">
        <v>0.3</v>
      </c>
      <c r="U329" s="27">
        <f>ROUND(IF(IFERROR(PROPERTIES[[#This Row],[TE_COEFFICIENT_CALC]],0)=0,PROPERTIES[[#This Row],[TE_COEFFICIENT_MANUAL]],PROPERTIES[[#This Row],[TE_COEFFICIENT_CALC]]),3)</f>
        <v>0.3</v>
      </c>
      <c r="V329" s="6">
        <v>60</v>
      </c>
      <c r="W329" s="10">
        <v>140</v>
      </c>
      <c r="X329" s="10">
        <v>8</v>
      </c>
      <c r="Y329" s="10"/>
      <c r="Z329" t="str">
        <f>"RUNNING_COST_"&amp;IF(PROPERTIES[[#This Row],[ENGINE_CLASS]]="MAGLEV","ELECTRIC",PROPERTIES[[#This Row],[ENGINE_CLASS]])</f>
        <v>RUNNING_COST_ELECTRIC</v>
      </c>
      <c r="AA329" s="10" t="s">
        <v>1002</v>
      </c>
      <c r="AB329" s="10" t="s">
        <v>1003</v>
      </c>
      <c r="AC329" s="10" t="str">
        <f>SUBSTITUTE(SUBSTITUTE(PROPERTIES[[#This Row],[PURCHASECOST_VALUE]], "PURCHASECOST_", ""), "_VALUE", "")</f>
        <v>METRO</v>
      </c>
      <c r="AD329" s="2" t="b">
        <v>0</v>
      </c>
      <c r="AV329"/>
      <c r="AW329"/>
      <c r="AX329"/>
    </row>
    <row r="330" spans="1:50">
      <c r="A330" s="2" t="s">
        <v>355</v>
      </c>
      <c r="B330">
        <v>2012</v>
      </c>
      <c r="C330">
        <v>1</v>
      </c>
      <c r="D330" t="s">
        <v>1994</v>
      </c>
      <c r="E330" t="str">
        <f>_xlfn.XLOOKUP(PROPERTIES[[#This Row],[COUNTRY]],COUNTRIES[COUNTRY_DESCRIPTION],COUNTRIES[COUNTRY_LABEL],"")</f>
        <v>SG</v>
      </c>
      <c r="F330" t="s">
        <v>19</v>
      </c>
      <c r="G330" t="s">
        <v>325</v>
      </c>
      <c r="H330">
        <v>162</v>
      </c>
      <c r="I330">
        <v>8</v>
      </c>
      <c r="J330">
        <v>8</v>
      </c>
      <c r="K330" s="2" t="s">
        <v>326</v>
      </c>
      <c r="L330">
        <f>_xlfn.XLOOKUP("LOADINGSPEEDDEF_"&amp;PROPERTIES[[#This Row],[LOADINGSPEED]],LOADINGSPEEDDEF[TYPE],LOADINGSPEEDDEF[SPEED])</f>
        <v>120</v>
      </c>
      <c r="M330" t="s">
        <v>21</v>
      </c>
      <c r="N330">
        <v>1</v>
      </c>
      <c r="O330" s="34">
        <v>35</v>
      </c>
      <c r="P330">
        <v>1580</v>
      </c>
      <c r="Q330">
        <v>90</v>
      </c>
      <c r="R330" s="31">
        <v>0</v>
      </c>
      <c r="S330" s="30">
        <f>IFERROR(PROPERTIES[[#This Row],[TE_STARTING_KN]]/(PROPERTIES[[#This Row],[WEIGHT]]*9.81),0)</f>
        <v>0</v>
      </c>
      <c r="T330" s="30">
        <v>0.3</v>
      </c>
      <c r="U330" s="27">
        <f>ROUND(IF(IFERROR(PROPERTIES[[#This Row],[TE_COEFFICIENT_CALC]],0)=0,PROPERTIES[[#This Row],[TE_COEFFICIENT_MANUAL]],PROPERTIES[[#This Row],[TE_COEFFICIENT_CALC]]),3)</f>
        <v>0.3</v>
      </c>
      <c r="V330" s="6">
        <v>60</v>
      </c>
      <c r="W330" s="10">
        <v>250</v>
      </c>
      <c r="X330" s="10">
        <v>8</v>
      </c>
      <c r="Y330" s="10"/>
      <c r="Z330" t="str">
        <f>"RUNNING_COST_"&amp;IF(PROPERTIES[[#This Row],[ENGINE_CLASS]]="MAGLEV","ELECTRIC",PROPERTIES[[#This Row],[ENGINE_CLASS]])</f>
        <v>RUNNING_COST_ELECTRIC</v>
      </c>
      <c r="AA330" s="10" t="s">
        <v>1002</v>
      </c>
      <c r="AB330" s="10" t="s">
        <v>1003</v>
      </c>
      <c r="AC330" s="10" t="str">
        <f>SUBSTITUTE(SUBSTITUTE(PROPERTIES[[#This Row],[PURCHASECOST_VALUE]], "PURCHASECOST_", ""), "_VALUE", "")</f>
        <v>METRO</v>
      </c>
      <c r="AD330" s="2" t="b">
        <v>0</v>
      </c>
      <c r="AV330"/>
      <c r="AW330"/>
      <c r="AX330"/>
    </row>
    <row r="331" spans="1:50">
      <c r="A331" s="2" t="s">
        <v>356</v>
      </c>
      <c r="B331">
        <v>2013</v>
      </c>
      <c r="C331">
        <v>1</v>
      </c>
      <c r="D331" t="s">
        <v>2029</v>
      </c>
      <c r="E331" t="str">
        <f>_xlfn.XLOOKUP(PROPERTIES[[#This Row],[COUNTRY]],COUNTRIES[COUNTRY_DESCRIPTION],COUNTRIES[COUNTRY_LABEL],"")</f>
        <v>US</v>
      </c>
      <c r="F331" t="s">
        <v>19</v>
      </c>
      <c r="G331" t="s">
        <v>325</v>
      </c>
      <c r="H331">
        <v>175</v>
      </c>
      <c r="I331">
        <v>8</v>
      </c>
      <c r="J331">
        <v>8</v>
      </c>
      <c r="K331" s="2" t="s">
        <v>326</v>
      </c>
      <c r="L331">
        <f>_xlfn.XLOOKUP("LOADINGSPEEDDEF_"&amp;PROPERTIES[[#This Row],[LOADINGSPEED]],LOADINGSPEEDDEF[TYPE],LOADINGSPEEDDEF[SPEED])</f>
        <v>120</v>
      </c>
      <c r="M331" t="s">
        <v>21</v>
      </c>
      <c r="N331">
        <v>1</v>
      </c>
      <c r="O331" s="34">
        <v>36.5</v>
      </c>
      <c r="P331">
        <v>1520</v>
      </c>
      <c r="Q331">
        <v>90</v>
      </c>
      <c r="R331" s="31">
        <v>0</v>
      </c>
      <c r="S331" s="30">
        <f>IFERROR(PROPERTIES[[#This Row],[TE_STARTING_KN]]/(PROPERTIES[[#This Row],[WEIGHT]]*9.81),0)</f>
        <v>0</v>
      </c>
      <c r="T331" s="30">
        <v>0.3</v>
      </c>
      <c r="U331" s="27">
        <f>ROUND(IF(IFERROR(PROPERTIES[[#This Row],[TE_COEFFICIENT_CALC]],0)=0,PROPERTIES[[#This Row],[TE_COEFFICIENT_MANUAL]],PROPERTIES[[#This Row],[TE_COEFFICIENT_CALC]]),3)</f>
        <v>0.3</v>
      </c>
      <c r="V331" s="6">
        <v>60</v>
      </c>
      <c r="W331" s="10">
        <v>184</v>
      </c>
      <c r="X331" s="10">
        <v>8</v>
      </c>
      <c r="Y331" s="10"/>
      <c r="Z331" t="str">
        <f>"RUNNING_COST_"&amp;IF(PROPERTIES[[#This Row],[ENGINE_CLASS]]="MAGLEV","ELECTRIC",PROPERTIES[[#This Row],[ENGINE_CLASS]])</f>
        <v>RUNNING_COST_ELECTRIC</v>
      </c>
      <c r="AA331" s="10" t="s">
        <v>1002</v>
      </c>
      <c r="AB331" s="10" t="s">
        <v>1003</v>
      </c>
      <c r="AC331" s="10" t="str">
        <f>SUBSTITUTE(SUBSTITUTE(PROPERTIES[[#This Row],[PURCHASECOST_VALUE]], "PURCHASECOST_", ""), "_VALUE", "")</f>
        <v>METRO</v>
      </c>
      <c r="AD331" s="2" t="b">
        <v>0</v>
      </c>
      <c r="AV331"/>
      <c r="AW331"/>
      <c r="AX331"/>
    </row>
    <row r="332" spans="1:50">
      <c r="A332" s="2" t="s">
        <v>357</v>
      </c>
      <c r="B332">
        <v>2024</v>
      </c>
      <c r="C332">
        <v>1</v>
      </c>
      <c r="D332" t="s">
        <v>1885</v>
      </c>
      <c r="E332" t="str">
        <f>_xlfn.XLOOKUP(PROPERTIES[[#This Row],[COUNTRY]],COUNTRIES[COUNTRY_DESCRIPTION],COUNTRIES[COUNTRY_LABEL],"")</f>
        <v>GR</v>
      </c>
      <c r="F332" t="s">
        <v>19</v>
      </c>
      <c r="G332" t="s">
        <v>325</v>
      </c>
      <c r="H332">
        <v>115</v>
      </c>
      <c r="I332">
        <v>6</v>
      </c>
      <c r="J332">
        <v>6</v>
      </c>
      <c r="K332" s="2" t="s">
        <v>326</v>
      </c>
      <c r="L332">
        <f>_xlfn.XLOOKUP("LOADINGSPEEDDEF_"&amp;PROPERTIES[[#This Row],[LOADINGSPEED]],LOADINGSPEEDDEF[TYPE],LOADINGSPEEDDEF[SPEED])</f>
        <v>120</v>
      </c>
      <c r="M332" t="s">
        <v>21</v>
      </c>
      <c r="N332">
        <v>1</v>
      </c>
      <c r="O332" s="34">
        <v>27.5</v>
      </c>
      <c r="P332">
        <v>1360</v>
      </c>
      <c r="Q332">
        <v>80</v>
      </c>
      <c r="R332" s="31">
        <v>0</v>
      </c>
      <c r="S332" s="30">
        <f>IFERROR(PROPERTIES[[#This Row],[TE_STARTING_KN]]/(PROPERTIES[[#This Row],[WEIGHT]]*9.81),0)</f>
        <v>0</v>
      </c>
      <c r="T332" s="30">
        <v>0.3</v>
      </c>
      <c r="U332" s="27">
        <f>ROUND(IF(IFERROR(PROPERTIES[[#This Row],[TE_COEFFICIENT_CALC]],0)=0,PROPERTIES[[#This Row],[TE_COEFFICIENT_MANUAL]],PROPERTIES[[#This Row],[TE_COEFFICIENT_CALC]]),3)</f>
        <v>0.3</v>
      </c>
      <c r="V332" s="6">
        <v>60</v>
      </c>
      <c r="W332" s="10">
        <v>110</v>
      </c>
      <c r="X332" s="10">
        <v>6</v>
      </c>
      <c r="Y332" s="10"/>
      <c r="Z332" t="str">
        <f>"RUNNING_COST_"&amp;IF(PROPERTIES[[#This Row],[ENGINE_CLASS]]="MAGLEV","ELECTRIC",PROPERTIES[[#This Row],[ENGINE_CLASS]])</f>
        <v>RUNNING_COST_ELECTRIC</v>
      </c>
      <c r="AA332" s="10" t="s">
        <v>1002</v>
      </c>
      <c r="AB332" s="10" t="s">
        <v>1003</v>
      </c>
      <c r="AC332" s="10" t="str">
        <f>SUBSTITUTE(SUBSTITUTE(PROPERTIES[[#This Row],[PURCHASECOST_VALUE]], "PURCHASECOST_", ""), "_VALUE", "")</f>
        <v>METRO</v>
      </c>
      <c r="AD332" s="2" t="b">
        <v>0</v>
      </c>
      <c r="AV332"/>
      <c r="AW332"/>
      <c r="AX332"/>
    </row>
    <row r="333" spans="1:50">
      <c r="A333" s="2" t="s">
        <v>358</v>
      </c>
      <c r="B333">
        <v>1901</v>
      </c>
      <c r="C333">
        <v>1</v>
      </c>
      <c r="D333" t="s">
        <v>1854</v>
      </c>
      <c r="E333" t="str">
        <f>_xlfn.XLOOKUP(PROPERTIES[[#This Row],[COUNTRY]],COUNTRIES[COUNTRY_DESCRIPTION],COUNTRIES[COUNTRY_LABEL],"")</f>
        <v>DE</v>
      </c>
      <c r="F333" t="s">
        <v>19</v>
      </c>
      <c r="G333" t="s">
        <v>325</v>
      </c>
      <c r="H333">
        <v>85</v>
      </c>
      <c r="I333">
        <v>5</v>
      </c>
      <c r="J333">
        <v>5</v>
      </c>
      <c r="K333" s="2" t="s">
        <v>326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4">
        <v>18.5</v>
      </c>
      <c r="P333">
        <v>320</v>
      </c>
      <c r="Q333">
        <v>50</v>
      </c>
      <c r="R333" s="31">
        <v>0</v>
      </c>
      <c r="S333" s="30">
        <f>IFERROR(PROPERTIES[[#This Row],[TE_STARTING_KN]]/(PROPERTIES[[#This Row],[WEIGHT]]*9.81),0)</f>
        <v>0</v>
      </c>
      <c r="T333" s="30">
        <v>0.18</v>
      </c>
      <c r="U333" s="27">
        <f>ROUND(IF(IFERROR(PROPERTIES[[#This Row],[TE_COEFFICIENT_CALC]],0)=0,PROPERTIES[[#This Row],[TE_COEFFICIENT_MANUAL]],PROPERTIES[[#This Row],[TE_COEFFICIENT_CALC]]),3)</f>
        <v>0.18</v>
      </c>
      <c r="V333" s="6">
        <v>60</v>
      </c>
      <c r="W333" s="10">
        <v>88</v>
      </c>
      <c r="X333" s="10">
        <v>5</v>
      </c>
      <c r="Y333" s="10"/>
      <c r="Z333" t="str">
        <f>"RUNNING_COST_"&amp;IF(PROPERTIES[[#This Row],[ENGINE_CLASS]]="MAGLEV","ELECTRIC",PROPERTIES[[#This Row],[ENGINE_CLASS]])</f>
        <v>RUNNING_COST_ELECTRIC</v>
      </c>
      <c r="AA333" s="10" t="s">
        <v>1002</v>
      </c>
      <c r="AB333" s="10" t="s">
        <v>1003</v>
      </c>
      <c r="AC333" s="10" t="str">
        <f>SUBSTITUTE(SUBSTITUTE(PROPERTIES[[#This Row],[PURCHASECOST_VALUE]], "PURCHASECOST_", ""), "_VALUE", "")</f>
        <v>METRO</v>
      </c>
      <c r="AD333" s="2" t="b">
        <v>0</v>
      </c>
      <c r="AV333"/>
      <c r="AW333"/>
      <c r="AX333"/>
    </row>
    <row r="334" spans="1:50">
      <c r="A334" s="2" t="s">
        <v>359</v>
      </c>
      <c r="B334">
        <v>1910</v>
      </c>
      <c r="C334">
        <v>1</v>
      </c>
      <c r="D334" t="s">
        <v>2029</v>
      </c>
      <c r="E334" t="str">
        <f>_xlfn.XLOOKUP(PROPERTIES[[#This Row],[COUNTRY]],COUNTRIES[COUNTRY_DESCRIPTION],COUNTRIES[COUNTRY_LABEL],"")</f>
        <v>US</v>
      </c>
      <c r="F334" t="s">
        <v>19</v>
      </c>
      <c r="G334" t="s">
        <v>325</v>
      </c>
      <c r="H334">
        <v>100</v>
      </c>
      <c r="I334">
        <v>8</v>
      </c>
      <c r="J334">
        <v>8</v>
      </c>
      <c r="K334" s="2" t="s">
        <v>326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4">
        <v>38.5</v>
      </c>
      <c r="P334">
        <v>400</v>
      </c>
      <c r="Q334">
        <v>72</v>
      </c>
      <c r="R334" s="31">
        <v>0</v>
      </c>
      <c r="S334" s="30">
        <f>IFERROR(PROPERTIES[[#This Row],[TE_STARTING_KN]]/(PROPERTIES[[#This Row],[WEIGHT]]*9.81),0)</f>
        <v>0</v>
      </c>
      <c r="T334" s="30">
        <v>0.18</v>
      </c>
      <c r="U334" s="27">
        <f>ROUND(IF(IFERROR(PROPERTIES[[#This Row],[TE_COEFFICIENT_CALC]],0)=0,PROPERTIES[[#This Row],[TE_COEFFICIENT_MANUAL]],PROPERTIES[[#This Row],[TE_COEFFICIENT_CALC]]),3)</f>
        <v>0.18</v>
      </c>
      <c r="V334" s="6">
        <v>60</v>
      </c>
      <c r="W334" s="10">
        <v>128</v>
      </c>
      <c r="X334" s="10">
        <v>8</v>
      </c>
      <c r="Y334" s="10"/>
      <c r="Z334" t="str">
        <f>"RUNNING_COST_"&amp;IF(PROPERTIES[[#This Row],[ENGINE_CLASS]]="MAGLEV","ELECTRIC",PROPERTIES[[#This Row],[ENGINE_CLASS]])</f>
        <v>RUNNING_COST_ELECTRIC</v>
      </c>
      <c r="AA334" s="10" t="s">
        <v>1002</v>
      </c>
      <c r="AB334" s="10" t="s">
        <v>1003</v>
      </c>
      <c r="AC334" s="10" t="str">
        <f>SUBSTITUTE(SUBSTITUTE(PROPERTIES[[#This Row],[PURCHASECOST_VALUE]], "PURCHASECOST_", ""), "_VALUE", "")</f>
        <v>METRO</v>
      </c>
      <c r="AD334" s="2" t="b">
        <v>0</v>
      </c>
      <c r="AV334"/>
      <c r="AW334"/>
      <c r="AX334"/>
    </row>
    <row r="335" spans="1:50">
      <c r="A335" s="2" t="s">
        <v>360</v>
      </c>
      <c r="B335">
        <v>1933</v>
      </c>
      <c r="C335">
        <v>1</v>
      </c>
      <c r="D335" t="s">
        <v>1910</v>
      </c>
      <c r="E335" t="str">
        <f>_xlfn.XLOOKUP(PROPERTIES[[#This Row],[COUNTRY]],COUNTRIES[COUNTRY_DESCRIPTION],COUNTRIES[COUNTRY_LABEL],"")</f>
        <v>JP</v>
      </c>
      <c r="F335" t="s">
        <v>19</v>
      </c>
      <c r="G335" t="s">
        <v>325</v>
      </c>
      <c r="H335">
        <v>120</v>
      </c>
      <c r="I335">
        <v>7</v>
      </c>
      <c r="J335">
        <v>7</v>
      </c>
      <c r="K335" s="2" t="s">
        <v>326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4">
        <v>40</v>
      </c>
      <c r="P335">
        <v>615</v>
      </c>
      <c r="Q335">
        <v>65</v>
      </c>
      <c r="R335" s="31">
        <v>0</v>
      </c>
      <c r="S335" s="30">
        <f>IFERROR(PROPERTIES[[#This Row],[TE_STARTING_KN]]/(PROPERTIES[[#This Row],[WEIGHT]]*9.81),0)</f>
        <v>0</v>
      </c>
      <c r="T335" s="30">
        <v>0.2</v>
      </c>
      <c r="U335" s="27">
        <f>ROUND(IF(IFERROR(PROPERTIES[[#This Row],[TE_COEFFICIENT_CALC]],0)=0,PROPERTIES[[#This Row],[TE_COEFFICIENT_MANUAL]],PROPERTIES[[#This Row],[TE_COEFFICIENT_CALC]]),3)</f>
        <v>0.2</v>
      </c>
      <c r="V335" s="6">
        <v>60</v>
      </c>
      <c r="W335" s="10">
        <v>145</v>
      </c>
      <c r="X335" s="10">
        <v>7</v>
      </c>
      <c r="Y335" s="10"/>
      <c r="Z335" t="str">
        <f>"RUNNING_COST_"&amp;IF(PROPERTIES[[#This Row],[ENGINE_CLASS]]="MAGLEV","ELECTRIC",PROPERTIES[[#This Row],[ENGINE_CLASS]])</f>
        <v>RUNNING_COST_ELECTRIC</v>
      </c>
      <c r="AA335" s="10" t="s">
        <v>1002</v>
      </c>
      <c r="AB335" s="10" t="s">
        <v>1003</v>
      </c>
      <c r="AC335" s="10" t="str">
        <f>SUBSTITUTE(SUBSTITUTE(PROPERTIES[[#This Row],[PURCHASECOST_VALUE]], "PURCHASECOST_", ""), "_VALUE", "")</f>
        <v>METRO</v>
      </c>
      <c r="AD335" s="2" t="b">
        <v>0</v>
      </c>
      <c r="AV335"/>
      <c r="AW335"/>
      <c r="AX335"/>
    </row>
    <row r="336" spans="1:50">
      <c r="A336" s="2" t="s">
        <v>361</v>
      </c>
      <c r="B336">
        <v>1934</v>
      </c>
      <c r="C336">
        <v>1</v>
      </c>
      <c r="D336" t="s">
        <v>2048</v>
      </c>
      <c r="E336" t="str">
        <f>_xlfn.XLOOKUP(PROPERTIES[[#This Row],[COUNTRY]],COUNTRIES[COUNTRY_DESCRIPTION],COUNTRIES[COUNTRY_LABEL],"")</f>
        <v>SU</v>
      </c>
      <c r="F336" t="s">
        <v>19</v>
      </c>
      <c r="G336" t="s">
        <v>325</v>
      </c>
      <c r="H336">
        <v>135</v>
      </c>
      <c r="I336">
        <v>7</v>
      </c>
      <c r="J336">
        <v>7</v>
      </c>
      <c r="K336" s="2" t="s">
        <v>326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4">
        <v>41</v>
      </c>
      <c r="P336">
        <v>535</v>
      </c>
      <c r="Q336">
        <v>65</v>
      </c>
      <c r="R336" s="31">
        <v>0</v>
      </c>
      <c r="S336" s="30">
        <f>IFERROR(PROPERTIES[[#This Row],[TE_STARTING_KN]]/(PROPERTIES[[#This Row],[WEIGHT]]*9.81),0)</f>
        <v>0</v>
      </c>
      <c r="T336" s="30">
        <v>0.19</v>
      </c>
      <c r="U336" s="27">
        <f>ROUND(IF(IFERROR(PROPERTIES[[#This Row],[TE_COEFFICIENT_CALC]],0)=0,PROPERTIES[[#This Row],[TE_COEFFICIENT_MANUAL]],PROPERTIES[[#This Row],[TE_COEFFICIENT_CALC]]),3)</f>
        <v>0.19</v>
      </c>
      <c r="V336" s="6">
        <v>60</v>
      </c>
      <c r="W336" s="10">
        <v>131</v>
      </c>
      <c r="X336" s="10">
        <v>7</v>
      </c>
      <c r="Y336" s="10"/>
      <c r="Z336" t="str">
        <f>"RUNNING_COST_"&amp;IF(PROPERTIES[[#This Row],[ENGINE_CLASS]]="MAGLEV","ELECTRIC",PROPERTIES[[#This Row],[ENGINE_CLASS]])</f>
        <v>RUNNING_COST_ELECTRIC</v>
      </c>
      <c r="AA336" s="10" t="s">
        <v>1002</v>
      </c>
      <c r="AB336" s="10" t="s">
        <v>1003</v>
      </c>
      <c r="AC336" s="10" t="str">
        <f>SUBSTITUTE(SUBSTITUTE(PROPERTIES[[#This Row],[PURCHASECOST_VALUE]], "PURCHASECOST_", ""), "_VALUE", "")</f>
        <v>METRO</v>
      </c>
      <c r="AD336" s="2" t="b">
        <v>0</v>
      </c>
      <c r="AV336"/>
      <c r="AW336"/>
      <c r="AX336"/>
    </row>
    <row r="337" spans="1:50">
      <c r="A337" s="2" t="s">
        <v>362</v>
      </c>
      <c r="B337">
        <v>1948</v>
      </c>
      <c r="C337">
        <v>1</v>
      </c>
      <c r="D337" t="s">
        <v>2029</v>
      </c>
      <c r="E337" t="str">
        <f>_xlfn.XLOOKUP(PROPERTIES[[#This Row],[COUNTRY]],COUNTRIES[COUNTRY_DESCRIPTION],COUNTRIES[COUNTRY_LABEL],"")</f>
        <v>US</v>
      </c>
      <c r="F337" t="s">
        <v>19</v>
      </c>
      <c r="G337" t="s">
        <v>325</v>
      </c>
      <c r="H337">
        <v>145</v>
      </c>
      <c r="I337">
        <v>8</v>
      </c>
      <c r="J337">
        <v>8</v>
      </c>
      <c r="K337" s="2" t="s">
        <v>326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4">
        <v>36.5</v>
      </c>
      <c r="P337">
        <v>800</v>
      </c>
      <c r="Q337">
        <v>88</v>
      </c>
      <c r="R337" s="31">
        <v>0</v>
      </c>
      <c r="S337" s="30">
        <f>IFERROR(PROPERTIES[[#This Row],[TE_STARTING_KN]]/(PROPERTIES[[#This Row],[WEIGHT]]*9.81),0)</f>
        <v>0</v>
      </c>
      <c r="T337" s="30">
        <v>0.21</v>
      </c>
      <c r="U337" s="27">
        <f>ROUND(IF(IFERROR(PROPERTIES[[#This Row],[TE_COEFFICIENT_CALC]],0)=0,PROPERTIES[[#This Row],[TE_COEFFICIENT_MANUAL]],PROPERTIES[[#This Row],[TE_COEFFICIENT_CALC]]),3)</f>
        <v>0.21</v>
      </c>
      <c r="V337" s="6">
        <v>60</v>
      </c>
      <c r="W337" s="10">
        <v>160</v>
      </c>
      <c r="X337" s="10">
        <v>8</v>
      </c>
      <c r="Y337" s="10"/>
      <c r="Z337" t="str">
        <f>"RUNNING_COST_"&amp;IF(PROPERTIES[[#This Row],[ENGINE_CLASS]]="MAGLEV","ELECTRIC",PROPERTIES[[#This Row],[ENGINE_CLASS]])</f>
        <v>RUNNING_COST_ELECTRIC</v>
      </c>
      <c r="AA337" s="10" t="s">
        <v>1002</v>
      </c>
      <c r="AB337" s="10" t="s">
        <v>1003</v>
      </c>
      <c r="AC337" s="10" t="str">
        <f>SUBSTITUTE(SUBSTITUTE(PROPERTIES[[#This Row],[PURCHASECOST_VALUE]], "PURCHASECOST_", ""), "_VALUE", "")</f>
        <v>METRO</v>
      </c>
      <c r="AD337" s="2" t="b">
        <v>0</v>
      </c>
      <c r="AV337"/>
      <c r="AW337"/>
      <c r="AX337"/>
    </row>
    <row r="338" spans="1:50">
      <c r="A338" s="2" t="s">
        <v>363</v>
      </c>
      <c r="B338">
        <v>1954</v>
      </c>
      <c r="C338">
        <v>1</v>
      </c>
      <c r="D338" t="s">
        <v>1906</v>
      </c>
      <c r="E338" t="str">
        <f>_xlfn.XLOOKUP(PROPERTIES[[#This Row],[COUNTRY]],COUNTRIES[COUNTRY_DESCRIPTION],COUNTRIES[COUNTRY_LABEL],"")</f>
        <v>IT</v>
      </c>
      <c r="F338" t="s">
        <v>19</v>
      </c>
      <c r="G338" t="s">
        <v>325</v>
      </c>
      <c r="H338">
        <v>140</v>
      </c>
      <c r="I338">
        <v>7</v>
      </c>
      <c r="J338">
        <v>7</v>
      </c>
      <c r="K338" s="2" t="s">
        <v>326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4">
        <v>40</v>
      </c>
      <c r="P338">
        <v>830</v>
      </c>
      <c r="Q338">
        <v>100</v>
      </c>
      <c r="R338" s="31">
        <v>0</v>
      </c>
      <c r="S338" s="30">
        <f>IFERROR(PROPERTIES[[#This Row],[TE_STARTING_KN]]/(PROPERTIES[[#This Row],[WEIGHT]]*9.81),0)</f>
        <v>0</v>
      </c>
      <c r="T338" s="30">
        <v>0.21</v>
      </c>
      <c r="U338" s="27">
        <f>ROUND(IF(IFERROR(PROPERTIES[[#This Row],[TE_COEFFICIENT_CALC]],0)=0,PROPERTIES[[#This Row],[TE_COEFFICIENT_MANUAL]],PROPERTIES[[#This Row],[TE_COEFFICIENT_CALC]]),3)</f>
        <v>0.21</v>
      </c>
      <c r="V338" s="6">
        <v>60</v>
      </c>
      <c r="W338" s="10">
        <v>156</v>
      </c>
      <c r="X338" s="10">
        <v>7</v>
      </c>
      <c r="Y338" s="10"/>
      <c r="Z338" t="str">
        <f>"RUNNING_COST_"&amp;IF(PROPERTIES[[#This Row],[ENGINE_CLASS]]="MAGLEV","ELECTRIC",PROPERTIES[[#This Row],[ENGINE_CLASS]])</f>
        <v>RUNNING_COST_ELECTRIC</v>
      </c>
      <c r="AA338" s="10" t="s">
        <v>1002</v>
      </c>
      <c r="AB338" s="10" t="s">
        <v>1003</v>
      </c>
      <c r="AC338" s="10" t="str">
        <f>SUBSTITUTE(SUBSTITUTE(PROPERTIES[[#This Row],[PURCHASECOST_VALUE]], "PURCHASECOST_", ""), "_VALUE", "")</f>
        <v>METRO</v>
      </c>
      <c r="AD338" s="2" t="b">
        <v>0</v>
      </c>
      <c r="AV338"/>
      <c r="AW338"/>
      <c r="AX338"/>
    </row>
    <row r="339" spans="1:50">
      <c r="A339" s="2" t="s">
        <v>364</v>
      </c>
      <c r="B339">
        <v>1955</v>
      </c>
      <c r="C339">
        <v>1</v>
      </c>
      <c r="D339" t="s">
        <v>2048</v>
      </c>
      <c r="E339" t="str">
        <f>_xlfn.XLOOKUP(PROPERTIES[[#This Row],[COUNTRY]],COUNTRIES[COUNTRY_DESCRIPTION],COUNTRIES[COUNTRY_LABEL],"")</f>
        <v>SU</v>
      </c>
      <c r="F339" t="s">
        <v>19</v>
      </c>
      <c r="G339" t="s">
        <v>325</v>
      </c>
      <c r="H339">
        <v>140</v>
      </c>
      <c r="I339">
        <v>8</v>
      </c>
      <c r="J339">
        <v>8</v>
      </c>
      <c r="K339" s="2" t="s">
        <v>326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4">
        <v>36.200000000000003</v>
      </c>
      <c r="P339">
        <v>760</v>
      </c>
      <c r="Q339">
        <v>75</v>
      </c>
      <c r="R339" s="31">
        <v>0</v>
      </c>
      <c r="S339" s="30">
        <f>IFERROR(PROPERTIES[[#This Row],[TE_STARTING_KN]]/(PROPERTIES[[#This Row],[WEIGHT]]*9.81),0)</f>
        <v>0</v>
      </c>
      <c r="T339" s="30">
        <v>0.21</v>
      </c>
      <c r="U339" s="27">
        <f>ROUND(IF(IFERROR(PROPERTIES[[#This Row],[TE_COEFFICIENT_CALC]],0)=0,PROPERTIES[[#This Row],[TE_COEFFICIENT_MANUAL]],PROPERTIES[[#This Row],[TE_COEFFICIENT_CALC]]),3)</f>
        <v>0.21</v>
      </c>
      <c r="V339" s="6">
        <v>60</v>
      </c>
      <c r="W339" s="10">
        <v>132</v>
      </c>
      <c r="X339" s="10">
        <v>8</v>
      </c>
      <c r="Y339" s="10"/>
      <c r="Z339" t="str">
        <f>"RUNNING_COST_"&amp;IF(PROPERTIES[[#This Row],[ENGINE_CLASS]]="MAGLEV","ELECTRIC",PROPERTIES[[#This Row],[ENGINE_CLASS]])</f>
        <v>RUNNING_COST_ELECTRIC</v>
      </c>
      <c r="AA339" s="10" t="s">
        <v>1002</v>
      </c>
      <c r="AB339" s="10" t="s">
        <v>1003</v>
      </c>
      <c r="AC339" s="10" t="str">
        <f>SUBSTITUTE(SUBSTITUTE(PROPERTIES[[#This Row],[PURCHASECOST_VALUE]], "PURCHASECOST_", ""), "_VALUE", "")</f>
        <v>METRO</v>
      </c>
      <c r="AD339" s="2" t="b">
        <v>0</v>
      </c>
      <c r="AV339"/>
      <c r="AW339"/>
      <c r="AX339"/>
    </row>
    <row r="340" spans="1:50">
      <c r="A340" s="2" t="s">
        <v>365</v>
      </c>
      <c r="B340">
        <v>1968</v>
      </c>
      <c r="C340">
        <v>1</v>
      </c>
      <c r="D340" t="s">
        <v>1962</v>
      </c>
      <c r="E340" t="str">
        <f>_xlfn.XLOOKUP(PROPERTIES[[#This Row],[COUNTRY]],COUNTRIES[COUNTRY_DESCRIPTION],COUNTRIES[COUNTRY_LABEL],"")</f>
        <v>NL</v>
      </c>
      <c r="F340" t="s">
        <v>19</v>
      </c>
      <c r="G340" t="s">
        <v>325</v>
      </c>
      <c r="H340">
        <v>140</v>
      </c>
      <c r="I340">
        <v>7</v>
      </c>
      <c r="J340">
        <v>7</v>
      </c>
      <c r="K340" s="2" t="s">
        <v>326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4">
        <v>25</v>
      </c>
      <c r="P340">
        <v>630</v>
      </c>
      <c r="Q340">
        <v>80</v>
      </c>
      <c r="R340" s="31">
        <v>0</v>
      </c>
      <c r="S340" s="30">
        <f>IFERROR(PROPERTIES[[#This Row],[TE_STARTING_KN]]/(PROPERTIES[[#This Row],[WEIGHT]]*9.81),0)</f>
        <v>0</v>
      </c>
      <c r="T340" s="30">
        <v>0.23</v>
      </c>
      <c r="U340" s="27">
        <f>ROUND(IF(IFERROR(PROPERTIES[[#This Row],[TE_COEFFICIENT_CALC]],0)=0,PROPERTIES[[#This Row],[TE_COEFFICIENT_MANUAL]],PROPERTIES[[#This Row],[TE_COEFFICIENT_CALC]]),3)</f>
        <v>0.23</v>
      </c>
      <c r="V340" s="6">
        <v>60</v>
      </c>
      <c r="W340" s="10">
        <v>235</v>
      </c>
      <c r="X340" s="10">
        <v>7</v>
      </c>
      <c r="Y340" s="10"/>
      <c r="Z340" t="str">
        <f>"RUNNING_COST_"&amp;IF(PROPERTIES[[#This Row],[ENGINE_CLASS]]="MAGLEV","ELECTRIC",PROPERTIES[[#This Row],[ENGINE_CLASS]])</f>
        <v>RUNNING_COST_ELECTRIC</v>
      </c>
      <c r="AA340" s="10" t="s">
        <v>1002</v>
      </c>
      <c r="AB340" s="10" t="s">
        <v>1003</v>
      </c>
      <c r="AC340" s="10" t="str">
        <f>SUBSTITUTE(SUBSTITUTE(PROPERTIES[[#This Row],[PURCHASECOST_VALUE]], "PURCHASECOST_", ""), "_VALUE", "")</f>
        <v>METRO</v>
      </c>
      <c r="AD340" s="2" t="b">
        <v>0</v>
      </c>
      <c r="AV340"/>
      <c r="AW340"/>
      <c r="AX340"/>
    </row>
    <row r="341" spans="1:50">
      <c r="A341" s="2" t="s">
        <v>366</v>
      </c>
      <c r="B341">
        <v>1972</v>
      </c>
      <c r="C341">
        <v>1</v>
      </c>
      <c r="D341" t="s">
        <v>1853</v>
      </c>
      <c r="E341" t="str">
        <f>_xlfn.XLOOKUP(PROPERTIES[[#This Row],[COUNTRY]],COUNTRIES[COUNTRY_DESCRIPTION],COUNTRIES[COUNTRY_LABEL],"")</f>
        <v>CZ</v>
      </c>
      <c r="F341" t="s">
        <v>19</v>
      </c>
      <c r="G341" t="s">
        <v>325</v>
      </c>
      <c r="H341">
        <v>131</v>
      </c>
      <c r="I341">
        <v>8</v>
      </c>
      <c r="J341">
        <v>8</v>
      </c>
      <c r="K341" s="2" t="s">
        <v>326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4">
        <v>32.5</v>
      </c>
      <c r="P341">
        <v>910</v>
      </c>
      <c r="Q341">
        <v>80</v>
      </c>
      <c r="R341" s="31">
        <v>0</v>
      </c>
      <c r="S341" s="30">
        <f>IFERROR(PROPERTIES[[#This Row],[TE_STARTING_KN]]/(PROPERTIES[[#This Row],[WEIGHT]]*9.81),0)</f>
        <v>0</v>
      </c>
      <c r="T341" s="30">
        <v>0.25</v>
      </c>
      <c r="U341" s="27">
        <f>ROUND(IF(IFERROR(PROPERTIES[[#This Row],[TE_COEFFICIENT_CALC]],0)=0,PROPERTIES[[#This Row],[TE_COEFFICIENT_MANUAL]],PROPERTIES[[#This Row],[TE_COEFFICIENT_CALC]]),3)</f>
        <v>0.25</v>
      </c>
      <c r="V341" s="6">
        <v>60</v>
      </c>
      <c r="W341" s="10">
        <v>150</v>
      </c>
      <c r="X341" s="10">
        <v>8</v>
      </c>
      <c r="Y341" s="10"/>
      <c r="Z341" t="str">
        <f>"RUNNING_COST_"&amp;IF(PROPERTIES[[#This Row],[ENGINE_CLASS]]="MAGLEV","ELECTRIC",PROPERTIES[[#This Row],[ENGINE_CLASS]])</f>
        <v>RUNNING_COST_ELECTRIC</v>
      </c>
      <c r="AA341" s="10" t="s">
        <v>1002</v>
      </c>
      <c r="AB341" s="10" t="s">
        <v>1003</v>
      </c>
      <c r="AC341" s="10" t="str">
        <f>SUBSTITUTE(SUBSTITUTE(PROPERTIES[[#This Row],[PURCHASECOST_VALUE]], "PURCHASECOST_", ""), "_VALUE", "")</f>
        <v>METRO</v>
      </c>
      <c r="AD341" s="2" t="b">
        <v>0</v>
      </c>
      <c r="AV341"/>
      <c r="AW341"/>
      <c r="AX341"/>
    </row>
    <row r="342" spans="1:50">
      <c r="A342" s="2" t="s">
        <v>367</v>
      </c>
      <c r="B342">
        <v>1999</v>
      </c>
      <c r="C342">
        <v>1</v>
      </c>
      <c r="D342" t="s">
        <v>1807</v>
      </c>
      <c r="E342" t="str">
        <f>_xlfn.XLOOKUP(PROPERTIES[[#This Row],[COUNTRY]],COUNTRIES[COUNTRY_DESCRIPTION],COUNTRIES[COUNTRY_LABEL],"")</f>
        <v>AR</v>
      </c>
      <c r="F342" t="s">
        <v>19</v>
      </c>
      <c r="G342" t="s">
        <v>325</v>
      </c>
      <c r="H342">
        <v>115</v>
      </c>
      <c r="I342">
        <v>7</v>
      </c>
      <c r="J342">
        <v>7</v>
      </c>
      <c r="K342" s="2" t="s">
        <v>326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4">
        <v>23.5</v>
      </c>
      <c r="P342">
        <v>640</v>
      </c>
      <c r="Q342">
        <v>75</v>
      </c>
      <c r="R342" s="31">
        <v>0</v>
      </c>
      <c r="S342" s="30">
        <f>IFERROR(PROPERTIES[[#This Row],[TE_STARTING_KN]]/(PROPERTIES[[#This Row],[WEIGHT]]*9.81),0)</f>
        <v>0</v>
      </c>
      <c r="T342" s="30">
        <v>0.23</v>
      </c>
      <c r="U342" s="27">
        <f>ROUND(IF(IFERROR(PROPERTIES[[#This Row],[TE_COEFFICIENT_CALC]],0)=0,PROPERTIES[[#This Row],[TE_COEFFICIENT_MANUAL]],PROPERTIES[[#This Row],[TE_COEFFICIENT_CALC]]),3)</f>
        <v>0.23</v>
      </c>
      <c r="V342" s="6">
        <v>40</v>
      </c>
      <c r="W342" s="10">
        <v>162</v>
      </c>
      <c r="X342" s="10">
        <v>7</v>
      </c>
      <c r="Y342" s="10"/>
      <c r="Z342" t="str">
        <f>"RUNNING_COST_"&amp;IF(PROPERTIES[[#This Row],[ENGINE_CLASS]]="MAGLEV","ELECTRIC",PROPERTIES[[#This Row],[ENGINE_CLASS]])</f>
        <v>RUNNING_COST_ELECTRIC</v>
      </c>
      <c r="AA342" s="10" t="s">
        <v>1002</v>
      </c>
      <c r="AB342" s="10" t="s">
        <v>1003</v>
      </c>
      <c r="AC342" s="10" t="str">
        <f>SUBSTITUTE(SUBSTITUTE(PROPERTIES[[#This Row],[PURCHASECOST_VALUE]], "PURCHASECOST_", ""), "_VALUE", "")</f>
        <v>METRO</v>
      </c>
      <c r="AD342" s="2" t="b">
        <v>0</v>
      </c>
      <c r="AV342"/>
      <c r="AW342"/>
      <c r="AX342"/>
    </row>
    <row r="343" spans="1:50">
      <c r="A343" s="2" t="s">
        <v>368</v>
      </c>
      <c r="B343">
        <v>1996</v>
      </c>
      <c r="C343">
        <v>1</v>
      </c>
      <c r="D343" t="s">
        <v>1843</v>
      </c>
      <c r="E343" t="str">
        <f>_xlfn.XLOOKUP(PROPERTIES[[#This Row],[COUNTRY]],COUNTRIES[COUNTRY_DESCRIPTION],COUNTRIES[COUNTRY_LABEL],"")</f>
        <v>CL</v>
      </c>
      <c r="F343" t="s">
        <v>19</v>
      </c>
      <c r="G343" t="s">
        <v>325</v>
      </c>
      <c r="H343">
        <v>160</v>
      </c>
      <c r="I343">
        <v>7</v>
      </c>
      <c r="J343">
        <v>7</v>
      </c>
      <c r="K343" s="2" t="s">
        <v>326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4">
        <v>24.5</v>
      </c>
      <c r="P343">
        <v>2400</v>
      </c>
      <c r="Q343">
        <v>100</v>
      </c>
      <c r="R343" s="31">
        <v>0</v>
      </c>
      <c r="S343" s="30">
        <f>IFERROR(PROPERTIES[[#This Row],[TE_STARTING_KN]]/(PROPERTIES[[#This Row],[WEIGHT]]*9.81),0)</f>
        <v>0</v>
      </c>
      <c r="T343" s="30">
        <v>0.35</v>
      </c>
      <c r="U343" s="27">
        <f>ROUND(IF(IFERROR(PROPERTIES[[#This Row],[TE_COEFFICIENT_CALC]],0)=0,PROPERTIES[[#This Row],[TE_COEFFICIENT_MANUAL]],PROPERTIES[[#This Row],[TE_COEFFICIENT_CALC]]),3)</f>
        <v>0.35</v>
      </c>
      <c r="V343" s="6">
        <v>40</v>
      </c>
      <c r="W343" s="10">
        <v>116</v>
      </c>
      <c r="X343" s="10">
        <v>7</v>
      </c>
      <c r="Y343" s="10"/>
      <c r="Z343" t="str">
        <f>"RUNNING_COST_"&amp;IF(PROPERTIES[[#This Row],[ENGINE_CLASS]]="MAGLEV","ELECTRIC",PROPERTIES[[#This Row],[ENGINE_CLASS]])</f>
        <v>RUNNING_COST_ELECTRIC</v>
      </c>
      <c r="AA343" s="10" t="s">
        <v>1002</v>
      </c>
      <c r="AB343" s="10" t="s">
        <v>1003</v>
      </c>
      <c r="AC343" s="10" t="str">
        <f>SUBSTITUTE(SUBSTITUTE(PROPERTIES[[#This Row],[PURCHASECOST_VALUE]], "PURCHASECOST_", ""), "_VALUE", "")</f>
        <v>METRO</v>
      </c>
      <c r="AD343" s="2" t="b">
        <v>0</v>
      </c>
      <c r="AV343"/>
      <c r="AW343"/>
      <c r="AX343"/>
    </row>
    <row r="344" spans="1:50">
      <c r="A344" s="2" t="s">
        <v>369</v>
      </c>
      <c r="B344">
        <v>2004</v>
      </c>
      <c r="C344">
        <v>1</v>
      </c>
      <c r="D344" t="s">
        <v>1843</v>
      </c>
      <c r="E344" t="str">
        <f>_xlfn.XLOOKUP(PROPERTIES[[#This Row],[COUNTRY]],COUNTRIES[COUNTRY_DESCRIPTION],COUNTRIES[COUNTRY_LABEL],"")</f>
        <v>CL</v>
      </c>
      <c r="F344" t="s">
        <v>19</v>
      </c>
      <c r="G344" t="s">
        <v>325</v>
      </c>
      <c r="H344">
        <v>175</v>
      </c>
      <c r="I344">
        <v>8</v>
      </c>
      <c r="J344">
        <v>8</v>
      </c>
      <c r="K344" s="2" t="s">
        <v>326</v>
      </c>
      <c r="L344">
        <f>_xlfn.XLOOKUP("LOADINGSPEEDDEF_"&amp;PROPERTIES[[#This Row],[LOADINGSPEED]],LOADINGSPEEDDEF[TYPE],LOADINGSPEEDDEF[SPEED])</f>
        <v>120</v>
      </c>
      <c r="M344" t="s">
        <v>21</v>
      </c>
      <c r="N344">
        <v>1</v>
      </c>
      <c r="O344" s="34">
        <v>32</v>
      </c>
      <c r="P344">
        <v>1550</v>
      </c>
      <c r="Q344">
        <v>100</v>
      </c>
      <c r="R344" s="31">
        <v>0</v>
      </c>
      <c r="S344" s="30">
        <f>IFERROR(PROPERTIES[[#This Row],[TE_STARTING_KN]]/(PROPERTIES[[#This Row],[WEIGHT]]*9.81),0)</f>
        <v>0</v>
      </c>
      <c r="T344" s="30">
        <v>0.28000000000000003</v>
      </c>
      <c r="U344" s="27">
        <f>ROUND(IF(IFERROR(PROPERTIES[[#This Row],[TE_COEFFICIENT_CALC]],0)=0,PROPERTIES[[#This Row],[TE_COEFFICIENT_MANUAL]],PROPERTIES[[#This Row],[TE_COEFFICIENT_CALC]]),3)</f>
        <v>0.28000000000000003</v>
      </c>
      <c r="V344" s="6">
        <v>40</v>
      </c>
      <c r="W344" s="10">
        <v>196</v>
      </c>
      <c r="X344" s="10">
        <v>8</v>
      </c>
      <c r="Y344" s="10"/>
      <c r="Z344" t="str">
        <f>"RUNNING_COST_"&amp;IF(PROPERTIES[[#This Row],[ENGINE_CLASS]]="MAGLEV","ELECTRIC",PROPERTIES[[#This Row],[ENGINE_CLASS]])</f>
        <v>RUNNING_COST_ELECTRIC</v>
      </c>
      <c r="AA344" s="10" t="s">
        <v>1002</v>
      </c>
      <c r="AB344" s="10" t="s">
        <v>1003</v>
      </c>
      <c r="AC344" s="10" t="str">
        <f>SUBSTITUTE(SUBSTITUTE(PROPERTIES[[#This Row],[PURCHASECOST_VALUE]], "PURCHASECOST_", ""), "_VALUE", "")</f>
        <v>METRO</v>
      </c>
      <c r="AD344" s="2" t="b">
        <v>0</v>
      </c>
      <c r="AV344"/>
      <c r="AW344"/>
      <c r="AX344"/>
    </row>
    <row r="345" spans="1:50">
      <c r="A345" s="2" t="s">
        <v>370</v>
      </c>
      <c r="B345">
        <v>2008</v>
      </c>
      <c r="C345">
        <v>1</v>
      </c>
      <c r="D345" t="s">
        <v>1828</v>
      </c>
      <c r="E345" t="str">
        <f>_xlfn.XLOOKUP(PROPERTIES[[#This Row],[COUNTRY]],COUNTRIES[COUNTRY_DESCRIPTION],COUNTRIES[COUNTRY_LABEL],"")</f>
        <v>BR</v>
      </c>
      <c r="F345" t="s">
        <v>19</v>
      </c>
      <c r="G345" t="s">
        <v>325</v>
      </c>
      <c r="H345">
        <v>150</v>
      </c>
      <c r="I345">
        <v>8</v>
      </c>
      <c r="J345">
        <v>8</v>
      </c>
      <c r="K345" s="2" t="s">
        <v>326</v>
      </c>
      <c r="L345">
        <f>_xlfn.XLOOKUP("LOADINGSPEEDDEF_"&amp;PROPERTIES[[#This Row],[LOADINGSPEED]],LOADINGSPEEDDEF[TYPE],LOADINGSPEEDDEF[SPEED])</f>
        <v>120</v>
      </c>
      <c r="M345" t="s">
        <v>21</v>
      </c>
      <c r="N345">
        <v>1</v>
      </c>
      <c r="O345" s="34">
        <v>28</v>
      </c>
      <c r="P345">
        <v>1000</v>
      </c>
      <c r="Q345">
        <v>80</v>
      </c>
      <c r="R345" s="31">
        <v>0</v>
      </c>
      <c r="S345" s="30">
        <f>IFERROR(PROPERTIES[[#This Row],[TE_STARTING_KN]]/(PROPERTIES[[#This Row],[WEIGHT]]*9.81),0)</f>
        <v>0</v>
      </c>
      <c r="T345" s="30">
        <v>0.24</v>
      </c>
      <c r="U345" s="27">
        <f>ROUND(IF(IFERROR(PROPERTIES[[#This Row],[TE_COEFFICIENT_CALC]],0)=0,PROPERTIES[[#This Row],[TE_COEFFICIENT_MANUAL]],PROPERTIES[[#This Row],[TE_COEFFICIENT_CALC]]),3)</f>
        <v>0.24</v>
      </c>
      <c r="V345" s="6">
        <v>40</v>
      </c>
      <c r="W345" s="10">
        <v>182</v>
      </c>
      <c r="X345" s="10">
        <v>8</v>
      </c>
      <c r="Y345" s="10"/>
      <c r="Z345" t="str">
        <f>"RUNNING_COST_"&amp;IF(PROPERTIES[[#This Row],[ENGINE_CLASS]]="MAGLEV","ELECTRIC",PROPERTIES[[#This Row],[ENGINE_CLASS]])</f>
        <v>RUNNING_COST_ELECTRIC</v>
      </c>
      <c r="AA345" s="10" t="s">
        <v>1002</v>
      </c>
      <c r="AB345" s="10" t="s">
        <v>1003</v>
      </c>
      <c r="AC345" s="10" t="str">
        <f>SUBSTITUTE(SUBSTITUTE(PROPERTIES[[#This Row],[PURCHASECOST_VALUE]], "PURCHASECOST_", ""), "_VALUE", "")</f>
        <v>METRO</v>
      </c>
      <c r="AD345" s="2" t="b">
        <v>0</v>
      </c>
      <c r="AV345"/>
      <c r="AW345"/>
      <c r="AX345"/>
    </row>
    <row r="346" spans="1:50">
      <c r="A346" s="2" t="s">
        <v>371</v>
      </c>
      <c r="B346">
        <v>1974</v>
      </c>
      <c r="C346">
        <v>1</v>
      </c>
      <c r="D346" t="s">
        <v>1865</v>
      </c>
      <c r="E346" t="str">
        <f>_xlfn.XLOOKUP(PROPERTIES[[#This Row],[COUNTRY]],COUNTRIES[COUNTRY_DESCRIPTION],COUNTRIES[COUNTRY_LABEL],"")</f>
        <v>ES</v>
      </c>
      <c r="F346" t="s">
        <v>19</v>
      </c>
      <c r="G346" t="s">
        <v>325</v>
      </c>
      <c r="H346">
        <v>160</v>
      </c>
      <c r="I346">
        <v>8</v>
      </c>
      <c r="J346">
        <v>8</v>
      </c>
      <c r="K346" s="2" t="s">
        <v>24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4">
        <v>32</v>
      </c>
      <c r="P346">
        <v>1100</v>
      </c>
      <c r="Q346">
        <v>80</v>
      </c>
      <c r="R346" s="31">
        <v>0</v>
      </c>
      <c r="S346" s="30">
        <f>IFERROR(PROPERTIES[[#This Row],[TE_STARTING_KN]]/(PROPERTIES[[#This Row],[WEIGHT]]*9.81),0)</f>
        <v>0</v>
      </c>
      <c r="T346" s="30">
        <v>0.24</v>
      </c>
      <c r="U346" s="27">
        <f>ROUND(IF(IFERROR(PROPERTIES[[#This Row],[TE_COEFFICIENT_CALC]],0)=0,PROPERTIES[[#This Row],[TE_COEFFICIENT_MANUAL]],PROPERTIES[[#This Row],[TE_COEFFICIENT_CALC]]),3)</f>
        <v>0.24</v>
      </c>
      <c r="V346" s="6">
        <v>40</v>
      </c>
      <c r="W346" s="10">
        <v>192</v>
      </c>
      <c r="X346" s="10">
        <v>8</v>
      </c>
      <c r="Y346" s="10"/>
      <c r="Z346" t="str">
        <f>"RUNNING_COST_"&amp;IF(PROPERTIES[[#This Row],[ENGINE_CLASS]]="MAGLEV","ELECTRIC",PROPERTIES[[#This Row],[ENGINE_CLASS]])</f>
        <v>RUNNING_COST_ELECTRIC</v>
      </c>
      <c r="AA346" s="10" t="s">
        <v>1002</v>
      </c>
      <c r="AB346" s="10" t="s">
        <v>1003</v>
      </c>
      <c r="AC346" s="10" t="str">
        <f>SUBSTITUTE(SUBSTITUTE(PROPERTIES[[#This Row],[PURCHASECOST_VALUE]], "PURCHASECOST_", ""), "_VALUE", "")</f>
        <v>METRO</v>
      </c>
      <c r="AD346" s="2" t="b">
        <v>0</v>
      </c>
      <c r="AV346"/>
      <c r="AW346"/>
      <c r="AX346"/>
    </row>
    <row r="347" spans="1:50">
      <c r="A347" s="2" t="s">
        <v>372</v>
      </c>
      <c r="B347">
        <v>1999</v>
      </c>
      <c r="C347">
        <v>1</v>
      </c>
      <c r="D347" t="s">
        <v>1906</v>
      </c>
      <c r="E347" t="str">
        <f>_xlfn.XLOOKUP(PROPERTIES[[#This Row],[COUNTRY]],COUNTRIES[COUNTRY_DESCRIPTION],COUNTRIES[COUNTRY_LABEL],"")</f>
        <v>IT</v>
      </c>
      <c r="F347" t="s">
        <v>19</v>
      </c>
      <c r="G347" t="s">
        <v>325</v>
      </c>
      <c r="H347">
        <v>210</v>
      </c>
      <c r="I347">
        <v>8</v>
      </c>
      <c r="J347">
        <v>8</v>
      </c>
      <c r="K347" s="2" t="s">
        <v>24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4">
        <v>31.5</v>
      </c>
      <c r="P347">
        <v>1650</v>
      </c>
      <c r="Q347">
        <v>80</v>
      </c>
      <c r="R347" s="31">
        <v>0</v>
      </c>
      <c r="S347" s="30">
        <f>IFERROR(PROPERTIES[[#This Row],[TE_STARTING_KN]]/(PROPERTIES[[#This Row],[WEIGHT]]*9.81),0)</f>
        <v>0</v>
      </c>
      <c r="T347" s="30">
        <v>0.3</v>
      </c>
      <c r="U347" s="27">
        <f>ROUND(IF(IFERROR(PROPERTIES[[#This Row],[TE_COEFFICIENT_CALC]],0)=0,PROPERTIES[[#This Row],[TE_COEFFICIENT_MANUAL]],PROPERTIES[[#This Row],[TE_COEFFICIENT_CALC]]),3)</f>
        <v>0.3</v>
      </c>
      <c r="V347" s="6">
        <v>40</v>
      </c>
      <c r="W347" s="10">
        <v>194</v>
      </c>
      <c r="X347" s="10">
        <v>8</v>
      </c>
      <c r="Y347" s="10"/>
      <c r="Z347" t="str">
        <f>"RUNNING_COST_"&amp;IF(PROPERTIES[[#This Row],[ENGINE_CLASS]]="MAGLEV","ELECTRIC",PROPERTIES[[#This Row],[ENGINE_CLASS]])</f>
        <v>RUNNING_COST_ELECTRIC</v>
      </c>
      <c r="AA347" s="10" t="s">
        <v>1002</v>
      </c>
      <c r="AB347" s="10" t="s">
        <v>1003</v>
      </c>
      <c r="AC347" s="10" t="str">
        <f>SUBSTITUTE(SUBSTITUTE(PROPERTIES[[#This Row],[PURCHASECOST_VALUE]], "PURCHASECOST_", ""), "_VALUE", "")</f>
        <v>METRO</v>
      </c>
      <c r="AD347" s="2" t="b">
        <v>0</v>
      </c>
      <c r="AV347"/>
      <c r="AW347"/>
      <c r="AX347"/>
    </row>
    <row r="348" spans="1:50">
      <c r="A348" s="2" t="s">
        <v>373</v>
      </c>
      <c r="B348">
        <v>2011</v>
      </c>
      <c r="C348">
        <v>1</v>
      </c>
      <c r="D348" t="s">
        <v>1859</v>
      </c>
      <c r="E348" t="str">
        <f>_xlfn.XLOOKUP(PROPERTIES[[#This Row],[COUNTRY]],COUNTRIES[COUNTRY_DESCRIPTION],COUNTRIES[COUNTRY_LABEL],"")</f>
        <v>DZ</v>
      </c>
      <c r="F348" t="s">
        <v>19</v>
      </c>
      <c r="G348" t="s">
        <v>325</v>
      </c>
      <c r="H348">
        <v>165</v>
      </c>
      <c r="I348">
        <v>7</v>
      </c>
      <c r="J348">
        <v>7</v>
      </c>
      <c r="K348" s="2" t="s">
        <v>24</v>
      </c>
      <c r="L348">
        <f>_xlfn.XLOOKUP("LOADINGSPEEDDEF_"&amp;PROPERTIES[[#This Row],[LOADINGSPEED]],LOADINGSPEEDDEF[TYPE],LOADINGSPEEDDEF[SPEED])</f>
        <v>40</v>
      </c>
      <c r="M348" t="s">
        <v>21</v>
      </c>
      <c r="N348">
        <v>1</v>
      </c>
      <c r="O348" s="34">
        <v>25.5</v>
      </c>
      <c r="P348">
        <v>1450</v>
      </c>
      <c r="Q348">
        <v>80</v>
      </c>
      <c r="R348" s="31">
        <v>0</v>
      </c>
      <c r="S348" s="30">
        <f>IFERROR(PROPERTIES[[#This Row],[TE_STARTING_KN]]/(PROPERTIES[[#This Row],[WEIGHT]]*9.81),0)</f>
        <v>0</v>
      </c>
      <c r="T348" s="30">
        <v>0.3</v>
      </c>
      <c r="U348" s="27">
        <f>ROUND(IF(IFERROR(PROPERTIES[[#This Row],[TE_COEFFICIENT_CALC]],0)=0,PROPERTIES[[#This Row],[TE_COEFFICIENT_MANUAL]],PROPERTIES[[#This Row],[TE_COEFFICIENT_CALC]]),3)</f>
        <v>0.3</v>
      </c>
      <c r="V348" s="6">
        <v>40</v>
      </c>
      <c r="W348" s="10">
        <v>215</v>
      </c>
      <c r="X348" s="10">
        <v>7</v>
      </c>
      <c r="Y348" s="10"/>
      <c r="Z348" t="str">
        <f>"RUNNING_COST_"&amp;IF(PROPERTIES[[#This Row],[ENGINE_CLASS]]="MAGLEV","ELECTRIC",PROPERTIES[[#This Row],[ENGINE_CLASS]])</f>
        <v>RUNNING_COST_ELECTRIC</v>
      </c>
      <c r="AA348" s="10" t="s">
        <v>1002</v>
      </c>
      <c r="AB348" s="10" t="s">
        <v>1003</v>
      </c>
      <c r="AC348" s="10" t="str">
        <f>SUBSTITUTE(SUBSTITUTE(PROPERTIES[[#This Row],[PURCHASECOST_VALUE]], "PURCHASECOST_", ""), "_VALUE", "")</f>
        <v>METRO</v>
      </c>
      <c r="AD348" s="2" t="b">
        <v>0</v>
      </c>
      <c r="AV348"/>
      <c r="AW348"/>
      <c r="AX348"/>
    </row>
    <row r="349" spans="1:50">
      <c r="A349" s="2" t="s">
        <v>374</v>
      </c>
      <c r="B349">
        <v>2015</v>
      </c>
      <c r="C349">
        <v>1</v>
      </c>
      <c r="D349" t="s">
        <v>1854</v>
      </c>
      <c r="E349" t="str">
        <f>_xlfn.XLOOKUP(PROPERTIES[[#This Row],[COUNTRY]],COUNTRIES[COUNTRY_DESCRIPTION],COUNTRIES[COUNTRY_LABEL],"")</f>
        <v>DE</v>
      </c>
      <c r="F349" t="s">
        <v>19</v>
      </c>
      <c r="G349" t="s">
        <v>325</v>
      </c>
      <c r="H349">
        <v>125</v>
      </c>
      <c r="I349">
        <v>8</v>
      </c>
      <c r="J349">
        <v>8</v>
      </c>
      <c r="K349" s="2" t="s">
        <v>24</v>
      </c>
      <c r="L349">
        <f>_xlfn.XLOOKUP("LOADINGSPEEDDEF_"&amp;PROPERTIES[[#This Row],[LOADINGSPEED]],LOADINGSPEEDDEF[TYPE],LOADINGSPEEDDEF[SPEED])</f>
        <v>40</v>
      </c>
      <c r="M349" t="s">
        <v>21</v>
      </c>
      <c r="N349">
        <v>1</v>
      </c>
      <c r="O349" s="34">
        <v>21.5</v>
      </c>
      <c r="P349">
        <v>440</v>
      </c>
      <c r="Q349">
        <v>80</v>
      </c>
      <c r="R349" s="31">
        <v>0</v>
      </c>
      <c r="S349" s="30">
        <f>IFERROR(PROPERTIES[[#This Row],[TE_STARTING_KN]]/(PROPERTIES[[#This Row],[WEIGHT]]*9.81),0)</f>
        <v>0</v>
      </c>
      <c r="T349" s="30">
        <v>0.22</v>
      </c>
      <c r="U349" s="27">
        <f>ROUND(IF(IFERROR(PROPERTIES[[#This Row],[TE_COEFFICIENT_CALC]],0)=0,PROPERTIES[[#This Row],[TE_COEFFICIENT_MANUAL]],PROPERTIES[[#This Row],[TE_COEFFICIENT_CALC]]),3)</f>
        <v>0.22</v>
      </c>
      <c r="V349" s="6">
        <v>40</v>
      </c>
      <c r="W349" s="10">
        <v>145</v>
      </c>
      <c r="X349" s="10">
        <v>8</v>
      </c>
      <c r="Y349" s="10"/>
      <c r="Z349" t="str">
        <f>"RUNNING_COST_"&amp;IF(PROPERTIES[[#This Row],[ENGINE_CLASS]]="MAGLEV","ELECTRIC",PROPERTIES[[#This Row],[ENGINE_CLASS]])</f>
        <v>RUNNING_COST_ELECTRIC</v>
      </c>
      <c r="AA349" s="10" t="s">
        <v>1002</v>
      </c>
      <c r="AB349" s="10" t="s">
        <v>1003</v>
      </c>
      <c r="AC349" s="10" t="str">
        <f>SUBSTITUTE(SUBSTITUTE(PROPERTIES[[#This Row],[PURCHASECOST_VALUE]], "PURCHASECOST_", ""), "_VALUE", "")</f>
        <v>METRO</v>
      </c>
      <c r="AD349" s="2" t="b">
        <v>0</v>
      </c>
      <c r="AV349"/>
      <c r="AW349"/>
      <c r="AX349"/>
    </row>
    <row r="350" spans="1:50">
      <c r="A350" s="2" t="s">
        <v>375</v>
      </c>
      <c r="B350">
        <v>1950</v>
      </c>
      <c r="C350">
        <v>1</v>
      </c>
      <c r="D350" t="s">
        <v>2029</v>
      </c>
      <c r="E350" t="str">
        <f>_xlfn.XLOOKUP(PROPERTIES[[#This Row],[COUNTRY]],COUNTRIES[COUNTRY_DESCRIPTION],COUNTRIES[COUNTRY_LABEL],"")</f>
        <v>US</v>
      </c>
      <c r="F350" t="s">
        <v>19</v>
      </c>
      <c r="G350" t="s">
        <v>325</v>
      </c>
      <c r="H350">
        <v>125</v>
      </c>
      <c r="I350">
        <v>7</v>
      </c>
      <c r="J350">
        <v>7</v>
      </c>
      <c r="K350" s="2" t="s">
        <v>326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4">
        <v>21.5</v>
      </c>
      <c r="P350">
        <v>440</v>
      </c>
      <c r="Q350">
        <v>80</v>
      </c>
      <c r="R350" s="31">
        <v>0</v>
      </c>
      <c r="S350" s="30">
        <f>IFERROR(PROPERTIES[[#This Row],[TE_STARTING_KN]]/(PROPERTIES[[#This Row],[WEIGHT]]*9.81),0)</f>
        <v>0</v>
      </c>
      <c r="T350" s="30">
        <v>0.22</v>
      </c>
      <c r="U350" s="27">
        <f>ROUND(IF(IFERROR(PROPERTIES[[#This Row],[TE_COEFFICIENT_CALC]],0)=0,PROPERTIES[[#This Row],[TE_COEFFICIENT_MANUAL]],PROPERTIES[[#This Row],[TE_COEFFICIENT_CALC]]),3)</f>
        <v>0.22</v>
      </c>
      <c r="V350" s="6">
        <v>60</v>
      </c>
      <c r="W350" s="10">
        <v>130</v>
      </c>
      <c r="X350" s="10">
        <v>7</v>
      </c>
      <c r="Y350" s="10"/>
      <c r="Z350" t="str">
        <f>"RUNNING_COST_"&amp;IF(PROPERTIES[[#This Row],[ENGINE_CLASS]]="MAGLEV","ELECTRIC",PROPERTIES[[#This Row],[ENGINE_CLASS]])</f>
        <v>RUNNING_COST_ELECTRIC</v>
      </c>
      <c r="AA350" s="10" t="s">
        <v>1002</v>
      </c>
      <c r="AB350" s="10" t="s">
        <v>1003</v>
      </c>
      <c r="AC350" s="10" t="str">
        <f>SUBSTITUTE(SUBSTITUTE(PROPERTIES[[#This Row],[PURCHASECOST_VALUE]], "PURCHASECOST_", ""), "_VALUE", "")</f>
        <v>METRO</v>
      </c>
      <c r="AD350" s="2" t="b">
        <v>0</v>
      </c>
      <c r="AV350"/>
      <c r="AW350"/>
      <c r="AX350"/>
    </row>
    <row r="351" spans="1:50">
      <c r="A351" s="2" t="s">
        <v>376</v>
      </c>
      <c r="B351">
        <v>1903</v>
      </c>
      <c r="C351">
        <v>1</v>
      </c>
      <c r="D351" t="s">
        <v>1873</v>
      </c>
      <c r="E351" t="str">
        <f>_xlfn.XLOOKUP(PROPERTIES[[#This Row],[COUNTRY]],COUNTRIES[COUNTRY_DESCRIPTION],COUNTRIES[COUNTRY_LABEL],"")</f>
        <v>GB</v>
      </c>
      <c r="F351" t="s">
        <v>19</v>
      </c>
      <c r="G351" t="s">
        <v>325</v>
      </c>
      <c r="H351">
        <v>90</v>
      </c>
      <c r="I351">
        <v>8</v>
      </c>
      <c r="J351">
        <v>8</v>
      </c>
      <c r="K351" s="2" t="s">
        <v>326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4">
        <v>29.5</v>
      </c>
      <c r="P351">
        <v>400</v>
      </c>
      <c r="Q351">
        <v>55</v>
      </c>
      <c r="R351" s="31">
        <v>0</v>
      </c>
      <c r="S351" s="30">
        <f>IFERROR(PROPERTIES[[#This Row],[TE_STARTING_KN]]/(PROPERTIES[[#This Row],[WEIGHT]]*9.81),0)</f>
        <v>0</v>
      </c>
      <c r="T351" s="30">
        <v>0.18</v>
      </c>
      <c r="U351" s="27">
        <f>ROUND(IF(IFERROR(PROPERTIES[[#This Row],[TE_COEFFICIENT_CALC]],0)=0,PROPERTIES[[#This Row],[TE_COEFFICIENT_MANUAL]],PROPERTIES[[#This Row],[TE_COEFFICIENT_CALC]]),3)</f>
        <v>0.18</v>
      </c>
      <c r="V351" s="6">
        <v>60</v>
      </c>
      <c r="W351" s="10">
        <v>125</v>
      </c>
      <c r="X351" s="10">
        <v>8</v>
      </c>
      <c r="Y351" s="10"/>
      <c r="Z351" t="str">
        <f>"RUNNING_COST_"&amp;IF(PROPERTIES[[#This Row],[ENGINE_CLASS]]="MAGLEV","ELECTRIC",PROPERTIES[[#This Row],[ENGINE_CLASS]])</f>
        <v>RUNNING_COST_ELECTRIC</v>
      </c>
      <c r="AA351" s="10" t="s">
        <v>1002</v>
      </c>
      <c r="AB351" s="10" t="s">
        <v>1003</v>
      </c>
      <c r="AC351" s="10" t="str">
        <f>SUBSTITUTE(SUBSTITUTE(PROPERTIES[[#This Row],[PURCHASECOST_VALUE]], "PURCHASECOST_", ""), "_VALUE", "")</f>
        <v>METRO</v>
      </c>
      <c r="AD351" s="2" t="b">
        <v>0</v>
      </c>
      <c r="AV351"/>
      <c r="AW351"/>
      <c r="AX351"/>
    </row>
    <row r="352" spans="1:50">
      <c r="A352" s="2" t="s">
        <v>377</v>
      </c>
      <c r="B352">
        <v>1938</v>
      </c>
      <c r="C352">
        <v>1</v>
      </c>
      <c r="D352" t="s">
        <v>1873</v>
      </c>
      <c r="E352" t="str">
        <f>_xlfn.XLOOKUP(PROPERTIES[[#This Row],[COUNTRY]],COUNTRIES[COUNTRY_DESCRIPTION],COUNTRIES[COUNTRY_LABEL],"")</f>
        <v>GB</v>
      </c>
      <c r="F352" t="s">
        <v>19</v>
      </c>
      <c r="G352" t="s">
        <v>325</v>
      </c>
      <c r="H352">
        <v>105</v>
      </c>
      <c r="I352">
        <v>7</v>
      </c>
      <c r="J352">
        <v>7</v>
      </c>
      <c r="K352" s="2" t="s">
        <v>326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4">
        <v>25.5</v>
      </c>
      <c r="P352">
        <v>600</v>
      </c>
      <c r="Q352">
        <v>72</v>
      </c>
      <c r="R352" s="31">
        <v>0</v>
      </c>
      <c r="S352" s="30">
        <f>IFERROR(PROPERTIES[[#This Row],[TE_STARTING_KN]]/(PROPERTIES[[#This Row],[WEIGHT]]*9.81),0)</f>
        <v>0</v>
      </c>
      <c r="T352" s="30">
        <v>0.2</v>
      </c>
      <c r="U352" s="27">
        <f>ROUND(IF(IFERROR(PROPERTIES[[#This Row],[TE_COEFFICIENT_CALC]],0)=0,PROPERTIES[[#This Row],[TE_COEFFICIENT_MANUAL]],PROPERTIES[[#This Row],[TE_COEFFICIENT_CALC]]),3)</f>
        <v>0.2</v>
      </c>
      <c r="V352" s="6">
        <v>60</v>
      </c>
      <c r="W352" s="10">
        <v>120</v>
      </c>
      <c r="X352" s="10">
        <v>7</v>
      </c>
      <c r="Y352" s="10"/>
      <c r="Z352" t="str">
        <f>"RUNNING_COST_"&amp;IF(PROPERTIES[[#This Row],[ENGINE_CLASS]]="MAGLEV","ELECTRIC",PROPERTIES[[#This Row],[ENGINE_CLASS]])</f>
        <v>RUNNING_COST_ELECTRIC</v>
      </c>
      <c r="AA352" s="10" t="s">
        <v>1002</v>
      </c>
      <c r="AB352" s="10" t="s">
        <v>1003</v>
      </c>
      <c r="AC352" s="10" t="str">
        <f>SUBSTITUTE(SUBSTITUTE(PROPERTIES[[#This Row],[PURCHASECOST_VALUE]], "PURCHASECOST_", ""), "_VALUE", "")</f>
        <v>METRO</v>
      </c>
      <c r="AD352" s="2" t="b">
        <v>0</v>
      </c>
      <c r="AV352"/>
      <c r="AW352"/>
      <c r="AX352"/>
    </row>
    <row r="353" spans="1:50">
      <c r="A353" s="2" t="s">
        <v>378</v>
      </c>
      <c r="B353">
        <v>1914</v>
      </c>
      <c r="C353">
        <v>0</v>
      </c>
      <c r="D353" t="s">
        <v>1873</v>
      </c>
      <c r="E353" t="str">
        <f>_xlfn.XLOOKUP(PROPERTIES[[#This Row],[COUNTRY]],COUNTRIES[COUNTRY_DESCRIPTION],COUNTRIES[COUNTRY_LABEL],"")</f>
        <v>GB</v>
      </c>
      <c r="F353" t="s">
        <v>74</v>
      </c>
      <c r="G353" t="s">
        <v>20</v>
      </c>
      <c r="H353">
        <v>0</v>
      </c>
      <c r="I353">
        <v>7</v>
      </c>
      <c r="J353">
        <v>7</v>
      </c>
      <c r="K353" s="2" t="s">
        <v>20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4">
        <v>74</v>
      </c>
      <c r="P353">
        <v>1100</v>
      </c>
      <c r="Q353">
        <v>40</v>
      </c>
      <c r="R353" s="31">
        <v>125</v>
      </c>
      <c r="S353" s="30">
        <f>IFERROR(PROPERTIES[[#This Row],[TE_STARTING_KN]]/(PROPERTIES[[#This Row],[WEIGHT]]*9.81),0)</f>
        <v>0.17219053916301622</v>
      </c>
      <c r="T353" s="30">
        <v>0.18</v>
      </c>
      <c r="U353" s="27">
        <f>ROUND(IF(IFERROR(PROPERTIES[[#This Row],[TE_COEFFICIENT_CALC]],0)=0,PROPERTIES[[#This Row],[TE_COEFFICIENT_MANUAL]],PROPERTIES[[#This Row],[TE_COEFFICIENT_CALC]]),3)</f>
        <v>0.17199999999999999</v>
      </c>
      <c r="V353" s="6">
        <v>40</v>
      </c>
      <c r="W353" s="10">
        <v>0</v>
      </c>
      <c r="X353" s="10">
        <v>0</v>
      </c>
      <c r="Y353" s="10"/>
      <c r="Z353" t="str">
        <f>"RUNNING_COST_"&amp;IF(PROPERTIES[[#This Row],[ENGINE_CLASS]]="MAGLEV","ELECTRIC",PROPERTIES[[#This Row],[ENGINE_CLASS]])</f>
        <v>RUNNING_COST_ELECTRIC</v>
      </c>
      <c r="AA353" s="10" t="s">
        <v>1004</v>
      </c>
      <c r="AB353" s="10" t="s">
        <v>1005</v>
      </c>
      <c r="AC353" s="10" t="str">
        <f>SUBSTITUTE(SUBSTITUTE(PROPERTIES[[#This Row],[PURCHASECOST_VALUE]], "PURCHASECOST_", ""), "_VALUE", "")</f>
        <v>ELECTRICENGINE</v>
      </c>
      <c r="AD353" s="2" t="b">
        <v>0</v>
      </c>
      <c r="AV353"/>
      <c r="AW353"/>
      <c r="AX353"/>
    </row>
    <row r="354" spans="1:50">
      <c r="A354" s="2" t="s">
        <v>379</v>
      </c>
      <c r="B354">
        <v>1931</v>
      </c>
      <c r="C354">
        <v>0</v>
      </c>
      <c r="D354" t="s">
        <v>1910</v>
      </c>
      <c r="E354" t="str">
        <f>_xlfn.XLOOKUP(PROPERTIES[[#This Row],[COUNTRY]],COUNTRIES[COUNTRY_DESCRIPTION],COUNTRIES[COUNTRY_LABEL],"")</f>
        <v>JP</v>
      </c>
      <c r="F354" t="s">
        <v>74</v>
      </c>
      <c r="G354" t="s">
        <v>20</v>
      </c>
      <c r="H354">
        <v>0</v>
      </c>
      <c r="I354">
        <v>5</v>
      </c>
      <c r="J354">
        <v>5</v>
      </c>
      <c r="K354" s="2" t="s">
        <v>20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4">
        <v>22.64</v>
      </c>
      <c r="P354">
        <v>360</v>
      </c>
      <c r="Q354">
        <v>19</v>
      </c>
      <c r="R354" s="31">
        <v>38</v>
      </c>
      <c r="S354" s="30">
        <f>IFERROR(PROPERTIES[[#This Row],[TE_STARTING_KN]]/(PROPERTIES[[#This Row],[WEIGHT]]*9.81),0)</f>
        <v>0.17109533432028323</v>
      </c>
      <c r="T354" s="30">
        <v>0.3</v>
      </c>
      <c r="U354" s="27">
        <f>ROUND(IF(IFERROR(PROPERTIES[[#This Row],[TE_COEFFICIENT_CALC]],0)=0,PROPERTIES[[#This Row],[TE_COEFFICIENT_MANUAL]],PROPERTIES[[#This Row],[TE_COEFFICIENT_CALC]]),3)</f>
        <v>0.17100000000000001</v>
      </c>
      <c r="V354" s="6">
        <v>40</v>
      </c>
      <c r="W354" s="10">
        <v>0</v>
      </c>
      <c r="X354" s="10">
        <v>0</v>
      </c>
      <c r="Y354" s="10"/>
      <c r="Z354" t="str">
        <f>"RUNNING_COST_"&amp;IF(PROPERTIES[[#This Row],[ENGINE_CLASS]]="MAGLEV","ELECTRIC",PROPERTIES[[#This Row],[ENGINE_CLASS]])</f>
        <v>RUNNING_COST_ELECTRIC</v>
      </c>
      <c r="AA354" s="10" t="s">
        <v>1004</v>
      </c>
      <c r="AB354" s="10" t="s">
        <v>1005</v>
      </c>
      <c r="AC354" s="10" t="str">
        <f>SUBSTITUTE(SUBSTITUTE(PROPERTIES[[#This Row],[PURCHASECOST_VALUE]], "PURCHASECOST_", ""), "_VALUE", "")</f>
        <v>ELECTRICENGINE</v>
      </c>
      <c r="AD354" s="2" t="b">
        <v>0</v>
      </c>
      <c r="AV354"/>
      <c r="AW354"/>
      <c r="AX354"/>
    </row>
    <row r="355" spans="1:50">
      <c r="A355" s="2" t="s">
        <v>380</v>
      </c>
      <c r="B355">
        <v>1936</v>
      </c>
      <c r="C355">
        <v>0</v>
      </c>
      <c r="D355" t="s">
        <v>1910</v>
      </c>
      <c r="E355" t="str">
        <f>_xlfn.XLOOKUP(PROPERTIES[[#This Row],[COUNTRY]],COUNTRIES[COUNTRY_DESCRIPTION],COUNTRIES[COUNTRY_LABEL],"")</f>
        <v>JP</v>
      </c>
      <c r="F355" t="s">
        <v>74</v>
      </c>
      <c r="G355" t="s">
        <v>20</v>
      </c>
      <c r="H355">
        <v>0</v>
      </c>
      <c r="I355">
        <v>8</v>
      </c>
      <c r="J355">
        <v>8</v>
      </c>
      <c r="K355" s="2" t="s">
        <v>20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4">
        <v>100</v>
      </c>
      <c r="P355">
        <v>1810</v>
      </c>
      <c r="Q355">
        <v>75</v>
      </c>
      <c r="R355" s="31">
        <v>61.7</v>
      </c>
      <c r="S355" s="30">
        <f>IFERROR(PROPERTIES[[#This Row],[TE_STARTING_KN]]/(PROPERTIES[[#This Row],[WEIGHT]]*9.81),0)</f>
        <v>6.2895005096839957E-2</v>
      </c>
      <c r="T355" s="30">
        <v>0.06</v>
      </c>
      <c r="U355" s="27">
        <f>ROUND(IF(IFERROR(PROPERTIES[[#This Row],[TE_COEFFICIENT_CALC]],0)=0,PROPERTIES[[#This Row],[TE_COEFFICIENT_MANUAL]],PROPERTIES[[#This Row],[TE_COEFFICIENT_CALC]]),3)</f>
        <v>6.3E-2</v>
      </c>
      <c r="V355" s="6">
        <v>40</v>
      </c>
      <c r="W355" s="10">
        <v>0</v>
      </c>
      <c r="X355" s="10">
        <v>0</v>
      </c>
      <c r="Y355" s="10"/>
      <c r="Z355" t="str">
        <f>"RUNNING_COST_"&amp;IF(PROPERTIES[[#This Row],[ENGINE_CLASS]]="MAGLEV","ELECTRIC",PROPERTIES[[#This Row],[ENGINE_CLASS]])</f>
        <v>RUNNING_COST_ELECTRIC</v>
      </c>
      <c r="AA355" s="10" t="s">
        <v>1004</v>
      </c>
      <c r="AB355" s="10" t="s">
        <v>1005</v>
      </c>
      <c r="AC355" s="10" t="str">
        <f>SUBSTITUTE(SUBSTITUTE(PROPERTIES[[#This Row],[PURCHASECOST_VALUE]], "PURCHASECOST_", ""), "_VALUE", "")</f>
        <v>ELECTRICENGINE</v>
      </c>
      <c r="AD355" s="2" t="b">
        <v>0</v>
      </c>
      <c r="AV355"/>
      <c r="AW355"/>
      <c r="AX355"/>
    </row>
    <row r="356" spans="1:50">
      <c r="A356" s="2" t="s">
        <v>381</v>
      </c>
      <c r="B356">
        <v>1948</v>
      </c>
      <c r="C356">
        <v>0</v>
      </c>
      <c r="D356" t="s">
        <v>1962</v>
      </c>
      <c r="E356" t="str">
        <f>_xlfn.XLOOKUP(PROPERTIES[[#This Row],[COUNTRY]],COUNTRIES[COUNTRY_DESCRIPTION],COUNTRIES[COUNTRY_LABEL],"")</f>
        <v>NL</v>
      </c>
      <c r="F356" t="s">
        <v>74</v>
      </c>
      <c r="G356" t="s">
        <v>20</v>
      </c>
      <c r="H356">
        <v>0</v>
      </c>
      <c r="I356">
        <v>8</v>
      </c>
      <c r="J356">
        <v>8</v>
      </c>
      <c r="K356" s="2" t="s">
        <v>20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4">
        <v>100</v>
      </c>
      <c r="P356">
        <v>3749</v>
      </c>
      <c r="Q356">
        <v>100</v>
      </c>
      <c r="R356" s="31">
        <v>177</v>
      </c>
      <c r="S356" s="30">
        <f>IFERROR(PROPERTIES[[#This Row],[TE_STARTING_KN]]/(PROPERTIES[[#This Row],[WEIGHT]]*9.81),0)</f>
        <v>0.18042813455657492</v>
      </c>
      <c r="T356" s="30">
        <v>0.18</v>
      </c>
      <c r="U356" s="27">
        <f>ROUND(IF(IFERROR(PROPERTIES[[#This Row],[TE_COEFFICIENT_CALC]],0)=0,PROPERTIES[[#This Row],[TE_COEFFICIENT_MANUAL]],PROPERTIES[[#This Row],[TE_COEFFICIENT_CALC]]),3)</f>
        <v>0.18</v>
      </c>
      <c r="V356" s="6">
        <v>40</v>
      </c>
      <c r="W356" s="10">
        <v>0</v>
      </c>
      <c r="X356" s="10">
        <v>0</v>
      </c>
      <c r="Y356" s="10"/>
      <c r="Z356" t="str">
        <f>"RUNNING_COST_"&amp;IF(PROPERTIES[[#This Row],[ENGINE_CLASS]]="MAGLEV","ELECTRIC",PROPERTIES[[#This Row],[ENGINE_CLASS]])</f>
        <v>RUNNING_COST_ELECTRIC</v>
      </c>
      <c r="AA356" s="10" t="s">
        <v>1004</v>
      </c>
      <c r="AB356" s="10" t="s">
        <v>1005</v>
      </c>
      <c r="AC356" s="10" t="str">
        <f>SUBSTITUTE(SUBSTITUTE(PROPERTIES[[#This Row],[PURCHASECOST_VALUE]], "PURCHASECOST_", ""), "_VALUE", "")</f>
        <v>ELECTRICENGINE</v>
      </c>
      <c r="AD356" s="2" t="b">
        <v>0</v>
      </c>
      <c r="AV356"/>
      <c r="AW356"/>
      <c r="AX356"/>
    </row>
    <row r="357" spans="1:50">
      <c r="A357" s="2" t="s">
        <v>382</v>
      </c>
      <c r="B357">
        <v>1980</v>
      </c>
      <c r="C357">
        <v>0</v>
      </c>
      <c r="D357" t="s">
        <v>1962</v>
      </c>
      <c r="E357" t="str">
        <f>_xlfn.XLOOKUP(PROPERTIES[[#This Row],[COUNTRY]],COUNTRIES[COUNTRY_DESCRIPTION],COUNTRIES[COUNTRY_LABEL],"")</f>
        <v>NL</v>
      </c>
      <c r="F357" t="s">
        <v>74</v>
      </c>
      <c r="G357" t="s">
        <v>20</v>
      </c>
      <c r="H357">
        <v>0</v>
      </c>
      <c r="I357">
        <v>8</v>
      </c>
      <c r="J357">
        <v>8</v>
      </c>
      <c r="K357" s="2" t="s">
        <v>20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4">
        <v>83</v>
      </c>
      <c r="P357">
        <v>6200</v>
      </c>
      <c r="Q357">
        <v>160</v>
      </c>
      <c r="R357" s="31">
        <v>294</v>
      </c>
      <c r="S357" s="30">
        <f>IFERROR(PROPERTIES[[#This Row],[TE_STARTING_KN]]/(PROPERTIES[[#This Row],[WEIGHT]]*9.81),0)</f>
        <v>0.36107733687041743</v>
      </c>
      <c r="T357" s="30">
        <v>0.31</v>
      </c>
      <c r="U357" s="27">
        <f>ROUND(IF(IFERROR(PROPERTIES[[#This Row],[TE_COEFFICIENT_CALC]],0)=0,PROPERTIES[[#This Row],[TE_COEFFICIENT_MANUAL]],PROPERTIES[[#This Row],[TE_COEFFICIENT_CALC]]),3)</f>
        <v>0.36099999999999999</v>
      </c>
      <c r="V357" s="6">
        <v>40</v>
      </c>
      <c r="W357" s="10">
        <v>0</v>
      </c>
      <c r="X357" s="10">
        <v>0</v>
      </c>
      <c r="Y357" s="10"/>
      <c r="Z357" t="str">
        <f>"RUNNING_COST_"&amp;IF(PROPERTIES[[#This Row],[ENGINE_CLASS]]="MAGLEV","ELECTRIC",PROPERTIES[[#This Row],[ENGINE_CLASS]])</f>
        <v>RUNNING_COST_ELECTRIC</v>
      </c>
      <c r="AA357" s="10" t="s">
        <v>1004</v>
      </c>
      <c r="AB357" s="10" t="s">
        <v>1005</v>
      </c>
      <c r="AC357" s="10" t="str">
        <f>SUBSTITUTE(SUBSTITUTE(PROPERTIES[[#This Row],[PURCHASECOST_VALUE]], "PURCHASECOST_", ""), "_VALUE", "")</f>
        <v>ELECTRICENGINE</v>
      </c>
      <c r="AD357" s="2" t="b">
        <v>0</v>
      </c>
      <c r="AV357"/>
      <c r="AW357"/>
      <c r="AX357"/>
    </row>
    <row r="358" spans="1:50">
      <c r="A358" s="2" t="s">
        <v>383</v>
      </c>
      <c r="B358">
        <v>1923</v>
      </c>
      <c r="C358">
        <v>0</v>
      </c>
      <c r="D358" t="s">
        <v>1810</v>
      </c>
      <c r="E358" t="str">
        <f>_xlfn.XLOOKUP(PROPERTIES[[#This Row],[COUNTRY]],COUNTRIES[COUNTRY_DESCRIPTION],COUNTRIES[COUNTRY_LABEL],"")</f>
        <v>AU</v>
      </c>
      <c r="F358" t="s">
        <v>74</v>
      </c>
      <c r="G358" t="s">
        <v>20</v>
      </c>
      <c r="H358">
        <v>0</v>
      </c>
      <c r="I358">
        <v>7</v>
      </c>
      <c r="J358">
        <v>7</v>
      </c>
      <c r="K358" s="2" t="s">
        <v>20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4">
        <v>56</v>
      </c>
      <c r="P358">
        <v>620</v>
      </c>
      <c r="Q358">
        <v>65</v>
      </c>
      <c r="R358" s="31">
        <v>109</v>
      </c>
      <c r="S358" s="30">
        <f>IFERROR(PROPERTIES[[#This Row],[TE_STARTING_KN]]/(PROPERTIES[[#This Row],[WEIGHT]]*9.81),0)</f>
        <v>0.1984126984126984</v>
      </c>
      <c r="T358" s="30">
        <v>0.11</v>
      </c>
      <c r="U358" s="27">
        <f>ROUND(IF(IFERROR(PROPERTIES[[#This Row],[TE_COEFFICIENT_CALC]],0)=0,PROPERTIES[[#This Row],[TE_COEFFICIENT_MANUAL]],PROPERTIES[[#This Row],[TE_COEFFICIENT_CALC]]),3)</f>
        <v>0.19800000000000001</v>
      </c>
      <c r="V358" s="6">
        <v>40</v>
      </c>
      <c r="W358" s="10">
        <v>0</v>
      </c>
      <c r="X358" s="10">
        <v>0</v>
      </c>
      <c r="Y358" s="10"/>
      <c r="Z358" t="str">
        <f>"RUNNING_COST_"&amp;IF(PROPERTIES[[#This Row],[ENGINE_CLASS]]="MAGLEV","ELECTRIC",PROPERTIES[[#This Row],[ENGINE_CLASS]])</f>
        <v>RUNNING_COST_ELECTRIC</v>
      </c>
      <c r="AA358" s="10" t="s">
        <v>1004</v>
      </c>
      <c r="AB358" s="10" t="s">
        <v>1005</v>
      </c>
      <c r="AC358" s="10" t="str">
        <f>SUBSTITUTE(SUBSTITUTE(PROPERTIES[[#This Row],[PURCHASECOST_VALUE]], "PURCHASECOST_", ""), "_VALUE", "")</f>
        <v>ELECTRICENGINE</v>
      </c>
      <c r="AD358" s="2" t="b">
        <v>0</v>
      </c>
      <c r="AV358"/>
      <c r="AW358"/>
      <c r="AX358"/>
    </row>
    <row r="359" spans="1:50">
      <c r="A359" s="2" t="s">
        <v>384</v>
      </c>
      <c r="B359">
        <v>1903</v>
      </c>
      <c r="C359">
        <v>0</v>
      </c>
      <c r="D359" t="s">
        <v>1873</v>
      </c>
      <c r="E359" t="str">
        <f>_xlfn.XLOOKUP(PROPERTIES[[#This Row],[COUNTRY]],COUNTRIES[COUNTRY_DESCRIPTION],COUNTRIES[COUNTRY_LABEL],"")</f>
        <v>GB</v>
      </c>
      <c r="F359" t="s">
        <v>74</v>
      </c>
      <c r="G359" t="s">
        <v>20</v>
      </c>
      <c r="H359">
        <v>0</v>
      </c>
      <c r="I359">
        <v>6</v>
      </c>
      <c r="J359">
        <v>6</v>
      </c>
      <c r="K359" s="2" t="s">
        <v>20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4">
        <v>57</v>
      </c>
      <c r="P359">
        <v>640</v>
      </c>
      <c r="Q359">
        <v>43</v>
      </c>
      <c r="R359" s="31">
        <v>111.2</v>
      </c>
      <c r="S359" s="30">
        <f>IFERROR(PROPERTIES[[#This Row],[TE_STARTING_KN]]/(PROPERTIES[[#This Row],[WEIGHT]]*9.81),0)</f>
        <v>0.19886617665468459</v>
      </c>
      <c r="T359" s="30">
        <v>0.19</v>
      </c>
      <c r="U359" s="27">
        <f>ROUND(IF(IFERROR(PROPERTIES[[#This Row],[TE_COEFFICIENT_CALC]],0)=0,PROPERTIES[[#This Row],[TE_COEFFICIENT_MANUAL]],PROPERTIES[[#This Row],[TE_COEFFICIENT_CALC]]),3)</f>
        <v>0.19900000000000001</v>
      </c>
      <c r="V359" s="6">
        <v>40</v>
      </c>
      <c r="W359" s="10">
        <v>0</v>
      </c>
      <c r="X359" s="10">
        <v>0</v>
      </c>
      <c r="Y359" s="10"/>
      <c r="Z359" t="str">
        <f>"RUNNING_COST_"&amp;IF(PROPERTIES[[#This Row],[ENGINE_CLASS]]="MAGLEV","ELECTRIC",PROPERTIES[[#This Row],[ENGINE_CLASS]])</f>
        <v>RUNNING_COST_ELECTRIC</v>
      </c>
      <c r="AA359" s="10" t="s">
        <v>1004</v>
      </c>
      <c r="AB359" s="10" t="s">
        <v>1005</v>
      </c>
      <c r="AC359" s="10" t="str">
        <f>SUBSTITUTE(SUBSTITUTE(PROPERTIES[[#This Row],[PURCHASECOST_VALUE]], "PURCHASECOST_", ""), "_VALUE", "")</f>
        <v>ELECTRICENGINE</v>
      </c>
      <c r="AD359" s="2" t="b">
        <v>0</v>
      </c>
      <c r="AV359"/>
      <c r="AW359"/>
      <c r="AX359"/>
    </row>
    <row r="360" spans="1:50">
      <c r="A360" s="2" t="s">
        <v>385</v>
      </c>
      <c r="B360">
        <v>1903</v>
      </c>
      <c r="C360">
        <v>0</v>
      </c>
      <c r="D360" t="s">
        <v>2029</v>
      </c>
      <c r="E360" t="str">
        <f>_xlfn.XLOOKUP(PROPERTIES[[#This Row],[COUNTRY]],COUNTRIES[COUNTRY_DESCRIPTION],COUNTRIES[COUNTRY_LABEL],"")</f>
        <v>US</v>
      </c>
      <c r="F360" t="s">
        <v>74</v>
      </c>
      <c r="G360" t="s">
        <v>20</v>
      </c>
      <c r="H360">
        <v>0</v>
      </c>
      <c r="I360">
        <v>7</v>
      </c>
      <c r="J360">
        <v>7</v>
      </c>
      <c r="K360" s="2" t="s">
        <v>20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4">
        <v>103</v>
      </c>
      <c r="P360">
        <v>2200</v>
      </c>
      <c r="Q360">
        <v>97</v>
      </c>
      <c r="R360" s="31">
        <v>160</v>
      </c>
      <c r="S360" s="30">
        <f>IFERROR(PROPERTIES[[#This Row],[TE_STARTING_KN]]/(PROPERTIES[[#This Row],[WEIGHT]]*9.81),0)</f>
        <v>0.15834842591767861</v>
      </c>
      <c r="T360" s="30">
        <v>0.16</v>
      </c>
      <c r="U360" s="27">
        <f>ROUND(IF(IFERROR(PROPERTIES[[#This Row],[TE_COEFFICIENT_CALC]],0)=0,PROPERTIES[[#This Row],[TE_COEFFICIENT_MANUAL]],PROPERTIES[[#This Row],[TE_COEFFICIENT_CALC]]),3)</f>
        <v>0.158</v>
      </c>
      <c r="V360" s="6">
        <v>40</v>
      </c>
      <c r="W360" s="10">
        <v>0</v>
      </c>
      <c r="X360" s="10">
        <v>0</v>
      </c>
      <c r="Y360" s="10"/>
      <c r="Z360" t="str">
        <f>"RUNNING_COST_"&amp;IF(PROPERTIES[[#This Row],[ENGINE_CLASS]]="MAGLEV","ELECTRIC",PROPERTIES[[#This Row],[ENGINE_CLASS]])</f>
        <v>RUNNING_COST_ELECTRIC</v>
      </c>
      <c r="AA360" s="10" t="s">
        <v>1004</v>
      </c>
      <c r="AB360" s="10" t="s">
        <v>1005</v>
      </c>
      <c r="AC360" s="10" t="str">
        <f>SUBSTITUTE(SUBSTITUTE(PROPERTIES[[#This Row],[PURCHASECOST_VALUE]], "PURCHASECOST_", ""), "_VALUE", "")</f>
        <v>ELECTRICENGINE</v>
      </c>
      <c r="AD360" s="2" t="b">
        <v>0</v>
      </c>
      <c r="AV360"/>
      <c r="AW360"/>
      <c r="AX360"/>
    </row>
    <row r="361" spans="1:50">
      <c r="A361" s="2" t="s">
        <v>386</v>
      </c>
      <c r="B361">
        <v>1930</v>
      </c>
      <c r="C361">
        <v>0</v>
      </c>
      <c r="D361" t="s">
        <v>1910</v>
      </c>
      <c r="E361" t="str">
        <f>_xlfn.XLOOKUP(PROPERTIES[[#This Row],[COUNTRY]],COUNTRIES[COUNTRY_DESCRIPTION],COUNTRIES[COUNTRY_LABEL],"")</f>
        <v>JP</v>
      </c>
      <c r="F361" t="s">
        <v>74</v>
      </c>
      <c r="G361" t="s">
        <v>20</v>
      </c>
      <c r="H361">
        <v>0</v>
      </c>
      <c r="I361">
        <v>6</v>
      </c>
      <c r="J361">
        <v>6</v>
      </c>
      <c r="K361" s="2" t="s">
        <v>20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4">
        <v>40</v>
      </c>
      <c r="P361">
        <v>482</v>
      </c>
      <c r="Q361">
        <v>28</v>
      </c>
      <c r="R361" s="31">
        <v>78</v>
      </c>
      <c r="S361" s="30">
        <f>IFERROR(PROPERTIES[[#This Row],[TE_STARTING_KN]]/(PROPERTIES[[#This Row],[WEIGHT]]*9.81),0)</f>
        <v>0.19877675840978593</v>
      </c>
      <c r="T361" s="30">
        <v>0.12</v>
      </c>
      <c r="U361" s="27">
        <f>ROUND(IF(IFERROR(PROPERTIES[[#This Row],[TE_COEFFICIENT_CALC]],0)=0,PROPERTIES[[#This Row],[TE_COEFFICIENT_MANUAL]],PROPERTIES[[#This Row],[TE_COEFFICIENT_CALC]]),3)</f>
        <v>0.19900000000000001</v>
      </c>
      <c r="V361" s="6">
        <v>40</v>
      </c>
      <c r="W361" s="10">
        <v>0</v>
      </c>
      <c r="X361" s="10">
        <v>0</v>
      </c>
      <c r="Y361" s="10"/>
      <c r="Z361" t="str">
        <f>"RUNNING_COST_"&amp;IF(PROPERTIES[[#This Row],[ENGINE_CLASS]]="MAGLEV","ELECTRIC",PROPERTIES[[#This Row],[ENGINE_CLASS]])</f>
        <v>RUNNING_COST_ELECTRIC</v>
      </c>
      <c r="AA361" s="10" t="s">
        <v>1004</v>
      </c>
      <c r="AB361" s="10" t="s">
        <v>1005</v>
      </c>
      <c r="AC361" s="10" t="str">
        <f>SUBSTITUTE(SUBSTITUTE(PROPERTIES[[#This Row],[PURCHASECOST_VALUE]], "PURCHASECOST_", ""), "_VALUE", "")</f>
        <v>ELECTRICENGINE</v>
      </c>
      <c r="AD361" s="2" t="b">
        <v>0</v>
      </c>
      <c r="AV361"/>
      <c r="AW361"/>
      <c r="AX361"/>
    </row>
    <row r="362" spans="1:50">
      <c r="A362" s="2" t="s">
        <v>387</v>
      </c>
      <c r="B362">
        <v>1928</v>
      </c>
      <c r="C362">
        <v>0</v>
      </c>
      <c r="D362" t="s">
        <v>1901</v>
      </c>
      <c r="E362" t="str">
        <f>_xlfn.XLOOKUP(PROPERTIES[[#This Row],[COUNTRY]],COUNTRIES[COUNTRY_DESCRIPTION],COUNTRIES[COUNTRY_LABEL],"")</f>
        <v>IN</v>
      </c>
      <c r="F362" t="s">
        <v>74</v>
      </c>
      <c r="G362" t="s">
        <v>20</v>
      </c>
      <c r="H362">
        <v>0</v>
      </c>
      <c r="I362">
        <v>8</v>
      </c>
      <c r="J362">
        <v>8</v>
      </c>
      <c r="K362" s="2" t="s">
        <v>20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4">
        <v>123</v>
      </c>
      <c r="P362">
        <v>2600</v>
      </c>
      <c r="Q362">
        <v>80</v>
      </c>
      <c r="R362" s="31">
        <v>300</v>
      </c>
      <c r="S362" s="30">
        <f>IFERROR(PROPERTIES[[#This Row],[TE_STARTING_KN]]/(PROPERTIES[[#This Row],[WEIGHT]]*9.81),0)</f>
        <v>0.24862633947440391</v>
      </c>
      <c r="T362" s="30">
        <v>0.6</v>
      </c>
      <c r="U362" s="27">
        <f>ROUND(IF(IFERROR(PROPERTIES[[#This Row],[TE_COEFFICIENT_CALC]],0)=0,PROPERTIES[[#This Row],[TE_COEFFICIENT_MANUAL]],PROPERTIES[[#This Row],[TE_COEFFICIENT_CALC]]),3)</f>
        <v>0.249</v>
      </c>
      <c r="V362" s="6">
        <v>40</v>
      </c>
      <c r="W362" s="10">
        <v>0</v>
      </c>
      <c r="X362" s="10">
        <v>0</v>
      </c>
      <c r="Y362" s="10"/>
      <c r="Z362" t="str">
        <f>"RUNNING_COST_"&amp;IF(PROPERTIES[[#This Row],[ENGINE_CLASS]]="MAGLEV","ELECTRIC",PROPERTIES[[#This Row],[ENGINE_CLASS]])</f>
        <v>RUNNING_COST_ELECTRIC</v>
      </c>
      <c r="AA362" s="10" t="s">
        <v>1004</v>
      </c>
      <c r="AB362" s="10" t="s">
        <v>1005</v>
      </c>
      <c r="AC362" s="10" t="str">
        <f>SUBSTITUTE(SUBSTITUTE(PROPERTIES[[#This Row],[PURCHASECOST_VALUE]], "PURCHASECOST_", ""), "_VALUE", "")</f>
        <v>ELECTRICENGINE</v>
      </c>
      <c r="AD362" s="2" t="b">
        <v>0</v>
      </c>
      <c r="AV362"/>
      <c r="AW362"/>
      <c r="AX362"/>
    </row>
    <row r="363" spans="1:50">
      <c r="A363" s="2" t="s">
        <v>388</v>
      </c>
      <c r="B363">
        <v>1954</v>
      </c>
      <c r="C363">
        <v>0</v>
      </c>
      <c r="D363" t="s">
        <v>1872</v>
      </c>
      <c r="E363" t="str">
        <f>_xlfn.XLOOKUP(PROPERTIES[[#This Row],[COUNTRY]],COUNTRIES[COUNTRY_DESCRIPTION],COUNTRIES[COUNTRY_LABEL],"")</f>
        <v>FR</v>
      </c>
      <c r="F363" t="s">
        <v>74</v>
      </c>
      <c r="G363" t="s">
        <v>20</v>
      </c>
      <c r="H363">
        <v>0</v>
      </c>
      <c r="I363">
        <v>8</v>
      </c>
      <c r="J363">
        <v>8</v>
      </c>
      <c r="K363" s="2" t="s">
        <v>20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4">
        <v>83</v>
      </c>
      <c r="P363">
        <v>4260</v>
      </c>
      <c r="Q363">
        <v>140</v>
      </c>
      <c r="R363" s="31">
        <v>235</v>
      </c>
      <c r="S363" s="30">
        <f>IFERROR(PROPERTIES[[#This Row],[TE_STARTING_KN]]/(PROPERTIES[[#This Row],[WEIGHT]]*9.81),0)</f>
        <v>0.28861623865492553</v>
      </c>
      <c r="T363" s="30">
        <v>0.25</v>
      </c>
      <c r="U363" s="27">
        <f>ROUND(IF(IFERROR(PROPERTIES[[#This Row],[TE_COEFFICIENT_CALC]],0)=0,PROPERTIES[[#This Row],[TE_COEFFICIENT_MANUAL]],PROPERTIES[[#This Row],[TE_COEFFICIENT_CALC]]),3)</f>
        <v>0.28899999999999998</v>
      </c>
      <c r="V363" s="6">
        <v>40</v>
      </c>
      <c r="W363" s="10">
        <v>0</v>
      </c>
      <c r="X363" s="10">
        <v>0</v>
      </c>
      <c r="Y363" s="10"/>
      <c r="Z363" t="str">
        <f>"RUNNING_COST_"&amp;IF(PROPERTIES[[#This Row],[ENGINE_CLASS]]="MAGLEV","ELECTRIC",PROPERTIES[[#This Row],[ENGINE_CLASS]])</f>
        <v>RUNNING_COST_ELECTRIC</v>
      </c>
      <c r="AA363" s="10" t="s">
        <v>1004</v>
      </c>
      <c r="AB363" s="10" t="s">
        <v>1005</v>
      </c>
      <c r="AC363" s="10" t="str">
        <f>SUBSTITUTE(SUBSTITUTE(PROPERTIES[[#This Row],[PURCHASECOST_VALUE]], "PURCHASECOST_", ""), "_VALUE", "")</f>
        <v>ELECTRICENGINE</v>
      </c>
      <c r="AD363" s="2" t="b">
        <v>0</v>
      </c>
      <c r="AV363"/>
      <c r="AW363"/>
      <c r="AX363"/>
    </row>
    <row r="364" spans="1:50">
      <c r="A364" s="2" t="s">
        <v>389</v>
      </c>
      <c r="B364">
        <v>1925</v>
      </c>
      <c r="C364">
        <v>0</v>
      </c>
      <c r="D364" t="s">
        <v>1897</v>
      </c>
      <c r="E364" t="str">
        <f>_xlfn.XLOOKUP(PROPERTIES[[#This Row],[COUNTRY]],COUNTRIES[COUNTRY_DESCRIPTION],COUNTRIES[COUNTRY_LABEL],"")</f>
        <v>ID</v>
      </c>
      <c r="F364" t="s">
        <v>74</v>
      </c>
      <c r="G364" t="s">
        <v>20</v>
      </c>
      <c r="H364">
        <v>0</v>
      </c>
      <c r="I364">
        <v>6</v>
      </c>
      <c r="J364">
        <v>6</v>
      </c>
      <c r="K364" s="2" t="s">
        <v>20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4">
        <v>69</v>
      </c>
      <c r="P364">
        <v>1026</v>
      </c>
      <c r="Q364">
        <v>120</v>
      </c>
      <c r="R364" s="31">
        <v>0</v>
      </c>
      <c r="S364" s="30">
        <f>IFERROR(PROPERTIES[[#This Row],[TE_STARTING_KN]]/(PROPERTIES[[#This Row],[WEIGHT]]*9.81),0)</f>
        <v>0</v>
      </c>
      <c r="T364" s="30">
        <v>0.23</v>
      </c>
      <c r="U364" s="27">
        <f>ROUND(IF(IFERROR(PROPERTIES[[#This Row],[TE_COEFFICIENT_CALC]],0)=0,PROPERTIES[[#This Row],[TE_COEFFICIENT_MANUAL]],PROPERTIES[[#This Row],[TE_COEFFICIENT_CALC]]),3)</f>
        <v>0.23</v>
      </c>
      <c r="V364" s="6">
        <v>40</v>
      </c>
      <c r="W364" s="10">
        <v>0</v>
      </c>
      <c r="X364" s="10">
        <v>0</v>
      </c>
      <c r="Y364" s="10"/>
      <c r="Z364" t="str">
        <f>"RUNNING_COST_"&amp;IF(PROPERTIES[[#This Row],[ENGINE_CLASS]]="MAGLEV","ELECTRIC",PROPERTIES[[#This Row],[ENGINE_CLASS]])</f>
        <v>RUNNING_COST_ELECTRIC</v>
      </c>
      <c r="AA364" s="10" t="s">
        <v>1004</v>
      </c>
      <c r="AB364" s="10" t="s">
        <v>1005</v>
      </c>
      <c r="AC364" s="10" t="str">
        <f>SUBSTITUTE(SUBSTITUTE(PROPERTIES[[#This Row],[PURCHASECOST_VALUE]], "PURCHASECOST_", ""), "_VALUE", "")</f>
        <v>ELECTRICENGINE</v>
      </c>
      <c r="AD364" s="2" t="b">
        <v>0</v>
      </c>
      <c r="AV364"/>
      <c r="AW364"/>
      <c r="AX364"/>
    </row>
    <row r="365" spans="1:50">
      <c r="A365" s="2" t="s">
        <v>390</v>
      </c>
      <c r="B365">
        <v>1953</v>
      </c>
      <c r="C365">
        <v>0</v>
      </c>
      <c r="D365" t="s">
        <v>1873</v>
      </c>
      <c r="E365" t="str">
        <f>_xlfn.XLOOKUP(PROPERTIES[[#This Row],[COUNTRY]],COUNTRIES[COUNTRY_DESCRIPTION],COUNTRIES[COUNTRY_LABEL],"")</f>
        <v>GB</v>
      </c>
      <c r="F365" t="s">
        <v>74</v>
      </c>
      <c r="G365" t="s">
        <v>20</v>
      </c>
      <c r="H365">
        <v>0</v>
      </c>
      <c r="I365">
        <v>8</v>
      </c>
      <c r="J365">
        <v>8</v>
      </c>
      <c r="K365" s="2" t="s">
        <v>20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4">
        <v>104</v>
      </c>
      <c r="P365">
        <v>2490</v>
      </c>
      <c r="Q365">
        <v>145</v>
      </c>
      <c r="R365" s="31">
        <v>200</v>
      </c>
      <c r="S365" s="30">
        <f>IFERROR(PROPERTIES[[#This Row],[TE_STARTING_KN]]/(PROPERTIES[[#This Row],[WEIGHT]]*9.81),0)</f>
        <v>0.19603230612404923</v>
      </c>
      <c r="T365" s="30">
        <v>0.2</v>
      </c>
      <c r="U365" s="27">
        <f>ROUND(IF(IFERROR(PROPERTIES[[#This Row],[TE_COEFFICIENT_CALC]],0)=0,PROPERTIES[[#This Row],[TE_COEFFICIENT_MANUAL]],PROPERTIES[[#This Row],[TE_COEFFICIENT_CALC]]),3)</f>
        <v>0.19600000000000001</v>
      </c>
      <c r="V365" s="6">
        <v>40</v>
      </c>
      <c r="W365" s="10">
        <v>0</v>
      </c>
      <c r="X365" s="10">
        <v>0</v>
      </c>
      <c r="Y365" s="10"/>
      <c r="Z365" t="str">
        <f>"RUNNING_COST_"&amp;IF(PROPERTIES[[#This Row],[ENGINE_CLASS]]="MAGLEV","ELECTRIC",PROPERTIES[[#This Row],[ENGINE_CLASS]])</f>
        <v>RUNNING_COST_ELECTRIC</v>
      </c>
      <c r="AA365" s="10" t="s">
        <v>1004</v>
      </c>
      <c r="AB365" s="10" t="s">
        <v>1005</v>
      </c>
      <c r="AC365" s="10" t="str">
        <f>SUBSTITUTE(SUBSTITUTE(PROPERTIES[[#This Row],[PURCHASECOST_VALUE]], "PURCHASECOST_", ""), "_VALUE", "")</f>
        <v>ELECTRICENGINE</v>
      </c>
      <c r="AD365" s="2" t="b">
        <v>0</v>
      </c>
      <c r="AV365"/>
      <c r="AW365"/>
      <c r="AX365"/>
    </row>
    <row r="366" spans="1:50">
      <c r="A366" s="2" t="s">
        <v>391</v>
      </c>
      <c r="B366">
        <v>1922</v>
      </c>
      <c r="C366">
        <v>0</v>
      </c>
      <c r="D366" t="s">
        <v>1873</v>
      </c>
      <c r="E366" t="str">
        <f>_xlfn.XLOOKUP(PROPERTIES[[#This Row],[COUNTRY]],COUNTRIES[COUNTRY_DESCRIPTION],COUNTRIES[COUNTRY_LABEL],"")</f>
        <v>GB</v>
      </c>
      <c r="F366" t="s">
        <v>74</v>
      </c>
      <c r="G366" t="s">
        <v>20</v>
      </c>
      <c r="H366">
        <v>0</v>
      </c>
      <c r="I366">
        <v>8</v>
      </c>
      <c r="J366">
        <v>8</v>
      </c>
      <c r="K366" s="2" t="s">
        <v>20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4">
        <v>111</v>
      </c>
      <c r="P366">
        <v>1800</v>
      </c>
      <c r="Q366">
        <v>105</v>
      </c>
      <c r="R366" s="31">
        <v>126.4</v>
      </c>
      <c r="S366" s="30">
        <f>IFERROR(PROPERTIES[[#This Row],[TE_STARTING_KN]]/(PROPERTIES[[#This Row],[WEIGHT]]*9.81),0)</f>
        <v>0.11607938213442801</v>
      </c>
      <c r="T366" s="30">
        <v>0.11</v>
      </c>
      <c r="U366" s="27">
        <f>ROUND(IF(IFERROR(PROPERTIES[[#This Row],[TE_COEFFICIENT_CALC]],0)=0,PROPERTIES[[#This Row],[TE_COEFFICIENT_MANUAL]],PROPERTIES[[#This Row],[TE_COEFFICIENT_CALC]]),3)</f>
        <v>0.11600000000000001</v>
      </c>
      <c r="V366" s="6">
        <v>40</v>
      </c>
      <c r="W366" s="10">
        <v>0</v>
      </c>
      <c r="X366" s="10">
        <v>0</v>
      </c>
      <c r="Y366" s="10"/>
      <c r="Z366" t="str">
        <f>"RUNNING_COST_"&amp;IF(PROPERTIES[[#This Row],[ENGINE_CLASS]]="MAGLEV","ELECTRIC",PROPERTIES[[#This Row],[ENGINE_CLASS]])</f>
        <v>RUNNING_COST_ELECTRIC</v>
      </c>
      <c r="AA366" s="10" t="s">
        <v>1004</v>
      </c>
      <c r="AB366" s="10" t="s">
        <v>1005</v>
      </c>
      <c r="AC366" s="10" t="str">
        <f>SUBSTITUTE(SUBSTITUTE(PROPERTIES[[#This Row],[PURCHASECOST_VALUE]], "PURCHASECOST_", ""), "_VALUE", "")</f>
        <v>ELECTRICENGINE</v>
      </c>
      <c r="AD366" s="2" t="b">
        <v>0</v>
      </c>
      <c r="AV366"/>
      <c r="AW366"/>
      <c r="AX366"/>
    </row>
    <row r="367" spans="1:50">
      <c r="A367" s="2" t="s">
        <v>392</v>
      </c>
      <c r="B367">
        <v>1916</v>
      </c>
      <c r="C367">
        <v>0</v>
      </c>
      <c r="D367" t="s">
        <v>2029</v>
      </c>
      <c r="E367" t="str">
        <f>_xlfn.XLOOKUP(PROPERTIES[[#This Row],[COUNTRY]],COUNTRIES[COUNTRY_DESCRIPTION],COUNTRIES[COUNTRY_LABEL],"")</f>
        <v>US</v>
      </c>
      <c r="F367" t="s">
        <v>74</v>
      </c>
      <c r="G367" t="s">
        <v>20</v>
      </c>
      <c r="H367">
        <v>0</v>
      </c>
      <c r="I367">
        <v>6</v>
      </c>
      <c r="J367">
        <v>6</v>
      </c>
      <c r="K367" s="2" t="s">
        <v>20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4">
        <v>74</v>
      </c>
      <c r="P367">
        <v>670</v>
      </c>
      <c r="Q367">
        <v>72</v>
      </c>
      <c r="R367" s="31">
        <v>0</v>
      </c>
      <c r="S367" s="30">
        <f>IFERROR(PROPERTIES[[#This Row],[TE_STARTING_KN]]/(PROPERTIES[[#This Row],[WEIGHT]]*9.81),0)</f>
        <v>0</v>
      </c>
      <c r="T367" s="30">
        <v>0.18</v>
      </c>
      <c r="U367" s="27">
        <f>ROUND(IF(IFERROR(PROPERTIES[[#This Row],[TE_COEFFICIENT_CALC]],0)=0,PROPERTIES[[#This Row],[TE_COEFFICIENT_MANUAL]],PROPERTIES[[#This Row],[TE_COEFFICIENT_CALC]]),3)</f>
        <v>0.18</v>
      </c>
      <c r="V367" s="6">
        <v>40</v>
      </c>
      <c r="W367" s="10">
        <v>0</v>
      </c>
      <c r="X367" s="10">
        <v>0</v>
      </c>
      <c r="Y367" s="10"/>
      <c r="Z367" t="str">
        <f>"RUNNING_COST_"&amp;IF(PROPERTIES[[#This Row],[ENGINE_CLASS]]="MAGLEV","ELECTRIC",PROPERTIES[[#This Row],[ENGINE_CLASS]])</f>
        <v>RUNNING_COST_ELECTRIC</v>
      </c>
      <c r="AA367" s="10" t="s">
        <v>1004</v>
      </c>
      <c r="AB367" s="10" t="s">
        <v>1005</v>
      </c>
      <c r="AC367" s="10" t="str">
        <f>SUBSTITUTE(SUBSTITUTE(PROPERTIES[[#This Row],[PURCHASECOST_VALUE]], "PURCHASECOST_", ""), "_VALUE", "")</f>
        <v>ELECTRICENGINE</v>
      </c>
      <c r="AD367" s="2" t="b">
        <v>0</v>
      </c>
      <c r="AV367"/>
      <c r="AW367"/>
      <c r="AX367"/>
    </row>
    <row r="368" spans="1:50">
      <c r="A368" s="2" t="s">
        <v>393</v>
      </c>
      <c r="B368">
        <v>1919</v>
      </c>
      <c r="C368">
        <v>0</v>
      </c>
      <c r="D368" t="s">
        <v>2029</v>
      </c>
      <c r="E368" t="str">
        <f>_xlfn.XLOOKUP(PROPERTIES[[#This Row],[COUNTRY]],COUNTRIES[COUNTRY_DESCRIPTION],COUNTRIES[COUNTRY_LABEL],"")</f>
        <v>US</v>
      </c>
      <c r="F368" t="s">
        <v>74</v>
      </c>
      <c r="G368" t="s">
        <v>20</v>
      </c>
      <c r="H368">
        <v>0</v>
      </c>
      <c r="I368">
        <v>8</v>
      </c>
      <c r="J368">
        <v>4</v>
      </c>
      <c r="K368" s="2" t="s">
        <v>20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4">
        <v>240</v>
      </c>
      <c r="P368">
        <v>4440</v>
      </c>
      <c r="Q368">
        <v>113</v>
      </c>
      <c r="R368" s="31">
        <v>516</v>
      </c>
      <c r="S368" s="30">
        <f>IFERROR(PROPERTIES[[#This Row],[TE_STARTING_KN]]/(PROPERTIES[[#This Row],[WEIGHT]]*9.81),0)</f>
        <v>0.21916411824668705</v>
      </c>
      <c r="T368" s="30">
        <v>0.17</v>
      </c>
      <c r="U368" s="27">
        <f>ROUND(IF(IFERROR(PROPERTIES[[#This Row],[TE_COEFFICIENT_CALC]],0)=0,PROPERTIES[[#This Row],[TE_COEFFICIENT_MANUAL]],PROPERTIES[[#This Row],[TE_COEFFICIENT_CALC]]),3)</f>
        <v>0.219</v>
      </c>
      <c r="V368" s="6">
        <v>40</v>
      </c>
      <c r="W368" s="10">
        <v>0</v>
      </c>
      <c r="X368" s="10">
        <v>2</v>
      </c>
      <c r="Y368" s="10"/>
      <c r="Z368" t="str">
        <f>"RUNNING_COST_"&amp;IF(PROPERTIES[[#This Row],[ENGINE_CLASS]]="MAGLEV","ELECTRIC",PROPERTIES[[#This Row],[ENGINE_CLASS]])</f>
        <v>RUNNING_COST_ELECTRIC</v>
      </c>
      <c r="AA368" s="10" t="s">
        <v>1004</v>
      </c>
      <c r="AB368" s="10" t="s">
        <v>1005</v>
      </c>
      <c r="AC368" s="10" t="str">
        <f>SUBSTITUTE(SUBSTITUTE(PROPERTIES[[#This Row],[PURCHASECOST_VALUE]], "PURCHASECOST_", ""), "_VALUE", "")</f>
        <v>ELECTRICENGINE</v>
      </c>
      <c r="AD368" s="2" t="b">
        <v>0</v>
      </c>
      <c r="AV368"/>
      <c r="AW368"/>
      <c r="AX368"/>
    </row>
    <row r="369" spans="1:50">
      <c r="A369" s="2" t="s">
        <v>394</v>
      </c>
      <c r="B369">
        <v>1922</v>
      </c>
      <c r="C369">
        <v>0</v>
      </c>
      <c r="D369" t="s">
        <v>1843</v>
      </c>
      <c r="E369" t="str">
        <f>_xlfn.XLOOKUP(PROPERTIES[[#This Row],[COUNTRY]],COUNTRIES[COUNTRY_DESCRIPTION],COUNTRIES[COUNTRY_LABEL],"")</f>
        <v>CL</v>
      </c>
      <c r="F369" t="s">
        <v>74</v>
      </c>
      <c r="G369" t="s">
        <v>20</v>
      </c>
      <c r="H369">
        <v>0</v>
      </c>
      <c r="I369">
        <v>8</v>
      </c>
      <c r="J369">
        <v>8</v>
      </c>
      <c r="K369" s="2" t="s">
        <v>20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4">
        <v>80</v>
      </c>
      <c r="P369">
        <v>2450</v>
      </c>
      <c r="Q369">
        <v>80</v>
      </c>
      <c r="R369" s="31">
        <v>200</v>
      </c>
      <c r="S369" s="30">
        <f>IFERROR(PROPERTIES[[#This Row],[TE_STARTING_KN]]/(PROPERTIES[[#This Row],[WEIGHT]]*9.81),0)</f>
        <v>0.254841997961264</v>
      </c>
      <c r="T369" s="30">
        <v>0.19</v>
      </c>
      <c r="U369" s="27">
        <f>ROUND(IF(IFERROR(PROPERTIES[[#This Row],[TE_COEFFICIENT_CALC]],0)=0,PROPERTIES[[#This Row],[TE_COEFFICIENT_MANUAL]],PROPERTIES[[#This Row],[TE_COEFFICIENT_CALC]]),3)</f>
        <v>0.255</v>
      </c>
      <c r="V369" s="6">
        <v>40</v>
      </c>
      <c r="W369" s="10">
        <v>0</v>
      </c>
      <c r="X369" s="10">
        <v>0</v>
      </c>
      <c r="Y369" s="10"/>
      <c r="Z369" t="str">
        <f>"RUNNING_COST_"&amp;IF(PROPERTIES[[#This Row],[ENGINE_CLASS]]="MAGLEV","ELECTRIC",PROPERTIES[[#This Row],[ENGINE_CLASS]])</f>
        <v>RUNNING_COST_ELECTRIC</v>
      </c>
      <c r="AA369" s="10" t="s">
        <v>1004</v>
      </c>
      <c r="AB369" s="10" t="s">
        <v>1005</v>
      </c>
      <c r="AC369" s="10" t="str">
        <f>SUBSTITUTE(SUBSTITUTE(PROPERTIES[[#This Row],[PURCHASECOST_VALUE]], "PURCHASECOST_", ""), "_VALUE", "")</f>
        <v>ELECTRICENGINE</v>
      </c>
      <c r="AD369" s="2" t="b">
        <v>0</v>
      </c>
      <c r="AV369"/>
      <c r="AW369"/>
      <c r="AX369"/>
    </row>
    <row r="370" spans="1:50">
      <c r="A370" s="2" t="s">
        <v>395</v>
      </c>
      <c r="B370">
        <v>1934</v>
      </c>
      <c r="C370">
        <v>0</v>
      </c>
      <c r="D370" t="s">
        <v>1906</v>
      </c>
      <c r="E370" t="str">
        <f>_xlfn.XLOOKUP(PROPERTIES[[#This Row],[COUNTRY]],COUNTRIES[COUNTRY_DESCRIPTION],COUNTRIES[COUNTRY_LABEL],"")</f>
        <v>IT</v>
      </c>
      <c r="F370" t="s">
        <v>74</v>
      </c>
      <c r="G370" t="s">
        <v>20</v>
      </c>
      <c r="H370">
        <v>0</v>
      </c>
      <c r="I370">
        <v>8</v>
      </c>
      <c r="J370">
        <v>8</v>
      </c>
      <c r="K370" s="2" t="s">
        <v>20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4">
        <v>130</v>
      </c>
      <c r="P370">
        <v>3800</v>
      </c>
      <c r="Q370">
        <v>130</v>
      </c>
      <c r="R370" s="31">
        <v>180</v>
      </c>
      <c r="S370" s="30">
        <f>IFERROR(PROPERTIES[[#This Row],[TE_STARTING_KN]]/(PROPERTIES[[#This Row],[WEIGHT]]*9.81),0)</f>
        <v>0.14114326040931546</v>
      </c>
      <c r="T370" s="30">
        <v>0.1</v>
      </c>
      <c r="U370" s="27">
        <f>ROUND(IF(IFERROR(PROPERTIES[[#This Row],[TE_COEFFICIENT_CALC]],0)=0,PROPERTIES[[#This Row],[TE_COEFFICIENT_MANUAL]],PROPERTIES[[#This Row],[TE_COEFFICIENT_CALC]]),3)</f>
        <v>0.14099999999999999</v>
      </c>
      <c r="V370" s="6">
        <v>40</v>
      </c>
      <c r="W370" s="10">
        <v>0</v>
      </c>
      <c r="X370" s="10">
        <v>0</v>
      </c>
      <c r="Y370" s="10"/>
      <c r="Z370" t="str">
        <f>"RUNNING_COST_"&amp;IF(PROPERTIES[[#This Row],[ENGINE_CLASS]]="MAGLEV","ELECTRIC",PROPERTIES[[#This Row],[ENGINE_CLASS]])</f>
        <v>RUNNING_COST_ELECTRIC</v>
      </c>
      <c r="AA370" s="10" t="s">
        <v>1004</v>
      </c>
      <c r="AB370" s="10" t="s">
        <v>1005</v>
      </c>
      <c r="AC370" s="10" t="str">
        <f>SUBSTITUTE(SUBSTITUTE(PROPERTIES[[#This Row],[PURCHASECOST_VALUE]], "PURCHASECOST_", ""), "_VALUE", "")</f>
        <v>ELECTRICENGINE</v>
      </c>
      <c r="AD370" s="2" t="b">
        <v>0</v>
      </c>
      <c r="AV370"/>
      <c r="AW370"/>
      <c r="AX370"/>
    </row>
    <row r="371" spans="1:50">
      <c r="A371" s="2" t="s">
        <v>396</v>
      </c>
      <c r="B371">
        <v>1936</v>
      </c>
      <c r="C371">
        <v>0</v>
      </c>
      <c r="D371" t="s">
        <v>2043</v>
      </c>
      <c r="E371" t="str">
        <f>_xlfn.XLOOKUP(PROPERTIES[[#This Row],[COUNTRY]],COUNTRIES[COUNTRY_DESCRIPTION],COUNTRIES[COUNTRY_LABEL],"")</f>
        <v>ZA</v>
      </c>
      <c r="F371" t="s">
        <v>74</v>
      </c>
      <c r="G371" t="s">
        <v>20</v>
      </c>
      <c r="H371">
        <v>0</v>
      </c>
      <c r="I371">
        <v>8</v>
      </c>
      <c r="J371">
        <v>8</v>
      </c>
      <c r="K371" s="2" t="s">
        <v>20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4">
        <v>68</v>
      </c>
      <c r="P371">
        <v>1202</v>
      </c>
      <c r="Q371">
        <v>40</v>
      </c>
      <c r="R371" s="31">
        <v>176</v>
      </c>
      <c r="S371" s="30">
        <f>IFERROR(PROPERTIES[[#This Row],[TE_STARTING_KN]]/(PROPERTIES[[#This Row],[WEIGHT]]*9.81),0)</f>
        <v>0.26383642141872038</v>
      </c>
      <c r="T371" s="30">
        <v>0.11</v>
      </c>
      <c r="U371" s="27">
        <f>ROUND(IF(IFERROR(PROPERTIES[[#This Row],[TE_COEFFICIENT_CALC]],0)=0,PROPERTIES[[#This Row],[TE_COEFFICIENT_MANUAL]],PROPERTIES[[#This Row],[TE_COEFFICIENT_CALC]]),3)</f>
        <v>0.26400000000000001</v>
      </c>
      <c r="V371" s="6">
        <v>40</v>
      </c>
      <c r="W371" s="10">
        <v>0</v>
      </c>
      <c r="X371" s="10">
        <v>0</v>
      </c>
      <c r="Y371" s="10"/>
      <c r="Z371" t="str">
        <f>"RUNNING_COST_"&amp;IF(PROPERTIES[[#This Row],[ENGINE_CLASS]]="MAGLEV","ELECTRIC",PROPERTIES[[#This Row],[ENGINE_CLASS]])</f>
        <v>RUNNING_COST_ELECTRIC</v>
      </c>
      <c r="AA371" s="10" t="s">
        <v>1004</v>
      </c>
      <c r="AB371" s="10" t="s">
        <v>1005</v>
      </c>
      <c r="AC371" s="10" t="str">
        <f>SUBSTITUTE(SUBSTITUTE(PROPERTIES[[#This Row],[PURCHASECOST_VALUE]], "PURCHASECOST_", ""), "_VALUE", "")</f>
        <v>ELECTRICENGINE</v>
      </c>
      <c r="AD371" s="2" t="b">
        <v>0</v>
      </c>
      <c r="AV371"/>
      <c r="AW371"/>
      <c r="AX371"/>
    </row>
    <row r="372" spans="1:50">
      <c r="A372" s="2" t="s">
        <v>397</v>
      </c>
      <c r="B372">
        <v>1962</v>
      </c>
      <c r="C372">
        <v>0</v>
      </c>
      <c r="D372" t="s">
        <v>1975</v>
      </c>
      <c r="E372" t="str">
        <f>_xlfn.XLOOKUP(PROPERTIES[[#This Row],[COUNTRY]],COUNTRIES[COUNTRY_DESCRIPTION],COUNTRIES[COUNTRY_LABEL],"")</f>
        <v>PL</v>
      </c>
      <c r="F372" t="s">
        <v>74</v>
      </c>
      <c r="G372" t="s">
        <v>20</v>
      </c>
      <c r="H372">
        <v>0</v>
      </c>
      <c r="I372">
        <v>7</v>
      </c>
      <c r="J372">
        <v>7</v>
      </c>
      <c r="K372" s="2" t="s">
        <v>20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4">
        <v>81</v>
      </c>
      <c r="P372">
        <v>1500</v>
      </c>
      <c r="Q372">
        <v>126</v>
      </c>
      <c r="R372" s="31">
        <v>280</v>
      </c>
      <c r="S372" s="30">
        <f>IFERROR(PROPERTIES[[#This Row],[TE_STARTING_KN]]/(PROPERTIES[[#This Row],[WEIGHT]]*9.81),0)</f>
        <v>0.35237412063779716</v>
      </c>
      <c r="T372" s="30">
        <v>0.35</v>
      </c>
      <c r="U372" s="27">
        <f>ROUND(IF(IFERROR(PROPERTIES[[#This Row],[TE_COEFFICIENT_CALC]],0)=0,PROPERTIES[[#This Row],[TE_COEFFICIENT_MANUAL]],PROPERTIES[[#This Row],[TE_COEFFICIENT_CALC]]),3)</f>
        <v>0.35199999999999998</v>
      </c>
      <c r="V372" s="6">
        <v>40</v>
      </c>
      <c r="W372" s="10">
        <v>0</v>
      </c>
      <c r="X372" s="10">
        <v>0</v>
      </c>
      <c r="Y372" s="10"/>
      <c r="Z372" t="str">
        <f>"RUNNING_COST_"&amp;IF(PROPERTIES[[#This Row],[ENGINE_CLASS]]="MAGLEV","ELECTRIC",PROPERTIES[[#This Row],[ENGINE_CLASS]])</f>
        <v>RUNNING_COST_ELECTRIC</v>
      </c>
      <c r="AA372" s="10" t="s">
        <v>1004</v>
      </c>
      <c r="AB372" s="10" t="s">
        <v>1005</v>
      </c>
      <c r="AC372" s="10" t="str">
        <f>SUBSTITUTE(SUBSTITUTE(PROPERTIES[[#This Row],[PURCHASECOST_VALUE]], "PURCHASECOST_", ""), "_VALUE", "")</f>
        <v>ELECTRICENGINE</v>
      </c>
      <c r="AD372" s="2" t="b">
        <v>0</v>
      </c>
      <c r="AV372"/>
      <c r="AW372"/>
      <c r="AX372"/>
    </row>
    <row r="373" spans="1:50">
      <c r="A373" s="2" t="s">
        <v>398</v>
      </c>
      <c r="B373">
        <v>1977</v>
      </c>
      <c r="C373">
        <v>0</v>
      </c>
      <c r="D373" t="s">
        <v>1975</v>
      </c>
      <c r="E373" t="str">
        <f>_xlfn.XLOOKUP(PROPERTIES[[#This Row],[COUNTRY]],COUNTRIES[COUNTRY_DESCRIPTION],COUNTRIES[COUNTRY_LABEL],"")</f>
        <v>PL</v>
      </c>
      <c r="F373" t="s">
        <v>74</v>
      </c>
      <c r="G373" t="s">
        <v>20</v>
      </c>
      <c r="H373">
        <v>0</v>
      </c>
      <c r="I373">
        <v>7</v>
      </c>
      <c r="J373">
        <v>14</v>
      </c>
      <c r="K373" s="2" t="s">
        <v>20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4">
        <v>167</v>
      </c>
      <c r="P373">
        <v>5400</v>
      </c>
      <c r="Q373">
        <v>125</v>
      </c>
      <c r="R373" s="31">
        <v>500</v>
      </c>
      <c r="S373" s="30">
        <f>IFERROR(PROPERTIES[[#This Row],[TE_STARTING_KN]]/(PROPERTIES[[#This Row],[WEIGHT]]*9.81),0)</f>
        <v>0.30519999755840005</v>
      </c>
      <c r="T373" s="30">
        <v>0.6</v>
      </c>
      <c r="U373" s="27">
        <f>ROUND(IF(IFERROR(PROPERTIES[[#This Row],[TE_COEFFICIENT_CALC]],0)=0,PROPERTIES[[#This Row],[TE_COEFFICIENT_MANUAL]],PROPERTIES[[#This Row],[TE_COEFFICIENT_CALC]]),3)</f>
        <v>0.30499999999999999</v>
      </c>
      <c r="V373" s="6">
        <v>40</v>
      </c>
      <c r="W373" s="10">
        <v>0</v>
      </c>
      <c r="X373" s="10">
        <v>7</v>
      </c>
      <c r="Y373" s="10"/>
      <c r="Z373" t="str">
        <f>"RUNNING_COST_"&amp;IF(PROPERTIES[[#This Row],[ENGINE_CLASS]]="MAGLEV","ELECTRIC",PROPERTIES[[#This Row],[ENGINE_CLASS]])</f>
        <v>RUNNING_COST_ELECTRIC</v>
      </c>
      <c r="AA373" s="10" t="s">
        <v>1004</v>
      </c>
      <c r="AB373" s="10" t="s">
        <v>1005</v>
      </c>
      <c r="AC373" s="10" t="str">
        <f>SUBSTITUTE(SUBSTITUTE(PROPERTIES[[#This Row],[PURCHASECOST_VALUE]], "PURCHASECOST_", ""), "_VALUE", "")</f>
        <v>ELECTRICENGINE</v>
      </c>
      <c r="AD373" s="2" t="b">
        <v>0</v>
      </c>
      <c r="AV373"/>
      <c r="AW373"/>
      <c r="AX373"/>
    </row>
    <row r="374" spans="1:50">
      <c r="A374" s="2" t="s">
        <v>399</v>
      </c>
      <c r="B374">
        <v>1986</v>
      </c>
      <c r="C374">
        <v>0</v>
      </c>
      <c r="D374" t="s">
        <v>1975</v>
      </c>
      <c r="E374" t="str">
        <f>_xlfn.XLOOKUP(PROPERTIES[[#This Row],[COUNTRY]],COUNTRIES[COUNTRY_DESCRIPTION],COUNTRIES[COUNTRY_LABEL],"")</f>
        <v>PL</v>
      </c>
      <c r="F374" t="s">
        <v>74</v>
      </c>
      <c r="G374" t="s">
        <v>20</v>
      </c>
      <c r="H374">
        <v>0</v>
      </c>
      <c r="I374">
        <v>7</v>
      </c>
      <c r="J374">
        <v>7</v>
      </c>
      <c r="K374" s="2" t="s">
        <v>20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4">
        <v>83.5</v>
      </c>
      <c r="P374">
        <v>3916</v>
      </c>
      <c r="Q374">
        <v>160</v>
      </c>
      <c r="R374" s="31">
        <v>195</v>
      </c>
      <c r="S374" s="30">
        <f>IFERROR(PROPERTIES[[#This Row],[TE_STARTING_KN]]/(PROPERTIES[[#This Row],[WEIGHT]]*9.81),0)</f>
        <v>0.23805599809555203</v>
      </c>
      <c r="T374" s="30">
        <v>0.23</v>
      </c>
      <c r="U374" s="27">
        <f>ROUND(IF(IFERROR(PROPERTIES[[#This Row],[TE_COEFFICIENT_CALC]],0)=0,PROPERTIES[[#This Row],[TE_COEFFICIENT_MANUAL]],PROPERTIES[[#This Row],[TE_COEFFICIENT_CALC]]),3)</f>
        <v>0.23799999999999999</v>
      </c>
      <c r="V374" s="6">
        <v>40</v>
      </c>
      <c r="W374" s="10">
        <v>0</v>
      </c>
      <c r="X374" s="10">
        <v>0</v>
      </c>
      <c r="Y374" s="10"/>
      <c r="Z374" t="str">
        <f>"RUNNING_COST_"&amp;IF(PROPERTIES[[#This Row],[ENGINE_CLASS]]="MAGLEV","ELECTRIC",PROPERTIES[[#This Row],[ENGINE_CLASS]])</f>
        <v>RUNNING_COST_ELECTRIC</v>
      </c>
      <c r="AA374" s="10" t="s">
        <v>1004</v>
      </c>
      <c r="AB374" s="10" t="s">
        <v>1005</v>
      </c>
      <c r="AC374" s="10" t="str">
        <f>SUBSTITUTE(SUBSTITUTE(PROPERTIES[[#This Row],[PURCHASECOST_VALUE]], "PURCHASECOST_", ""), "_VALUE", "")</f>
        <v>ELECTRICENGINE</v>
      </c>
      <c r="AD374" s="2" t="b">
        <v>0</v>
      </c>
      <c r="AV374"/>
      <c r="AW374"/>
      <c r="AX374"/>
    </row>
    <row r="375" spans="1:50">
      <c r="A375" s="2" t="s">
        <v>400</v>
      </c>
      <c r="B375">
        <v>1991</v>
      </c>
      <c r="C375">
        <v>0</v>
      </c>
      <c r="D375" t="s">
        <v>1998</v>
      </c>
      <c r="E375" t="str">
        <f>_xlfn.XLOOKUP(PROPERTIES[[#This Row],[COUNTRY]],COUNTRIES[COUNTRY_DESCRIPTION],COUNTRIES[COUNTRY_LABEL],"")</f>
        <v>SK</v>
      </c>
      <c r="F375" t="s">
        <v>74</v>
      </c>
      <c r="G375" t="s">
        <v>20</v>
      </c>
      <c r="H375">
        <v>0</v>
      </c>
      <c r="I375">
        <v>7</v>
      </c>
      <c r="J375">
        <v>7</v>
      </c>
      <c r="K375" s="2" t="s">
        <v>20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4">
        <v>85</v>
      </c>
      <c r="P375">
        <v>4872</v>
      </c>
      <c r="Q375">
        <v>140</v>
      </c>
      <c r="R375" s="31">
        <v>258</v>
      </c>
      <c r="S375" s="30">
        <f>IFERROR(PROPERTIES[[#This Row],[TE_STARTING_KN]]/(PROPERTIES[[#This Row],[WEIGHT]]*9.81),0)</f>
        <v>0.30940816693649936</v>
      </c>
      <c r="T375" s="30">
        <v>0.3</v>
      </c>
      <c r="U375" s="27">
        <f>ROUND(IF(IFERROR(PROPERTIES[[#This Row],[TE_COEFFICIENT_CALC]],0)=0,PROPERTIES[[#This Row],[TE_COEFFICIENT_MANUAL]],PROPERTIES[[#This Row],[TE_COEFFICIENT_CALC]]),3)</f>
        <v>0.309</v>
      </c>
      <c r="V375" s="6">
        <v>40</v>
      </c>
      <c r="W375" s="10">
        <v>0</v>
      </c>
      <c r="X375" s="10">
        <v>0</v>
      </c>
      <c r="Y375" s="10"/>
      <c r="Z375" t="str">
        <f>"RUNNING_COST_"&amp;IF(PROPERTIES[[#This Row],[ENGINE_CLASS]]="MAGLEV","ELECTRIC",PROPERTIES[[#This Row],[ENGINE_CLASS]])</f>
        <v>RUNNING_COST_ELECTRIC</v>
      </c>
      <c r="AA375" s="10" t="s">
        <v>1004</v>
      </c>
      <c r="AB375" s="10" t="s">
        <v>1005</v>
      </c>
      <c r="AC375" s="10" t="str">
        <f>SUBSTITUTE(SUBSTITUTE(PROPERTIES[[#This Row],[PURCHASECOST_VALUE]], "PURCHASECOST_", ""), "_VALUE", "")</f>
        <v>ELECTRICENGINE</v>
      </c>
      <c r="AD375" s="2" t="b">
        <v>0</v>
      </c>
      <c r="AV375"/>
      <c r="AW375"/>
      <c r="AX375"/>
    </row>
    <row r="376" spans="1:50">
      <c r="A376" s="2" t="s">
        <v>401</v>
      </c>
      <c r="B376">
        <v>1961</v>
      </c>
      <c r="C376">
        <v>0</v>
      </c>
      <c r="D376" t="s">
        <v>1906</v>
      </c>
      <c r="E376" t="str">
        <f>_xlfn.XLOOKUP(PROPERTIES[[#This Row],[COUNTRY]],COUNTRIES[COUNTRY_DESCRIPTION],COUNTRIES[COUNTRY_LABEL],"")</f>
        <v>IT</v>
      </c>
      <c r="F376" t="s">
        <v>74</v>
      </c>
      <c r="G376" t="s">
        <v>20</v>
      </c>
      <c r="H376">
        <v>0</v>
      </c>
      <c r="I376">
        <v>5</v>
      </c>
      <c r="J376">
        <v>10</v>
      </c>
      <c r="K376" s="2" t="s">
        <v>20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4">
        <v>110</v>
      </c>
      <c r="P376">
        <v>5070</v>
      </c>
      <c r="Q376">
        <v>140</v>
      </c>
      <c r="R376" s="31">
        <v>233</v>
      </c>
      <c r="S376" s="30">
        <f>IFERROR(PROPERTIES[[#This Row],[TE_STARTING_KN]]/(PROPERTIES[[#This Row],[WEIGHT]]*9.81),0)</f>
        <v>0.21592067463627093</v>
      </c>
      <c r="T376" s="30">
        <v>0.21</v>
      </c>
      <c r="U376" s="27">
        <f>ROUND(IF(IFERROR(PROPERTIES[[#This Row],[TE_COEFFICIENT_CALC]],0)=0,PROPERTIES[[#This Row],[TE_COEFFICIENT_MANUAL]],PROPERTIES[[#This Row],[TE_COEFFICIENT_CALC]]),3)</f>
        <v>0.216</v>
      </c>
      <c r="V376" s="6">
        <v>40</v>
      </c>
      <c r="W376" s="10">
        <v>0</v>
      </c>
      <c r="X376" s="10">
        <v>5</v>
      </c>
      <c r="Y376" s="10"/>
      <c r="Z376" t="str">
        <f>"RUNNING_COST_"&amp;IF(PROPERTIES[[#This Row],[ENGINE_CLASS]]="MAGLEV","ELECTRIC",PROPERTIES[[#This Row],[ENGINE_CLASS]])</f>
        <v>RUNNING_COST_ELECTRIC</v>
      </c>
      <c r="AA376" s="10" t="s">
        <v>1004</v>
      </c>
      <c r="AB376" s="10" t="s">
        <v>1005</v>
      </c>
      <c r="AC376" s="10" t="str">
        <f>SUBSTITUTE(SUBSTITUTE(PROPERTIES[[#This Row],[PURCHASECOST_VALUE]], "PURCHASECOST_", ""), "_VALUE", "")</f>
        <v>ELECTRICENGINE</v>
      </c>
      <c r="AD376" s="2" t="b">
        <v>0</v>
      </c>
      <c r="AV376"/>
      <c r="AW376"/>
      <c r="AX376"/>
    </row>
    <row r="377" spans="1:50">
      <c r="A377" s="2" t="s">
        <v>402</v>
      </c>
      <c r="B377">
        <v>1943</v>
      </c>
      <c r="C377">
        <v>0</v>
      </c>
      <c r="D377" t="s">
        <v>1906</v>
      </c>
      <c r="E377" t="str">
        <f>_xlfn.XLOOKUP(PROPERTIES[[#This Row],[COUNTRY]],COUNTRIES[COUNTRY_DESCRIPTION],COUNTRIES[COUNTRY_LABEL],"")</f>
        <v>IT</v>
      </c>
      <c r="F377" t="s">
        <v>74</v>
      </c>
      <c r="G377" t="s">
        <v>20</v>
      </c>
      <c r="H377">
        <v>0</v>
      </c>
      <c r="I377">
        <v>8</v>
      </c>
      <c r="J377">
        <v>8</v>
      </c>
      <c r="K377" s="2" t="s">
        <v>20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4">
        <v>65</v>
      </c>
      <c r="P377">
        <v>2000</v>
      </c>
      <c r="Q377">
        <v>120</v>
      </c>
      <c r="R377" s="31">
        <v>168</v>
      </c>
      <c r="S377" s="30">
        <f>IFERROR(PROPERTIES[[#This Row],[TE_STARTING_KN]]/(PROPERTIES[[#This Row],[WEIGHT]]*9.81),0)</f>
        <v>0.26346741943072222</v>
      </c>
      <c r="T377" s="30">
        <v>0.26</v>
      </c>
      <c r="U377" s="27">
        <f>ROUND(IF(IFERROR(PROPERTIES[[#This Row],[TE_COEFFICIENT_CALC]],0)=0,PROPERTIES[[#This Row],[TE_COEFFICIENT_MANUAL]],PROPERTIES[[#This Row],[TE_COEFFICIENT_CALC]]),3)</f>
        <v>0.26300000000000001</v>
      </c>
      <c r="V377" s="6">
        <v>40</v>
      </c>
      <c r="W377" s="10">
        <v>0</v>
      </c>
      <c r="X377" s="10">
        <v>0</v>
      </c>
      <c r="Y377" s="10"/>
      <c r="Z377" t="str">
        <f>"RUNNING_COST_"&amp;IF(PROPERTIES[[#This Row],[ENGINE_CLASS]]="MAGLEV","ELECTRIC",PROPERTIES[[#This Row],[ENGINE_CLASS]])</f>
        <v>RUNNING_COST_ELECTRIC</v>
      </c>
      <c r="AA377" s="10" t="s">
        <v>1004</v>
      </c>
      <c r="AB377" s="10" t="s">
        <v>1005</v>
      </c>
      <c r="AC377" s="10" t="str">
        <f>SUBSTITUTE(SUBSTITUTE(PROPERTIES[[#This Row],[PURCHASECOST_VALUE]], "PURCHASECOST_", ""), "_VALUE", "")</f>
        <v>ELECTRICENGINE</v>
      </c>
      <c r="AD377" s="2" t="b">
        <v>0</v>
      </c>
      <c r="AV377"/>
      <c r="AW377"/>
      <c r="AX377"/>
    </row>
    <row r="378" spans="1:50">
      <c r="A378" s="2" t="s">
        <v>403</v>
      </c>
      <c r="B378">
        <v>1967</v>
      </c>
      <c r="C378">
        <v>0</v>
      </c>
      <c r="D378" t="s">
        <v>1906</v>
      </c>
      <c r="E378" t="str">
        <f>_xlfn.XLOOKUP(PROPERTIES[[#This Row],[COUNTRY]],COUNTRIES[COUNTRY_DESCRIPTION],COUNTRIES[COUNTRY_LABEL],"")</f>
        <v>IT</v>
      </c>
      <c r="F378" t="s">
        <v>74</v>
      </c>
      <c r="G378" t="s">
        <v>20</v>
      </c>
      <c r="H378">
        <v>0</v>
      </c>
      <c r="I378">
        <v>8</v>
      </c>
      <c r="J378">
        <v>8</v>
      </c>
      <c r="K378" s="2" t="s">
        <v>20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4">
        <v>83</v>
      </c>
      <c r="P378">
        <v>5729</v>
      </c>
      <c r="Q378">
        <v>200</v>
      </c>
      <c r="R378" s="31">
        <v>201</v>
      </c>
      <c r="S378" s="30">
        <f>IFERROR(PROPERTIES[[#This Row],[TE_STARTING_KN]]/(PROPERTIES[[#This Row],[WEIGHT]]*9.81),0)</f>
        <v>0.24685899561548946</v>
      </c>
      <c r="T378" s="30">
        <v>0.24</v>
      </c>
      <c r="U378" s="27">
        <f>ROUND(IF(IFERROR(PROPERTIES[[#This Row],[TE_COEFFICIENT_CALC]],0)=0,PROPERTIES[[#This Row],[TE_COEFFICIENT_MANUAL]],PROPERTIES[[#This Row],[TE_COEFFICIENT_CALC]]),3)</f>
        <v>0.247</v>
      </c>
      <c r="V378" s="6">
        <v>40</v>
      </c>
      <c r="W378" s="10">
        <v>0</v>
      </c>
      <c r="X378" s="10">
        <v>0</v>
      </c>
      <c r="Y378" s="10"/>
      <c r="Z378" t="str">
        <f>"RUNNING_COST_"&amp;IF(PROPERTIES[[#This Row],[ENGINE_CLASS]]="MAGLEV","ELECTRIC",PROPERTIES[[#This Row],[ENGINE_CLASS]])</f>
        <v>RUNNING_COST_ELECTRIC</v>
      </c>
      <c r="AA378" s="10" t="s">
        <v>1004</v>
      </c>
      <c r="AB378" s="10" t="s">
        <v>1005</v>
      </c>
      <c r="AC378" s="10" t="str">
        <f>SUBSTITUTE(SUBSTITUTE(PROPERTIES[[#This Row],[PURCHASECOST_VALUE]], "PURCHASECOST_", ""), "_VALUE", "")</f>
        <v>ELECTRICENGINE</v>
      </c>
      <c r="AD378" s="2" t="b">
        <v>0</v>
      </c>
      <c r="AV378"/>
      <c r="AW378"/>
      <c r="AX378"/>
    </row>
    <row r="379" spans="1:50">
      <c r="A379" s="2" t="s">
        <v>404</v>
      </c>
      <c r="B379">
        <v>1979</v>
      </c>
      <c r="C379">
        <v>0</v>
      </c>
      <c r="D379" t="s">
        <v>1906</v>
      </c>
      <c r="E379" t="str">
        <f>_xlfn.XLOOKUP(PROPERTIES[[#This Row],[COUNTRY]],COUNTRIES[COUNTRY_DESCRIPTION],COUNTRIES[COUNTRY_LABEL],"")</f>
        <v>IT</v>
      </c>
      <c r="F379" t="s">
        <v>74</v>
      </c>
      <c r="G379" t="s">
        <v>20</v>
      </c>
      <c r="H379">
        <v>0</v>
      </c>
      <c r="I379">
        <v>8</v>
      </c>
      <c r="J379">
        <v>8</v>
      </c>
      <c r="K379" s="2" t="s">
        <v>20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4">
        <v>103</v>
      </c>
      <c r="P379">
        <v>5600</v>
      </c>
      <c r="Q379">
        <v>130</v>
      </c>
      <c r="R379" s="31">
        <v>308</v>
      </c>
      <c r="S379" s="30">
        <f>IFERROR(PROPERTIES[[#This Row],[TE_STARTING_KN]]/(PROPERTIES[[#This Row],[WEIGHT]]*9.81),0)</f>
        <v>0.30482071989153131</v>
      </c>
      <c r="T379" s="30">
        <v>0.27</v>
      </c>
      <c r="U379" s="27">
        <f>ROUND(IF(IFERROR(PROPERTIES[[#This Row],[TE_COEFFICIENT_CALC]],0)=0,PROPERTIES[[#This Row],[TE_COEFFICIENT_MANUAL]],PROPERTIES[[#This Row],[TE_COEFFICIENT_CALC]]),3)</f>
        <v>0.30499999999999999</v>
      </c>
      <c r="V379" s="6">
        <v>40</v>
      </c>
      <c r="W379" s="10">
        <v>0</v>
      </c>
      <c r="X379" s="10">
        <v>0</v>
      </c>
      <c r="Y379" s="10"/>
      <c r="Z379" t="str">
        <f>"RUNNING_COST_"&amp;IF(PROPERTIES[[#This Row],[ENGINE_CLASS]]="MAGLEV","ELECTRIC",PROPERTIES[[#This Row],[ENGINE_CLASS]])</f>
        <v>RUNNING_COST_ELECTRIC</v>
      </c>
      <c r="AA379" s="10" t="s">
        <v>1004</v>
      </c>
      <c r="AB379" s="10" t="s">
        <v>1005</v>
      </c>
      <c r="AC379" s="10" t="str">
        <f>SUBSTITUTE(SUBSTITUTE(PROPERTIES[[#This Row],[PURCHASECOST_VALUE]], "PURCHASECOST_", ""), "_VALUE", "")</f>
        <v>ELECTRICENGINE</v>
      </c>
      <c r="AD379" s="2" t="b">
        <v>0</v>
      </c>
      <c r="AV379"/>
      <c r="AW379"/>
      <c r="AX379"/>
    </row>
    <row r="380" spans="1:50">
      <c r="A380" s="2" t="s">
        <v>405</v>
      </c>
      <c r="B380">
        <v>1960</v>
      </c>
      <c r="C380">
        <v>0</v>
      </c>
      <c r="D380" t="s">
        <v>1817</v>
      </c>
      <c r="E380" t="str">
        <f>_xlfn.XLOOKUP(PROPERTIES[[#This Row],[COUNTRY]],COUNTRIES[COUNTRY_DESCRIPTION],COUNTRIES[COUNTRY_LABEL],"")</f>
        <v>BE</v>
      </c>
      <c r="F380" t="s">
        <v>74</v>
      </c>
      <c r="G380" t="s">
        <v>20</v>
      </c>
      <c r="H380">
        <v>0</v>
      </c>
      <c r="I380">
        <v>8</v>
      </c>
      <c r="J380">
        <v>8</v>
      </c>
      <c r="K380" s="2" t="s">
        <v>20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4">
        <v>85</v>
      </c>
      <c r="P380">
        <v>2520</v>
      </c>
      <c r="Q380">
        <v>130</v>
      </c>
      <c r="R380" s="31">
        <v>196</v>
      </c>
      <c r="S380" s="30">
        <f>IFERROR(PROPERTIES[[#This Row],[TE_STARTING_KN]]/(PROPERTIES[[#This Row],[WEIGHT]]*9.81),0)</f>
        <v>0.23505426635485999</v>
      </c>
      <c r="T380" s="30">
        <v>0.23</v>
      </c>
      <c r="U380" s="27">
        <f>ROUND(IF(IFERROR(PROPERTIES[[#This Row],[TE_COEFFICIENT_CALC]],0)=0,PROPERTIES[[#This Row],[TE_COEFFICIENT_MANUAL]],PROPERTIES[[#This Row],[TE_COEFFICIENT_CALC]]),3)</f>
        <v>0.23499999999999999</v>
      </c>
      <c r="V380" s="6">
        <v>40</v>
      </c>
      <c r="W380" s="10">
        <v>0</v>
      </c>
      <c r="X380" s="10">
        <v>0</v>
      </c>
      <c r="Y380" s="10"/>
      <c r="Z380" t="str">
        <f>"RUNNING_COST_"&amp;IF(PROPERTIES[[#This Row],[ENGINE_CLASS]]="MAGLEV","ELECTRIC",PROPERTIES[[#This Row],[ENGINE_CLASS]])</f>
        <v>RUNNING_COST_ELECTRIC</v>
      </c>
      <c r="AA380" s="10" t="s">
        <v>1004</v>
      </c>
      <c r="AB380" s="10" t="s">
        <v>1005</v>
      </c>
      <c r="AC380" s="10" t="str">
        <f>SUBSTITUTE(SUBSTITUTE(PROPERTIES[[#This Row],[PURCHASECOST_VALUE]], "PURCHASECOST_", ""), "_VALUE", "")</f>
        <v>ELECTRICENGINE</v>
      </c>
      <c r="AD380" s="2" t="b">
        <v>0</v>
      </c>
      <c r="AV380"/>
      <c r="AW380"/>
      <c r="AX380"/>
    </row>
    <row r="381" spans="1:50">
      <c r="A381" s="2" t="s">
        <v>406</v>
      </c>
      <c r="B381">
        <v>1982</v>
      </c>
      <c r="C381">
        <v>0</v>
      </c>
      <c r="D381" t="s">
        <v>1865</v>
      </c>
      <c r="E381" t="str">
        <f>_xlfn.XLOOKUP(PROPERTIES[[#This Row],[COUNTRY]],COUNTRIES[COUNTRY_DESCRIPTION],COUNTRIES[COUNTRY_LABEL],"")</f>
        <v>ES</v>
      </c>
      <c r="F381" t="s">
        <v>74</v>
      </c>
      <c r="G381" t="s">
        <v>20</v>
      </c>
      <c r="H381">
        <v>0</v>
      </c>
      <c r="I381">
        <v>8</v>
      </c>
      <c r="J381">
        <v>8</v>
      </c>
      <c r="K381" s="2" t="s">
        <v>20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4">
        <v>124</v>
      </c>
      <c r="P381">
        <v>6440</v>
      </c>
      <c r="Q381">
        <v>160</v>
      </c>
      <c r="R381" s="31">
        <v>410</v>
      </c>
      <c r="S381" s="30">
        <f>IFERROR(PROPERTIES[[#This Row],[TE_STARTING_KN]]/(PROPERTIES[[#This Row],[WEIGHT]]*9.81),0)</f>
        <v>0.33704909407780076</v>
      </c>
      <c r="T381" s="30">
        <v>0.16</v>
      </c>
      <c r="U381" s="27">
        <f>ROUND(IF(IFERROR(PROPERTIES[[#This Row],[TE_COEFFICIENT_CALC]],0)=0,PROPERTIES[[#This Row],[TE_COEFFICIENT_MANUAL]],PROPERTIES[[#This Row],[TE_COEFFICIENT_CALC]]),3)</f>
        <v>0.33700000000000002</v>
      </c>
      <c r="V381" s="6">
        <v>40</v>
      </c>
      <c r="W381" s="10">
        <v>0</v>
      </c>
      <c r="X381" s="10">
        <v>0</v>
      </c>
      <c r="Y381" s="10"/>
      <c r="Z381" t="str">
        <f>"RUNNING_COST_"&amp;IF(PROPERTIES[[#This Row],[ENGINE_CLASS]]="MAGLEV","ELECTRIC",PROPERTIES[[#This Row],[ENGINE_CLASS]])</f>
        <v>RUNNING_COST_ELECTRIC</v>
      </c>
      <c r="AA381" s="10" t="s">
        <v>1004</v>
      </c>
      <c r="AB381" s="10" t="s">
        <v>1005</v>
      </c>
      <c r="AC381" s="10" t="str">
        <f>SUBSTITUTE(SUBSTITUTE(PROPERTIES[[#This Row],[PURCHASECOST_VALUE]], "PURCHASECOST_", ""), "_VALUE", "")</f>
        <v>ELECTRICENGINE</v>
      </c>
      <c r="AD381" s="2" t="b">
        <v>0</v>
      </c>
      <c r="AV381"/>
      <c r="AW381"/>
      <c r="AX381"/>
    </row>
    <row r="382" spans="1:50">
      <c r="A382" s="2" t="s">
        <v>407</v>
      </c>
      <c r="B382">
        <v>1949</v>
      </c>
      <c r="C382">
        <v>0</v>
      </c>
      <c r="D382" t="s">
        <v>1843</v>
      </c>
      <c r="E382" t="str">
        <f>_xlfn.XLOOKUP(PROPERTIES[[#This Row],[COUNTRY]],COUNTRIES[COUNTRY_DESCRIPTION],COUNTRIES[COUNTRY_LABEL],"")</f>
        <v>CL</v>
      </c>
      <c r="F382" t="s">
        <v>74</v>
      </c>
      <c r="G382" t="s">
        <v>20</v>
      </c>
      <c r="H382">
        <v>0</v>
      </c>
      <c r="I382">
        <v>8</v>
      </c>
      <c r="J382">
        <v>2</v>
      </c>
      <c r="K382" s="2" t="s">
        <v>20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4">
        <v>116</v>
      </c>
      <c r="P382">
        <v>3100</v>
      </c>
      <c r="Q382">
        <v>100</v>
      </c>
      <c r="R382" s="31">
        <v>315</v>
      </c>
      <c r="S382" s="30">
        <f>IFERROR(PROPERTIES[[#This Row],[TE_STARTING_KN]]/(PROPERTIES[[#This Row],[WEIGHT]]*9.81),0)</f>
        <v>0.27681113571654536</v>
      </c>
      <c r="T382" s="30">
        <v>0.2</v>
      </c>
      <c r="U382" s="27">
        <f>ROUND(IF(IFERROR(PROPERTIES[[#This Row],[TE_COEFFICIENT_CALC]],0)=0,PROPERTIES[[#This Row],[TE_COEFFICIENT_MANUAL]],PROPERTIES[[#This Row],[TE_COEFFICIENT_CALC]]),3)</f>
        <v>0.27700000000000002</v>
      </c>
      <c r="V382" s="6">
        <v>40</v>
      </c>
      <c r="W382" s="10">
        <v>0</v>
      </c>
      <c r="X382" s="10">
        <v>1</v>
      </c>
      <c r="Y382" s="10"/>
      <c r="Z382" t="str">
        <f>"RUNNING_COST_"&amp;IF(PROPERTIES[[#This Row],[ENGINE_CLASS]]="MAGLEV","ELECTRIC",PROPERTIES[[#This Row],[ENGINE_CLASS]])</f>
        <v>RUNNING_COST_ELECTRIC</v>
      </c>
      <c r="AA382" s="10" t="s">
        <v>1004</v>
      </c>
      <c r="AB382" s="10" t="s">
        <v>1005</v>
      </c>
      <c r="AC382" s="10" t="str">
        <f>SUBSTITUTE(SUBSTITUTE(PROPERTIES[[#This Row],[PURCHASECOST_VALUE]], "PURCHASECOST_", ""), "_VALUE", "")</f>
        <v>ELECTRICENGINE</v>
      </c>
      <c r="AD382" s="2" t="b">
        <v>0</v>
      </c>
      <c r="AV382"/>
      <c r="AW382"/>
      <c r="AX382"/>
    </row>
    <row r="383" spans="1:50">
      <c r="A383" s="2" t="s">
        <v>408</v>
      </c>
      <c r="B383">
        <v>1974</v>
      </c>
      <c r="C383">
        <v>0</v>
      </c>
      <c r="D383" t="s">
        <v>1843</v>
      </c>
      <c r="E383" t="str">
        <f>_xlfn.XLOOKUP(PROPERTIES[[#This Row],[COUNTRY]],COUNTRIES[COUNTRY_DESCRIPTION],COUNTRIES[COUNTRY_LABEL],"")</f>
        <v>CL</v>
      </c>
      <c r="F383" t="s">
        <v>74</v>
      </c>
      <c r="G383" t="s">
        <v>20</v>
      </c>
      <c r="H383">
        <v>0</v>
      </c>
      <c r="I383">
        <v>6</v>
      </c>
      <c r="J383">
        <v>6</v>
      </c>
      <c r="K383" s="2" t="s">
        <v>24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4">
        <v>79</v>
      </c>
      <c r="P383">
        <v>1640</v>
      </c>
      <c r="Q383">
        <v>90</v>
      </c>
      <c r="R383" s="31">
        <v>0</v>
      </c>
      <c r="S383" s="30">
        <f>IFERROR(PROPERTIES[[#This Row],[TE_STARTING_KN]]/(PROPERTIES[[#This Row],[WEIGHT]]*9.81),0)</f>
        <v>0</v>
      </c>
      <c r="T383" s="30">
        <v>0.24</v>
      </c>
      <c r="U383" s="27">
        <f>ROUND(IF(IFERROR(PROPERTIES[[#This Row],[TE_COEFFICIENT_CALC]],0)=0,PROPERTIES[[#This Row],[TE_COEFFICIENT_MANUAL]],PROPERTIES[[#This Row],[TE_COEFFICIENT_CALC]]),3)</f>
        <v>0.24</v>
      </c>
      <c r="V383" s="6">
        <v>40</v>
      </c>
      <c r="W383" s="10">
        <v>0</v>
      </c>
      <c r="X383" s="10">
        <v>0</v>
      </c>
      <c r="Y383" s="10"/>
      <c r="Z383" t="str">
        <f>"RUNNING_COST_"&amp;IF(PROPERTIES[[#This Row],[ENGINE_CLASS]]="MAGLEV","ELECTRIC",PROPERTIES[[#This Row],[ENGINE_CLASS]])</f>
        <v>RUNNING_COST_ELECTRIC</v>
      </c>
      <c r="AA383" s="10" t="s">
        <v>1004</v>
      </c>
      <c r="AB383" s="10" t="s">
        <v>1005</v>
      </c>
      <c r="AC383" s="10" t="str">
        <f>SUBSTITUTE(SUBSTITUTE(PROPERTIES[[#This Row],[PURCHASECOST_VALUE]], "PURCHASECOST_", ""), "_VALUE", "")</f>
        <v>ELECTRICENGINE</v>
      </c>
      <c r="AD383" s="2" t="b">
        <v>0</v>
      </c>
      <c r="AV383"/>
      <c r="AW383"/>
      <c r="AX383"/>
    </row>
    <row r="384" spans="1:50">
      <c r="A384" s="2" t="s">
        <v>409</v>
      </c>
      <c r="B384">
        <v>1948</v>
      </c>
      <c r="C384">
        <v>0</v>
      </c>
      <c r="D384" t="s">
        <v>1933</v>
      </c>
      <c r="E384" t="str">
        <f>_xlfn.XLOOKUP(PROPERTIES[[#This Row],[COUNTRY]],COUNTRIES[COUNTRY_DESCRIPTION],COUNTRIES[COUNTRY_LABEL],"")</f>
        <v>MA</v>
      </c>
      <c r="F384" t="s">
        <v>74</v>
      </c>
      <c r="G384" t="s">
        <v>20</v>
      </c>
      <c r="H384">
        <v>0</v>
      </c>
      <c r="I384">
        <v>6</v>
      </c>
      <c r="J384">
        <v>6</v>
      </c>
      <c r="K384" s="2" t="s">
        <v>20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4">
        <v>88</v>
      </c>
      <c r="P384">
        <v>1710</v>
      </c>
      <c r="Q384">
        <v>80</v>
      </c>
      <c r="R384" s="31">
        <v>0</v>
      </c>
      <c r="S384" s="30">
        <f>IFERROR(PROPERTIES[[#This Row],[TE_STARTING_KN]]/(PROPERTIES[[#This Row],[WEIGHT]]*9.81),0)</f>
        <v>0</v>
      </c>
      <c r="T384" s="30">
        <v>0.17</v>
      </c>
      <c r="U384" s="27">
        <f>ROUND(IF(IFERROR(PROPERTIES[[#This Row],[TE_COEFFICIENT_CALC]],0)=0,PROPERTIES[[#This Row],[TE_COEFFICIENT_MANUAL]],PROPERTIES[[#This Row],[TE_COEFFICIENT_CALC]]),3)</f>
        <v>0.17</v>
      </c>
      <c r="V384" s="6">
        <v>40</v>
      </c>
      <c r="W384" s="10">
        <v>0</v>
      </c>
      <c r="X384" s="10">
        <v>0</v>
      </c>
      <c r="Y384" s="10"/>
      <c r="Z384" t="str">
        <f>"RUNNING_COST_"&amp;IF(PROPERTIES[[#This Row],[ENGINE_CLASS]]="MAGLEV","ELECTRIC",PROPERTIES[[#This Row],[ENGINE_CLASS]])</f>
        <v>RUNNING_COST_ELECTRIC</v>
      </c>
      <c r="AA384" s="10" t="s">
        <v>1004</v>
      </c>
      <c r="AB384" s="10" t="s">
        <v>1005</v>
      </c>
      <c r="AC384" s="10" t="str">
        <f>SUBSTITUTE(SUBSTITUTE(PROPERTIES[[#This Row],[PURCHASECOST_VALUE]], "PURCHASECOST_", ""), "_VALUE", "")</f>
        <v>ELECTRICENGINE</v>
      </c>
      <c r="AD384" s="2" t="b">
        <v>0</v>
      </c>
      <c r="AV384"/>
      <c r="AW384"/>
      <c r="AX384"/>
    </row>
    <row r="385" spans="1:50">
      <c r="A385" s="2" t="s">
        <v>410</v>
      </c>
      <c r="B385">
        <v>1958</v>
      </c>
      <c r="C385">
        <v>0</v>
      </c>
      <c r="D385" t="s">
        <v>1901</v>
      </c>
      <c r="E385" t="str">
        <f>_xlfn.XLOOKUP(PROPERTIES[[#This Row],[COUNTRY]],COUNTRIES[COUNTRY_DESCRIPTION],COUNTRIES[COUNTRY_LABEL],"")</f>
        <v>IN</v>
      </c>
      <c r="F385" t="s">
        <v>74</v>
      </c>
      <c r="G385" t="s">
        <v>20</v>
      </c>
      <c r="H385">
        <v>0</v>
      </c>
      <c r="I385">
        <v>8</v>
      </c>
      <c r="J385">
        <v>8</v>
      </c>
      <c r="K385" s="2" t="s">
        <v>20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4">
        <v>124</v>
      </c>
      <c r="P385">
        <v>3700</v>
      </c>
      <c r="Q385">
        <v>104</v>
      </c>
      <c r="R385" s="31">
        <v>300</v>
      </c>
      <c r="S385" s="30">
        <f>IFERROR(PROPERTIES[[#This Row],[TE_STARTING_KN]]/(PROPERTIES[[#This Row],[WEIGHT]]*9.81),0)</f>
        <v>0.24662128834961033</v>
      </c>
      <c r="T385" s="30">
        <v>0.25</v>
      </c>
      <c r="U385" s="27">
        <f>ROUND(IF(IFERROR(PROPERTIES[[#This Row],[TE_COEFFICIENT_CALC]],0)=0,PROPERTIES[[#This Row],[TE_COEFFICIENT_MANUAL]],PROPERTIES[[#This Row],[TE_COEFFICIENT_CALC]]),3)</f>
        <v>0.247</v>
      </c>
      <c r="V385" s="6">
        <v>40</v>
      </c>
      <c r="W385" s="10">
        <v>0</v>
      </c>
      <c r="X385" s="10">
        <v>0</v>
      </c>
      <c r="Y385" s="10"/>
      <c r="Z385" t="str">
        <f>"RUNNING_COST_"&amp;IF(PROPERTIES[[#This Row],[ENGINE_CLASS]]="MAGLEV","ELECTRIC",PROPERTIES[[#This Row],[ENGINE_CLASS]])</f>
        <v>RUNNING_COST_ELECTRIC</v>
      </c>
      <c r="AA385" s="10" t="s">
        <v>1004</v>
      </c>
      <c r="AB385" s="10" t="s">
        <v>1005</v>
      </c>
      <c r="AC385" s="10" t="str">
        <f>SUBSTITUTE(SUBSTITUTE(PROPERTIES[[#This Row],[PURCHASECOST_VALUE]], "PURCHASECOST_", ""), "_VALUE", "")</f>
        <v>ELECTRICENGINE</v>
      </c>
      <c r="AD385" s="2" t="b">
        <v>0</v>
      </c>
      <c r="AV385"/>
      <c r="AW385"/>
      <c r="AX385"/>
    </row>
    <row r="386" spans="1:50">
      <c r="A386" s="2" t="s">
        <v>411</v>
      </c>
      <c r="B386">
        <v>1992</v>
      </c>
      <c r="C386">
        <v>0</v>
      </c>
      <c r="D386" t="s">
        <v>2043</v>
      </c>
      <c r="E386" t="str">
        <f>_xlfn.XLOOKUP(PROPERTIES[[#This Row],[COUNTRY]],COUNTRIES[COUNTRY_DESCRIPTION],COUNTRIES[COUNTRY_LABEL],"")</f>
        <v>ZA</v>
      </c>
      <c r="F386" t="s">
        <v>74</v>
      </c>
      <c r="G386" t="s">
        <v>20</v>
      </c>
      <c r="H386">
        <v>0</v>
      </c>
      <c r="I386">
        <v>6</v>
      </c>
      <c r="J386">
        <v>6</v>
      </c>
      <c r="K386" s="2" t="s">
        <v>24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4">
        <v>74</v>
      </c>
      <c r="P386">
        <v>2000</v>
      </c>
      <c r="Q386">
        <v>100</v>
      </c>
      <c r="R386" s="31">
        <v>260</v>
      </c>
      <c r="S386" s="30">
        <f>IFERROR(PROPERTIES[[#This Row],[TE_STARTING_KN]]/(PROPERTIES[[#This Row],[WEIGHT]]*9.81),0)</f>
        <v>0.35815632145907372</v>
      </c>
      <c r="T386" s="30">
        <v>0.24</v>
      </c>
      <c r="U386" s="27">
        <f>ROUND(IF(IFERROR(PROPERTIES[[#This Row],[TE_COEFFICIENT_CALC]],0)=0,PROPERTIES[[#This Row],[TE_COEFFICIENT_MANUAL]],PROPERTIES[[#This Row],[TE_COEFFICIENT_CALC]]),3)</f>
        <v>0.35799999999999998</v>
      </c>
      <c r="V386" s="6">
        <v>40</v>
      </c>
      <c r="W386" s="10">
        <v>0</v>
      </c>
      <c r="X386" s="10">
        <v>0</v>
      </c>
      <c r="Y386" s="10"/>
      <c r="Z386" t="str">
        <f>"RUNNING_COST_"&amp;IF(PROPERTIES[[#This Row],[ENGINE_CLASS]]="MAGLEV","ELECTRIC",PROPERTIES[[#This Row],[ENGINE_CLASS]])</f>
        <v>RUNNING_COST_ELECTRIC</v>
      </c>
      <c r="AA386" s="10" t="s">
        <v>1004</v>
      </c>
      <c r="AB386" s="10" t="s">
        <v>1005</v>
      </c>
      <c r="AC386" s="10" t="str">
        <f>SUBSTITUTE(SUBSTITUTE(PROPERTIES[[#This Row],[PURCHASECOST_VALUE]], "PURCHASECOST_", ""), "_VALUE", "")</f>
        <v>ELECTRICENGINE</v>
      </c>
      <c r="AD386" s="2" t="b">
        <v>0</v>
      </c>
      <c r="AV386"/>
      <c r="AW386"/>
      <c r="AX386"/>
    </row>
    <row r="387" spans="1:50">
      <c r="A387" s="2" t="s">
        <v>412</v>
      </c>
      <c r="B387">
        <v>1980</v>
      </c>
      <c r="C387">
        <v>0</v>
      </c>
      <c r="D387" t="s">
        <v>1843</v>
      </c>
      <c r="E387" t="str">
        <f>_xlfn.XLOOKUP(PROPERTIES[[#This Row],[COUNTRY]],COUNTRIES[COUNTRY_DESCRIPTION],COUNTRIES[COUNTRY_LABEL],"")</f>
        <v>CL</v>
      </c>
      <c r="F387" t="s">
        <v>74</v>
      </c>
      <c r="G387" t="s">
        <v>20</v>
      </c>
      <c r="H387">
        <v>0</v>
      </c>
      <c r="I387">
        <v>7</v>
      </c>
      <c r="J387">
        <v>7</v>
      </c>
      <c r="K387" s="2" t="s">
        <v>20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4">
        <v>88</v>
      </c>
      <c r="P387">
        <v>4340</v>
      </c>
      <c r="Q387">
        <v>160</v>
      </c>
      <c r="R387" s="31">
        <v>0</v>
      </c>
      <c r="S387" s="30">
        <f>IFERROR(PROPERTIES[[#This Row],[TE_STARTING_KN]]/(PROPERTIES[[#This Row],[WEIGHT]]*9.81),0)</f>
        <v>0</v>
      </c>
      <c r="T387" s="30">
        <v>0.16</v>
      </c>
      <c r="U387" s="27">
        <f>ROUND(IF(IFERROR(PROPERTIES[[#This Row],[TE_COEFFICIENT_CALC]],0)=0,PROPERTIES[[#This Row],[TE_COEFFICIENT_MANUAL]],PROPERTIES[[#This Row],[TE_COEFFICIENT_CALC]]),3)</f>
        <v>0.16</v>
      </c>
      <c r="V387" s="6">
        <v>40</v>
      </c>
      <c r="W387" s="10">
        <v>0</v>
      </c>
      <c r="X387" s="10">
        <v>0</v>
      </c>
      <c r="Y387" s="10"/>
      <c r="Z387" t="str">
        <f>"RUNNING_COST_"&amp;IF(PROPERTIES[[#This Row],[ENGINE_CLASS]]="MAGLEV","ELECTRIC",PROPERTIES[[#This Row],[ENGINE_CLASS]])</f>
        <v>RUNNING_COST_ELECTRIC</v>
      </c>
      <c r="AA387" s="10" t="s">
        <v>1004</v>
      </c>
      <c r="AB387" s="10" t="s">
        <v>1005</v>
      </c>
      <c r="AC387" s="10" t="str">
        <f>SUBSTITUTE(SUBSTITUTE(PROPERTIES[[#This Row],[PURCHASECOST_VALUE]], "PURCHASECOST_", ""), "_VALUE", "")</f>
        <v>ELECTRICENGINE</v>
      </c>
      <c r="AD387" s="2" t="b">
        <v>0</v>
      </c>
      <c r="AV387"/>
      <c r="AW387"/>
      <c r="AX387"/>
    </row>
    <row r="388" spans="1:50">
      <c r="A388" s="2" t="s">
        <v>413</v>
      </c>
      <c r="B388">
        <v>1980</v>
      </c>
      <c r="C388">
        <v>0</v>
      </c>
      <c r="D388" t="s">
        <v>1853</v>
      </c>
      <c r="E388" t="str">
        <f>_xlfn.XLOOKUP(PROPERTIES[[#This Row],[COUNTRY]],COUNTRIES[COUNTRY_DESCRIPTION],COUNTRIES[COUNTRY_LABEL],"")</f>
        <v>CZ</v>
      </c>
      <c r="F388" t="s">
        <v>74</v>
      </c>
      <c r="G388" t="s">
        <v>20</v>
      </c>
      <c r="H388">
        <v>0</v>
      </c>
      <c r="I388">
        <v>7</v>
      </c>
      <c r="J388">
        <v>7</v>
      </c>
      <c r="K388" s="2" t="s">
        <v>20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4">
        <v>87</v>
      </c>
      <c r="P388">
        <v>4667</v>
      </c>
      <c r="Q388">
        <v>120</v>
      </c>
      <c r="R388" s="31">
        <v>260</v>
      </c>
      <c r="S388" s="30">
        <f>IFERROR(PROPERTIES[[#This Row],[TE_STARTING_KN]]/(PROPERTIES[[#This Row],[WEIGHT]]*9.81),0)</f>
        <v>0.30463871020656846</v>
      </c>
      <c r="T388" s="30">
        <v>0.3</v>
      </c>
      <c r="U388" s="27">
        <f>ROUND(IF(IFERROR(PROPERTIES[[#This Row],[TE_COEFFICIENT_CALC]],0)=0,PROPERTIES[[#This Row],[TE_COEFFICIENT_MANUAL]],PROPERTIES[[#This Row],[TE_COEFFICIENT_CALC]]),3)</f>
        <v>0.30499999999999999</v>
      </c>
      <c r="V388" s="6">
        <v>40</v>
      </c>
      <c r="W388" s="10">
        <v>0</v>
      </c>
      <c r="X388" s="10">
        <v>0</v>
      </c>
      <c r="Y388" s="10"/>
      <c r="Z388" t="str">
        <f>"RUNNING_COST_"&amp;IF(PROPERTIES[[#This Row],[ENGINE_CLASS]]="MAGLEV","ELECTRIC",PROPERTIES[[#This Row],[ENGINE_CLASS]])</f>
        <v>RUNNING_COST_ELECTRIC</v>
      </c>
      <c r="AA388" s="10" t="s">
        <v>1004</v>
      </c>
      <c r="AB388" s="10" t="s">
        <v>1005</v>
      </c>
      <c r="AC388" s="10" t="str">
        <f>SUBSTITUTE(SUBSTITUTE(PROPERTIES[[#This Row],[PURCHASECOST_VALUE]], "PURCHASECOST_", ""), "_VALUE", "")</f>
        <v>ELECTRICENGINE</v>
      </c>
      <c r="AD388" s="2" t="b">
        <v>0</v>
      </c>
      <c r="AV388"/>
      <c r="AW388"/>
      <c r="AX388"/>
    </row>
    <row r="389" spans="1:50">
      <c r="A389" s="2" t="s">
        <v>414</v>
      </c>
      <c r="B389">
        <v>1911</v>
      </c>
      <c r="C389">
        <v>0</v>
      </c>
      <c r="D389" t="s">
        <v>1963</v>
      </c>
      <c r="E389" t="str">
        <f>_xlfn.XLOOKUP(PROPERTIES[[#This Row],[COUNTRY]],COUNTRIES[COUNTRY_DESCRIPTION],COUNTRIES[COUNTRY_LABEL],"")</f>
        <v>NO</v>
      </c>
      <c r="F389" t="s">
        <v>74</v>
      </c>
      <c r="G389" t="s">
        <v>20</v>
      </c>
      <c r="H389">
        <v>0</v>
      </c>
      <c r="I389">
        <v>6</v>
      </c>
      <c r="J389">
        <v>6</v>
      </c>
      <c r="K389" s="2" t="s">
        <v>20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4">
        <v>48</v>
      </c>
      <c r="P389">
        <v>490</v>
      </c>
      <c r="Q389">
        <v>45</v>
      </c>
      <c r="R389" s="31">
        <v>0</v>
      </c>
      <c r="S389" s="30">
        <f>IFERROR(PROPERTIES[[#This Row],[TE_STARTING_KN]]/(PROPERTIES[[#This Row],[WEIGHT]]*9.81),0)</f>
        <v>0</v>
      </c>
      <c r="T389" s="30">
        <v>0.22</v>
      </c>
      <c r="U389" s="27">
        <f>ROUND(IF(IFERROR(PROPERTIES[[#This Row],[TE_COEFFICIENT_CALC]],0)=0,PROPERTIES[[#This Row],[TE_COEFFICIENT_MANUAL]],PROPERTIES[[#This Row],[TE_COEFFICIENT_CALC]]),3)</f>
        <v>0.22</v>
      </c>
      <c r="V389" s="6">
        <v>40</v>
      </c>
      <c r="W389" s="10">
        <v>0</v>
      </c>
      <c r="X389" s="10">
        <v>0</v>
      </c>
      <c r="Y389" s="10"/>
      <c r="Z389" t="str">
        <f>"RUNNING_COST_"&amp;IF(PROPERTIES[[#This Row],[ENGINE_CLASS]]="MAGLEV","ELECTRIC",PROPERTIES[[#This Row],[ENGINE_CLASS]])</f>
        <v>RUNNING_COST_ELECTRIC</v>
      </c>
      <c r="AA389" s="10" t="s">
        <v>1004</v>
      </c>
      <c r="AB389" s="10" t="s">
        <v>1005</v>
      </c>
      <c r="AC389" s="10" t="str">
        <f>SUBSTITUTE(SUBSTITUTE(PROPERTIES[[#This Row],[PURCHASECOST_VALUE]], "PURCHASECOST_", ""), "_VALUE", "")</f>
        <v>ELECTRICENGINE</v>
      </c>
      <c r="AD389" s="2" t="b">
        <v>0</v>
      </c>
      <c r="AV389"/>
      <c r="AW389"/>
      <c r="AX389"/>
    </row>
    <row r="390" spans="1:50">
      <c r="A390" s="2" t="s">
        <v>415</v>
      </c>
      <c r="B390">
        <v>1916</v>
      </c>
      <c r="C390">
        <v>0</v>
      </c>
      <c r="D390" t="s">
        <v>2029</v>
      </c>
      <c r="E390" t="str">
        <f>_xlfn.XLOOKUP(PROPERTIES[[#This Row],[COUNTRY]],COUNTRIES[COUNTRY_DESCRIPTION],COUNTRIES[COUNTRY_LABEL],"")</f>
        <v>US</v>
      </c>
      <c r="F390" t="s">
        <v>74</v>
      </c>
      <c r="G390" t="s">
        <v>20</v>
      </c>
      <c r="H390">
        <v>0</v>
      </c>
      <c r="I390">
        <v>8</v>
      </c>
      <c r="J390">
        <v>4</v>
      </c>
      <c r="K390" s="2" t="s">
        <v>20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4">
        <v>234</v>
      </c>
      <c r="P390">
        <v>4600</v>
      </c>
      <c r="Q390">
        <v>33</v>
      </c>
      <c r="R390" s="31">
        <v>620</v>
      </c>
      <c r="S390" s="30">
        <f>IFERROR(PROPERTIES[[#This Row],[TE_STARTING_KN]]/(PROPERTIES[[#This Row],[WEIGHT]]*9.81),0)</f>
        <v>0.27008895510424563</v>
      </c>
      <c r="T390" s="30">
        <v>0.17</v>
      </c>
      <c r="U390" s="27">
        <f>ROUND(IF(IFERROR(PROPERTIES[[#This Row],[TE_COEFFICIENT_CALC]],0)=0,PROPERTIES[[#This Row],[TE_COEFFICIENT_MANUAL]],PROPERTIES[[#This Row],[TE_COEFFICIENT_CALC]]),3)</f>
        <v>0.27</v>
      </c>
      <c r="V390" s="6">
        <v>40</v>
      </c>
      <c r="W390" s="10">
        <v>0</v>
      </c>
      <c r="X390" s="10">
        <v>2</v>
      </c>
      <c r="Y390" s="10"/>
      <c r="Z390" t="str">
        <f>"RUNNING_COST_"&amp;IF(PROPERTIES[[#This Row],[ENGINE_CLASS]]="MAGLEV","ELECTRIC",PROPERTIES[[#This Row],[ENGINE_CLASS]])</f>
        <v>RUNNING_COST_ELECTRIC</v>
      </c>
      <c r="AA390" s="10" t="s">
        <v>1004</v>
      </c>
      <c r="AB390" s="10" t="s">
        <v>1005</v>
      </c>
      <c r="AC390" s="10" t="str">
        <f>SUBSTITUTE(SUBSTITUTE(PROPERTIES[[#This Row],[PURCHASECOST_VALUE]], "PURCHASECOST_", ""), "_VALUE", "")</f>
        <v>ELECTRICENGINE</v>
      </c>
      <c r="AD390" s="2" t="b">
        <v>0</v>
      </c>
      <c r="AV390"/>
      <c r="AW390"/>
      <c r="AX390"/>
    </row>
    <row r="391" spans="1:50">
      <c r="A391" s="2" t="s">
        <v>416</v>
      </c>
      <c r="B391">
        <v>1928</v>
      </c>
      <c r="C391">
        <v>0</v>
      </c>
      <c r="D391" t="s">
        <v>1809</v>
      </c>
      <c r="E391" t="str">
        <f>_xlfn.XLOOKUP(PROPERTIES[[#This Row],[COUNTRY]],COUNTRIES[COUNTRY_DESCRIPTION],COUNTRIES[COUNTRY_LABEL],"")</f>
        <v>AT</v>
      </c>
      <c r="F391" t="s">
        <v>74</v>
      </c>
      <c r="G391" t="s">
        <v>20</v>
      </c>
      <c r="H391">
        <v>0</v>
      </c>
      <c r="I391">
        <v>5</v>
      </c>
      <c r="J391">
        <v>5</v>
      </c>
      <c r="K391" s="2" t="s">
        <v>20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4">
        <v>55</v>
      </c>
      <c r="P391">
        <v>1000</v>
      </c>
      <c r="Q391">
        <v>40</v>
      </c>
      <c r="R391" s="31">
        <v>140</v>
      </c>
      <c r="S391" s="30">
        <f>IFERROR(PROPERTIES[[#This Row],[TE_STARTING_KN]]/(PROPERTIES[[#This Row],[WEIGHT]]*9.81),0)</f>
        <v>0.25947548883328697</v>
      </c>
      <c r="T391" s="30">
        <v>0.25</v>
      </c>
      <c r="U391" s="27">
        <f>ROUND(IF(IFERROR(PROPERTIES[[#This Row],[TE_COEFFICIENT_CALC]],0)=0,PROPERTIES[[#This Row],[TE_COEFFICIENT_MANUAL]],PROPERTIES[[#This Row],[TE_COEFFICIENT_CALC]]),3)</f>
        <v>0.25900000000000001</v>
      </c>
      <c r="V391" s="6">
        <v>40</v>
      </c>
      <c r="W391" s="10">
        <v>0</v>
      </c>
      <c r="X391" s="10">
        <v>0</v>
      </c>
      <c r="Y391" s="10"/>
      <c r="Z391" t="str">
        <f>"RUNNING_COST_"&amp;IF(PROPERTIES[[#This Row],[ENGINE_CLASS]]="MAGLEV","ELECTRIC",PROPERTIES[[#This Row],[ENGINE_CLASS]])</f>
        <v>RUNNING_COST_ELECTRIC</v>
      </c>
      <c r="AA391" s="10" t="s">
        <v>1004</v>
      </c>
      <c r="AB391" s="10" t="s">
        <v>1005</v>
      </c>
      <c r="AC391" s="10" t="str">
        <f>SUBSTITUTE(SUBSTITUTE(PROPERTIES[[#This Row],[PURCHASECOST_VALUE]], "PURCHASECOST_", ""), "_VALUE", "")</f>
        <v>ELECTRICENGINE</v>
      </c>
      <c r="AD391" s="2" t="b">
        <v>0</v>
      </c>
      <c r="AV391"/>
      <c r="AW391"/>
      <c r="AX391"/>
    </row>
    <row r="392" spans="1:50">
      <c r="A392" s="2" t="s">
        <v>417</v>
      </c>
      <c r="B392">
        <v>1930</v>
      </c>
      <c r="C392">
        <v>0</v>
      </c>
      <c r="D392" t="s">
        <v>1854</v>
      </c>
      <c r="E392" t="str">
        <f>_xlfn.XLOOKUP(PROPERTIES[[#This Row],[COUNTRY]],COUNTRIES[COUNTRY_DESCRIPTION],COUNTRIES[COUNTRY_LABEL],"")</f>
        <v>DE</v>
      </c>
      <c r="F392" t="s">
        <v>74</v>
      </c>
      <c r="G392" t="s">
        <v>20</v>
      </c>
      <c r="H392">
        <v>0</v>
      </c>
      <c r="I392">
        <v>6</v>
      </c>
      <c r="J392">
        <v>6</v>
      </c>
      <c r="K392" s="2" t="s">
        <v>20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4">
        <v>32</v>
      </c>
      <c r="P392">
        <v>810</v>
      </c>
      <c r="Q392">
        <v>50</v>
      </c>
      <c r="R392" s="31">
        <v>93</v>
      </c>
      <c r="S392" s="30">
        <f>IFERROR(PROPERTIES[[#This Row],[TE_STARTING_KN]]/(PROPERTIES[[#This Row],[WEIGHT]]*9.81),0)</f>
        <v>0.29625382262996941</v>
      </c>
      <c r="T392" s="30">
        <v>0.28999999999999998</v>
      </c>
      <c r="U392" s="27">
        <f>ROUND(IF(IFERROR(PROPERTIES[[#This Row],[TE_COEFFICIENT_CALC]],0)=0,PROPERTIES[[#This Row],[TE_COEFFICIENT_MANUAL]],PROPERTIES[[#This Row],[TE_COEFFICIENT_CALC]]),3)</f>
        <v>0.29599999999999999</v>
      </c>
      <c r="V392" s="6">
        <v>40</v>
      </c>
      <c r="W392" s="10">
        <v>0</v>
      </c>
      <c r="X392" s="10">
        <v>0</v>
      </c>
      <c r="Y392" s="10"/>
      <c r="Z392" t="str">
        <f>"RUNNING_COST_"&amp;IF(PROPERTIES[[#This Row],[ENGINE_CLASS]]="MAGLEV","ELECTRIC",PROPERTIES[[#This Row],[ENGINE_CLASS]])</f>
        <v>RUNNING_COST_ELECTRIC</v>
      </c>
      <c r="AA392" s="10" t="s">
        <v>1004</v>
      </c>
      <c r="AB392" s="10" t="s">
        <v>1005</v>
      </c>
      <c r="AC392" s="10" t="str">
        <f>SUBSTITUTE(SUBSTITUTE(PROPERTIES[[#This Row],[PURCHASECOST_VALUE]], "PURCHASECOST_", ""), "_VALUE", "")</f>
        <v>ELECTRICENGINE</v>
      </c>
      <c r="AD392" s="2" t="b">
        <v>0</v>
      </c>
      <c r="AV392"/>
      <c r="AW392"/>
      <c r="AX392"/>
    </row>
    <row r="393" spans="1:50">
      <c r="A393" s="2" t="s">
        <v>418</v>
      </c>
      <c r="B393">
        <v>1931</v>
      </c>
      <c r="C393">
        <v>0</v>
      </c>
      <c r="D393" t="s">
        <v>1963</v>
      </c>
      <c r="E393" t="str">
        <f>_xlfn.XLOOKUP(PROPERTIES[[#This Row],[COUNTRY]],COUNTRIES[COUNTRY_DESCRIPTION],COUNTRIES[COUNTRY_LABEL],"")</f>
        <v>NO</v>
      </c>
      <c r="F393" t="s">
        <v>74</v>
      </c>
      <c r="G393" t="s">
        <v>20</v>
      </c>
      <c r="H393">
        <v>0</v>
      </c>
      <c r="I393">
        <v>6</v>
      </c>
      <c r="J393">
        <v>6</v>
      </c>
      <c r="K393" s="2" t="s">
        <v>20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4">
        <v>47.3</v>
      </c>
      <c r="P393">
        <v>700</v>
      </c>
      <c r="Q393">
        <v>45</v>
      </c>
      <c r="R393" s="31">
        <v>110</v>
      </c>
      <c r="S393" s="30">
        <f>IFERROR(PROPERTIES[[#This Row],[TE_STARTING_KN]]/(PROPERTIES[[#This Row],[WEIGHT]]*9.81),0)</f>
        <v>0.23706232368489677</v>
      </c>
      <c r="T393" s="30">
        <v>0.3</v>
      </c>
      <c r="U393" s="27">
        <f>ROUND(IF(IFERROR(PROPERTIES[[#This Row],[TE_COEFFICIENT_CALC]],0)=0,PROPERTIES[[#This Row],[TE_COEFFICIENT_MANUAL]],PROPERTIES[[#This Row],[TE_COEFFICIENT_CALC]]),3)</f>
        <v>0.23699999999999999</v>
      </c>
      <c r="V393" s="6">
        <v>40</v>
      </c>
      <c r="W393" s="10">
        <v>0</v>
      </c>
      <c r="X393" s="10">
        <v>0</v>
      </c>
      <c r="Y393" s="10"/>
      <c r="Z393" t="str">
        <f>"RUNNING_COST_"&amp;IF(PROPERTIES[[#This Row],[ENGINE_CLASS]]="MAGLEV","ELECTRIC",PROPERTIES[[#This Row],[ENGINE_CLASS]])</f>
        <v>RUNNING_COST_ELECTRIC</v>
      </c>
      <c r="AA393" s="10" t="s">
        <v>1004</v>
      </c>
      <c r="AB393" s="10" t="s">
        <v>1005</v>
      </c>
      <c r="AC393" s="10" t="str">
        <f>SUBSTITUTE(SUBSTITUTE(PROPERTIES[[#This Row],[PURCHASECOST_VALUE]], "PURCHASECOST_", ""), "_VALUE", "")</f>
        <v>ELECTRICENGINE</v>
      </c>
      <c r="AD393" s="2" t="b">
        <v>0</v>
      </c>
      <c r="AV393"/>
      <c r="AW393"/>
      <c r="AX393"/>
    </row>
    <row r="394" spans="1:50">
      <c r="A394" s="2" t="s">
        <v>419</v>
      </c>
      <c r="B394">
        <v>1933</v>
      </c>
      <c r="C394">
        <v>0</v>
      </c>
      <c r="D394" t="s">
        <v>1854</v>
      </c>
      <c r="E394" t="str">
        <f>_xlfn.XLOOKUP(PROPERTIES[[#This Row],[COUNTRY]],COUNTRIES[COUNTRY_DESCRIPTION],COUNTRIES[COUNTRY_LABEL],"")</f>
        <v>DE</v>
      </c>
      <c r="F394" t="s">
        <v>74</v>
      </c>
      <c r="G394" t="s">
        <v>20</v>
      </c>
      <c r="H394">
        <v>0</v>
      </c>
      <c r="I394">
        <v>8</v>
      </c>
      <c r="J394">
        <v>8</v>
      </c>
      <c r="K394" s="2" t="s">
        <v>20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4">
        <v>92</v>
      </c>
      <c r="P394">
        <v>2935</v>
      </c>
      <c r="Q394">
        <v>110</v>
      </c>
      <c r="R394" s="31">
        <v>177</v>
      </c>
      <c r="S394" s="30">
        <f>IFERROR(PROPERTIES[[#This Row],[TE_STARTING_KN]]/(PROPERTIES[[#This Row],[WEIGHT]]*9.81),0)</f>
        <v>0.19611753756149447</v>
      </c>
      <c r="T394" s="30">
        <v>0.3</v>
      </c>
      <c r="U394" s="27">
        <f>ROUND(IF(IFERROR(PROPERTIES[[#This Row],[TE_COEFFICIENT_CALC]],0)=0,PROPERTIES[[#This Row],[TE_COEFFICIENT_MANUAL]],PROPERTIES[[#This Row],[TE_COEFFICIENT_CALC]]),3)</f>
        <v>0.19600000000000001</v>
      </c>
      <c r="V394" s="6">
        <v>40</v>
      </c>
      <c r="W394" s="10">
        <v>0</v>
      </c>
      <c r="X394" s="10">
        <v>0</v>
      </c>
      <c r="Y394" s="10"/>
      <c r="Z394" t="str">
        <f>"RUNNING_COST_"&amp;IF(PROPERTIES[[#This Row],[ENGINE_CLASS]]="MAGLEV","ELECTRIC",PROPERTIES[[#This Row],[ENGINE_CLASS]])</f>
        <v>RUNNING_COST_ELECTRIC</v>
      </c>
      <c r="AA394" s="10" t="s">
        <v>1004</v>
      </c>
      <c r="AB394" s="10" t="s">
        <v>1005</v>
      </c>
      <c r="AC394" s="10" t="str">
        <f>SUBSTITUTE(SUBSTITUTE(PROPERTIES[[#This Row],[PURCHASECOST_VALUE]], "PURCHASECOST_", ""), "_VALUE", "")</f>
        <v>ELECTRICENGINE</v>
      </c>
      <c r="AD394" s="2" t="b">
        <v>0</v>
      </c>
      <c r="AV394"/>
      <c r="AW394"/>
      <c r="AX394"/>
    </row>
    <row r="395" spans="1:50">
      <c r="A395" s="2" t="s">
        <v>420</v>
      </c>
      <c r="B395">
        <v>1935</v>
      </c>
      <c r="C395">
        <v>0</v>
      </c>
      <c r="D395" t="s">
        <v>2029</v>
      </c>
      <c r="E395" t="str">
        <f>_xlfn.XLOOKUP(PROPERTIES[[#This Row],[COUNTRY]],COUNTRIES[COUNTRY_DESCRIPTION],COUNTRIES[COUNTRY_LABEL],"")</f>
        <v>US</v>
      </c>
      <c r="F395" t="s">
        <v>74</v>
      </c>
      <c r="G395" t="s">
        <v>20</v>
      </c>
      <c r="H395">
        <v>0</v>
      </c>
      <c r="I395">
        <v>8</v>
      </c>
      <c r="J395">
        <v>4</v>
      </c>
      <c r="K395" s="2" t="s">
        <v>20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4">
        <v>215</v>
      </c>
      <c r="P395">
        <v>4620</v>
      </c>
      <c r="Q395">
        <v>160</v>
      </c>
      <c r="R395" s="31">
        <v>291</v>
      </c>
      <c r="S395" s="30">
        <f>IFERROR(PROPERTIES[[#This Row],[TE_STARTING_KN]]/(PROPERTIES[[#This Row],[WEIGHT]]*9.81),0)</f>
        <v>0.1379702723846099</v>
      </c>
      <c r="T395" s="30">
        <v>0.15</v>
      </c>
      <c r="U395" s="27">
        <f>ROUND(IF(IFERROR(PROPERTIES[[#This Row],[TE_COEFFICIENT_CALC]],0)=0,PROPERTIES[[#This Row],[TE_COEFFICIENT_MANUAL]],PROPERTIES[[#This Row],[TE_COEFFICIENT_CALC]]),3)</f>
        <v>0.13800000000000001</v>
      </c>
      <c r="V395" s="6">
        <v>40</v>
      </c>
      <c r="W395" s="10">
        <v>0</v>
      </c>
      <c r="X395" s="10">
        <v>2</v>
      </c>
      <c r="Y395" s="10"/>
      <c r="Z395" t="str">
        <f>"RUNNING_COST_"&amp;IF(PROPERTIES[[#This Row],[ENGINE_CLASS]]="MAGLEV","ELECTRIC",PROPERTIES[[#This Row],[ENGINE_CLASS]])</f>
        <v>RUNNING_COST_ELECTRIC</v>
      </c>
      <c r="AA395" s="10" t="s">
        <v>1004</v>
      </c>
      <c r="AB395" s="10" t="s">
        <v>1005</v>
      </c>
      <c r="AC395" s="10" t="str">
        <f>SUBSTITUTE(SUBSTITUTE(PROPERTIES[[#This Row],[PURCHASECOST_VALUE]], "PURCHASECOST_", ""), "_VALUE", "")</f>
        <v>ELECTRICENGINE</v>
      </c>
      <c r="AD395" s="2" t="b">
        <v>0</v>
      </c>
      <c r="AV395"/>
      <c r="AW395"/>
      <c r="AX395"/>
    </row>
    <row r="396" spans="1:50">
      <c r="A396" s="2" t="s">
        <v>421</v>
      </c>
      <c r="B396">
        <v>1940</v>
      </c>
      <c r="C396">
        <v>0</v>
      </c>
      <c r="D396" t="s">
        <v>1809</v>
      </c>
      <c r="E396" t="str">
        <f>_xlfn.XLOOKUP(PROPERTIES[[#This Row],[COUNTRY]],COUNTRIES[COUNTRY_DESCRIPTION],COUNTRIES[COUNTRY_LABEL],"")</f>
        <v>AT</v>
      </c>
      <c r="F396" t="s">
        <v>74</v>
      </c>
      <c r="G396" t="s">
        <v>20</v>
      </c>
      <c r="H396">
        <v>0</v>
      </c>
      <c r="I396">
        <v>8</v>
      </c>
      <c r="J396">
        <v>8</v>
      </c>
      <c r="K396" s="2" t="s">
        <v>20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4">
        <v>128</v>
      </c>
      <c r="P396">
        <v>3648</v>
      </c>
      <c r="Q396">
        <v>75</v>
      </c>
      <c r="R396" s="31">
        <v>300</v>
      </c>
      <c r="S396" s="30">
        <f>IFERROR(PROPERTIES[[#This Row],[TE_STARTING_KN]]/(PROPERTIES[[#This Row],[WEIGHT]]*9.81),0)</f>
        <v>0.23891437308868502</v>
      </c>
      <c r="T396" s="30">
        <v>0.31</v>
      </c>
      <c r="U396" s="27">
        <f>ROUND(IF(IFERROR(PROPERTIES[[#This Row],[TE_COEFFICIENT_CALC]],0)=0,PROPERTIES[[#This Row],[TE_COEFFICIENT_MANUAL]],PROPERTIES[[#This Row],[TE_COEFFICIENT_CALC]]),3)</f>
        <v>0.23899999999999999</v>
      </c>
      <c r="V396" s="6">
        <v>40</v>
      </c>
      <c r="W396" s="10">
        <v>0</v>
      </c>
      <c r="X396" s="10">
        <v>0</v>
      </c>
      <c r="Y396" s="10"/>
      <c r="Z396" t="str">
        <f>"RUNNING_COST_"&amp;IF(PROPERTIES[[#This Row],[ENGINE_CLASS]]="MAGLEV","ELECTRIC",PROPERTIES[[#This Row],[ENGINE_CLASS]])</f>
        <v>RUNNING_COST_ELECTRIC</v>
      </c>
      <c r="AA396" s="10" t="s">
        <v>1004</v>
      </c>
      <c r="AB396" s="10" t="s">
        <v>1005</v>
      </c>
      <c r="AC396" s="10" t="str">
        <f>SUBSTITUTE(SUBSTITUTE(PROPERTIES[[#This Row],[PURCHASECOST_VALUE]], "PURCHASECOST_", ""), "_VALUE", "")</f>
        <v>ELECTRICENGINE</v>
      </c>
      <c r="AD396" s="2" t="b">
        <v>0</v>
      </c>
      <c r="AV396"/>
      <c r="AW396"/>
      <c r="AX396"/>
    </row>
    <row r="397" spans="1:50">
      <c r="A397" s="2" t="s">
        <v>422</v>
      </c>
      <c r="B397">
        <v>1970</v>
      </c>
      <c r="C397">
        <v>0</v>
      </c>
      <c r="D397" t="s">
        <v>2046</v>
      </c>
      <c r="E397" t="str">
        <f>_xlfn.XLOOKUP(PROPERTIES[[#This Row],[COUNTRY]],COUNTRIES[COUNTRY_DESCRIPTION],COUNTRIES[COUNTRY_LABEL],"")</f>
        <v>GDR</v>
      </c>
      <c r="F397" t="s">
        <v>74</v>
      </c>
      <c r="G397" t="s">
        <v>20</v>
      </c>
      <c r="H397">
        <v>0</v>
      </c>
      <c r="I397">
        <v>8</v>
      </c>
      <c r="J397">
        <v>8</v>
      </c>
      <c r="K397" s="2" t="s">
        <v>20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4">
        <v>114</v>
      </c>
      <c r="P397">
        <v>9980</v>
      </c>
      <c r="Q397">
        <v>200</v>
      </c>
      <c r="R397" s="31">
        <v>312</v>
      </c>
      <c r="S397" s="30">
        <f>IFERROR(PROPERTIES[[#This Row],[TE_STARTING_KN]]/(PROPERTIES[[#This Row],[WEIGHT]]*9.81),0)</f>
        <v>0.27898492408391007</v>
      </c>
      <c r="T397" s="30">
        <v>0.27</v>
      </c>
      <c r="U397" s="27">
        <f>ROUND(IF(IFERROR(PROPERTIES[[#This Row],[TE_COEFFICIENT_CALC]],0)=0,PROPERTIES[[#This Row],[TE_COEFFICIENT_MANUAL]],PROPERTIES[[#This Row],[TE_COEFFICIENT_CALC]]),3)</f>
        <v>0.27900000000000003</v>
      </c>
      <c r="V397" s="6">
        <v>40</v>
      </c>
      <c r="W397" s="10">
        <v>0</v>
      </c>
      <c r="X397" s="10">
        <v>0</v>
      </c>
      <c r="Y397" s="10"/>
      <c r="Z397" t="str">
        <f>"RUNNING_COST_"&amp;IF(PROPERTIES[[#This Row],[ENGINE_CLASS]]="MAGLEV","ELECTRIC",PROPERTIES[[#This Row],[ENGINE_CLASS]])</f>
        <v>RUNNING_COST_ELECTRIC</v>
      </c>
      <c r="AA397" s="10" t="s">
        <v>1004</v>
      </c>
      <c r="AB397" s="10" t="s">
        <v>1005</v>
      </c>
      <c r="AC397" s="10" t="str">
        <f>SUBSTITUTE(SUBSTITUTE(PROPERTIES[[#This Row],[PURCHASECOST_VALUE]], "PURCHASECOST_", ""), "_VALUE", "")</f>
        <v>ELECTRICENGINE</v>
      </c>
      <c r="AD397" s="2" t="b">
        <v>0</v>
      </c>
      <c r="AV397"/>
      <c r="AW397"/>
      <c r="AX397"/>
    </row>
    <row r="398" spans="1:50">
      <c r="A398" s="2" t="s">
        <v>423</v>
      </c>
      <c r="B398">
        <v>1925</v>
      </c>
      <c r="C398">
        <v>0</v>
      </c>
      <c r="D398" t="s">
        <v>1854</v>
      </c>
      <c r="E398" t="str">
        <f>_xlfn.XLOOKUP(PROPERTIES[[#This Row],[COUNTRY]],COUNTRIES[COUNTRY_DESCRIPTION],COUNTRIES[COUNTRY_LABEL],"")</f>
        <v>DE</v>
      </c>
      <c r="F398" t="s">
        <v>74</v>
      </c>
      <c r="G398" t="s">
        <v>20</v>
      </c>
      <c r="H398">
        <v>0</v>
      </c>
      <c r="I398">
        <v>8</v>
      </c>
      <c r="J398">
        <v>8</v>
      </c>
      <c r="K398" s="2" t="s">
        <v>20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4">
        <v>124</v>
      </c>
      <c r="P398">
        <v>2230</v>
      </c>
      <c r="Q398">
        <v>55</v>
      </c>
      <c r="R398" s="31">
        <v>294</v>
      </c>
      <c r="S398" s="30">
        <f>IFERROR(PROPERTIES[[#This Row],[TE_STARTING_KN]]/(PROPERTIES[[#This Row],[WEIGHT]]*9.81),0)</f>
        <v>0.24168886258261812</v>
      </c>
      <c r="T398" s="30">
        <v>0.24</v>
      </c>
      <c r="U398" s="27">
        <f>ROUND(IF(IFERROR(PROPERTIES[[#This Row],[TE_COEFFICIENT_CALC]],0)=0,PROPERTIES[[#This Row],[TE_COEFFICIENT_MANUAL]],PROPERTIES[[#This Row],[TE_COEFFICIENT_CALC]]),3)</f>
        <v>0.24199999999999999</v>
      </c>
      <c r="V398" s="6">
        <v>40</v>
      </c>
      <c r="W398" s="10">
        <v>0</v>
      </c>
      <c r="X398" s="10">
        <v>0</v>
      </c>
      <c r="Y398" s="10"/>
      <c r="Z398" t="str">
        <f>"RUNNING_COST_"&amp;IF(PROPERTIES[[#This Row],[ENGINE_CLASS]]="MAGLEV","ELECTRIC",PROPERTIES[[#This Row],[ENGINE_CLASS]])</f>
        <v>RUNNING_COST_ELECTRIC</v>
      </c>
      <c r="AA398" s="10" t="s">
        <v>1004</v>
      </c>
      <c r="AB398" s="10" t="s">
        <v>1005</v>
      </c>
      <c r="AC398" s="10" t="str">
        <f>SUBSTITUTE(SUBSTITUTE(PROPERTIES[[#This Row],[PURCHASECOST_VALUE]], "PURCHASECOST_", ""), "_VALUE", "")</f>
        <v>ELECTRICENGINE</v>
      </c>
      <c r="AD398" s="2" t="b">
        <v>0</v>
      </c>
      <c r="AV398"/>
      <c r="AW398"/>
      <c r="AX398"/>
    </row>
    <row r="399" spans="1:50">
      <c r="A399" s="2" t="s">
        <v>424</v>
      </c>
      <c r="B399">
        <v>1954</v>
      </c>
      <c r="C399">
        <v>0</v>
      </c>
      <c r="D399" t="s">
        <v>1840</v>
      </c>
      <c r="E399" t="str">
        <f>_xlfn.XLOOKUP(PROPERTIES[[#This Row],[COUNTRY]],COUNTRIES[COUNTRY_DESCRIPTION],COUNTRIES[COUNTRY_LABEL],"")</f>
        <v>CH</v>
      </c>
      <c r="F399" t="s">
        <v>74</v>
      </c>
      <c r="G399" t="s">
        <v>20</v>
      </c>
      <c r="H399">
        <v>0</v>
      </c>
      <c r="I399">
        <v>5</v>
      </c>
      <c r="J399">
        <v>5</v>
      </c>
      <c r="K399" s="2" t="s">
        <v>20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4">
        <v>70</v>
      </c>
      <c r="P399">
        <v>1000</v>
      </c>
      <c r="Q399">
        <v>65</v>
      </c>
      <c r="R399" s="31">
        <v>74</v>
      </c>
      <c r="S399" s="30">
        <f>IFERROR(PROPERTIES[[#This Row],[TE_STARTING_KN]]/(PROPERTIES[[#This Row],[WEIGHT]]*9.81),0)</f>
        <v>0.10776175913790592</v>
      </c>
      <c r="T399" s="30">
        <v>0.17</v>
      </c>
      <c r="U399" s="27">
        <f>ROUND(IF(IFERROR(PROPERTIES[[#This Row],[TE_COEFFICIENT_CALC]],0)=0,PROPERTIES[[#This Row],[TE_COEFFICIENT_MANUAL]],PROPERTIES[[#This Row],[TE_COEFFICIENT_CALC]]),3)</f>
        <v>0.108</v>
      </c>
      <c r="V399" s="6">
        <v>40</v>
      </c>
      <c r="W399" s="10">
        <v>0</v>
      </c>
      <c r="X399" s="10">
        <v>0</v>
      </c>
      <c r="Y399" s="10"/>
      <c r="Z399" t="str">
        <f>"RUNNING_COST_"&amp;IF(PROPERTIES[[#This Row],[ENGINE_CLASS]]="MAGLEV","ELECTRIC",PROPERTIES[[#This Row],[ENGINE_CLASS]])</f>
        <v>RUNNING_COST_ELECTRIC</v>
      </c>
      <c r="AA399" s="10" t="s">
        <v>1004</v>
      </c>
      <c r="AB399" s="10" t="s">
        <v>1005</v>
      </c>
      <c r="AC399" s="10" t="str">
        <f>SUBSTITUTE(SUBSTITUTE(PROPERTIES[[#This Row],[PURCHASECOST_VALUE]], "PURCHASECOST_", ""), "_VALUE", "")</f>
        <v>ELECTRICENGINE</v>
      </c>
      <c r="AD399" s="2" t="b">
        <v>0</v>
      </c>
      <c r="AV399"/>
      <c r="AW399"/>
      <c r="AX399"/>
    </row>
    <row r="400" spans="1:50">
      <c r="A400" s="2" t="s">
        <v>425</v>
      </c>
      <c r="B400">
        <v>1955</v>
      </c>
      <c r="C400">
        <v>0</v>
      </c>
      <c r="D400" t="s">
        <v>1840</v>
      </c>
      <c r="E400" t="str">
        <f>_xlfn.XLOOKUP(PROPERTIES[[#This Row],[COUNTRY]],COUNTRIES[COUNTRY_DESCRIPTION],COUNTRIES[COUNTRY_LABEL],"")</f>
        <v>CH</v>
      </c>
      <c r="F400" t="s">
        <v>74</v>
      </c>
      <c r="G400" t="s">
        <v>20</v>
      </c>
      <c r="H400">
        <v>0</v>
      </c>
      <c r="I400">
        <v>8</v>
      </c>
      <c r="J400">
        <v>8</v>
      </c>
      <c r="K400" s="2" t="s">
        <v>20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4">
        <v>120</v>
      </c>
      <c r="P400">
        <v>5770</v>
      </c>
      <c r="Q400">
        <v>120</v>
      </c>
      <c r="R400" s="31">
        <v>392</v>
      </c>
      <c r="S400" s="30">
        <f>IFERROR(PROPERTIES[[#This Row],[TE_STARTING_KN]]/(PROPERTIES[[#This Row],[WEIGHT]]*9.81),0)</f>
        <v>0.3329935440027183</v>
      </c>
      <c r="T400" s="30">
        <v>0.33</v>
      </c>
      <c r="U400" s="27">
        <f>ROUND(IF(IFERROR(PROPERTIES[[#This Row],[TE_COEFFICIENT_CALC]],0)=0,PROPERTIES[[#This Row],[TE_COEFFICIENT_MANUAL]],PROPERTIES[[#This Row],[TE_COEFFICIENT_CALC]]),3)</f>
        <v>0.33300000000000002</v>
      </c>
      <c r="V400" s="6">
        <v>40</v>
      </c>
      <c r="W400" s="10">
        <v>0</v>
      </c>
      <c r="X400" s="10">
        <v>0</v>
      </c>
      <c r="Y400" s="10"/>
      <c r="Z400" t="str">
        <f>"RUNNING_COST_"&amp;IF(PROPERTIES[[#This Row],[ENGINE_CLASS]]="MAGLEV","ELECTRIC",PROPERTIES[[#This Row],[ENGINE_CLASS]])</f>
        <v>RUNNING_COST_ELECTRIC</v>
      </c>
      <c r="AA400" s="10" t="s">
        <v>1004</v>
      </c>
      <c r="AB400" s="10" t="s">
        <v>1005</v>
      </c>
      <c r="AC400" s="10" t="str">
        <f>SUBSTITUTE(SUBSTITUTE(PROPERTIES[[#This Row],[PURCHASECOST_VALUE]], "PURCHASECOST_", ""), "_VALUE", "")</f>
        <v>ELECTRICENGINE</v>
      </c>
      <c r="AD400" s="2" t="b">
        <v>0</v>
      </c>
      <c r="AV400"/>
      <c r="AW400"/>
      <c r="AX400"/>
    </row>
    <row r="401" spans="1:50">
      <c r="A401" s="2" t="s">
        <v>426</v>
      </c>
      <c r="B401">
        <v>1991</v>
      </c>
      <c r="C401">
        <v>0</v>
      </c>
      <c r="D401" t="s">
        <v>1840</v>
      </c>
      <c r="E401" t="str">
        <f>_xlfn.XLOOKUP(PROPERTIES[[#This Row],[COUNTRY]],COUNTRIES[COUNTRY_DESCRIPTION],COUNTRIES[COUNTRY_LABEL],"")</f>
        <v>CH</v>
      </c>
      <c r="F401" t="s">
        <v>74</v>
      </c>
      <c r="G401" t="s">
        <v>20</v>
      </c>
      <c r="H401">
        <v>0</v>
      </c>
      <c r="I401">
        <v>8</v>
      </c>
      <c r="J401">
        <v>8</v>
      </c>
      <c r="K401" s="2" t="s">
        <v>20</v>
      </c>
      <c r="L401">
        <f>_xlfn.XLOOKUP("LOADINGSPEEDDEF_"&amp;PROPERTIES[[#This Row],[LOADINGSPEED]],LOADINGSPEEDDEF[TYPE],LOADINGSPEEDDEF[SPEED])</f>
        <v>0</v>
      </c>
      <c r="M401" t="s">
        <v>21</v>
      </c>
      <c r="N401">
        <v>1</v>
      </c>
      <c r="O401" s="34">
        <v>84</v>
      </c>
      <c r="P401">
        <v>7510</v>
      </c>
      <c r="Q401">
        <v>230</v>
      </c>
      <c r="R401" s="31">
        <v>300</v>
      </c>
      <c r="S401" s="30">
        <f>IFERROR(PROPERTIES[[#This Row],[TE_STARTING_KN]]/(PROPERTIES[[#This Row],[WEIGHT]]*9.81),0)</f>
        <v>0.36405999708752002</v>
      </c>
      <c r="T401" s="30">
        <v>0.36</v>
      </c>
      <c r="U401" s="27">
        <f>ROUND(IF(IFERROR(PROPERTIES[[#This Row],[TE_COEFFICIENT_CALC]],0)=0,PROPERTIES[[#This Row],[TE_COEFFICIENT_MANUAL]],PROPERTIES[[#This Row],[TE_COEFFICIENT_CALC]]),3)</f>
        <v>0.36399999999999999</v>
      </c>
      <c r="V401" s="6">
        <v>40</v>
      </c>
      <c r="W401" s="10">
        <v>0</v>
      </c>
      <c r="X401" s="10">
        <v>0</v>
      </c>
      <c r="Y401" s="10"/>
      <c r="Z401" t="str">
        <f>"RUNNING_COST_"&amp;IF(PROPERTIES[[#This Row],[ENGINE_CLASS]]="MAGLEV","ELECTRIC",PROPERTIES[[#This Row],[ENGINE_CLASS]])</f>
        <v>RUNNING_COST_ELECTRIC</v>
      </c>
      <c r="AA401" s="10" t="s">
        <v>1004</v>
      </c>
      <c r="AB401" s="10" t="s">
        <v>1005</v>
      </c>
      <c r="AC401" s="10" t="str">
        <f>SUBSTITUTE(SUBSTITUTE(PROPERTIES[[#This Row],[PURCHASECOST_VALUE]], "PURCHASECOST_", ""), "_VALUE", "")</f>
        <v>ELECTRICENGINE</v>
      </c>
      <c r="AD401" s="2" t="b">
        <v>0</v>
      </c>
      <c r="AV401"/>
      <c r="AW401"/>
      <c r="AX401"/>
    </row>
    <row r="402" spans="1:50">
      <c r="A402" s="2" t="s">
        <v>427</v>
      </c>
      <c r="B402">
        <v>2012</v>
      </c>
      <c r="C402">
        <v>0</v>
      </c>
      <c r="D402" t="s">
        <v>1840</v>
      </c>
      <c r="E402" t="str">
        <f>_xlfn.XLOOKUP(PROPERTIES[[#This Row],[COUNTRY]],COUNTRIES[COUNTRY_DESCRIPTION],COUNTRIES[COUNTRY_LABEL],"")</f>
        <v>CH</v>
      </c>
      <c r="F402" t="s">
        <v>74</v>
      </c>
      <c r="G402" t="s">
        <v>20</v>
      </c>
      <c r="H402">
        <v>0</v>
      </c>
      <c r="I402">
        <v>5</v>
      </c>
      <c r="J402">
        <v>5</v>
      </c>
      <c r="K402" s="2" t="s">
        <v>20</v>
      </c>
      <c r="L402">
        <f>_xlfn.XLOOKUP("LOADINGSPEEDDEF_"&amp;PROPERTIES[[#This Row],[LOADINGSPEED]],LOADINGSPEEDDEF[TYPE],LOADINGSPEEDDEF[SPEED])</f>
        <v>0</v>
      </c>
      <c r="M402" t="s">
        <v>21</v>
      </c>
      <c r="N402">
        <v>1</v>
      </c>
      <c r="O402" s="34">
        <v>45</v>
      </c>
      <c r="P402">
        <v>2012</v>
      </c>
      <c r="Q402">
        <v>120</v>
      </c>
      <c r="R402" s="31">
        <v>150</v>
      </c>
      <c r="S402" s="30">
        <f>IFERROR(PROPERTIES[[#This Row],[TE_STARTING_KN]]/(PROPERTIES[[#This Row],[WEIGHT]]*9.81),0)</f>
        <v>0.33978933061501865</v>
      </c>
      <c r="T402" s="30">
        <v>0.27</v>
      </c>
      <c r="U402" s="27">
        <f>ROUND(IF(IFERROR(PROPERTIES[[#This Row],[TE_COEFFICIENT_CALC]],0)=0,PROPERTIES[[#This Row],[TE_COEFFICIENT_MANUAL]],PROPERTIES[[#This Row],[TE_COEFFICIENT_CALC]]),3)</f>
        <v>0.34</v>
      </c>
      <c r="V402" s="6">
        <v>40</v>
      </c>
      <c r="W402" s="10">
        <v>0</v>
      </c>
      <c r="X402" s="10">
        <v>0</v>
      </c>
      <c r="Y402" s="10"/>
      <c r="Z402" t="str">
        <f>"RUNNING_COST_"&amp;IF(PROPERTIES[[#This Row],[ENGINE_CLASS]]="MAGLEV","ELECTRIC",PROPERTIES[[#This Row],[ENGINE_CLASS]])</f>
        <v>RUNNING_COST_ELECTRIC</v>
      </c>
      <c r="AA402" s="10" t="s">
        <v>1004</v>
      </c>
      <c r="AB402" s="10" t="s">
        <v>1005</v>
      </c>
      <c r="AC402" s="10" t="str">
        <f>SUBSTITUTE(SUBSTITUTE(PROPERTIES[[#This Row],[PURCHASECOST_VALUE]], "PURCHASECOST_", ""), "_VALUE", "")</f>
        <v>ELECTRICENGINE</v>
      </c>
      <c r="AD402" s="2" t="b">
        <v>0</v>
      </c>
      <c r="AV402"/>
      <c r="AW402"/>
      <c r="AX402"/>
    </row>
    <row r="403" spans="1:50">
      <c r="A403" s="2" t="s">
        <v>428</v>
      </c>
      <c r="B403">
        <v>1974</v>
      </c>
      <c r="C403">
        <v>0</v>
      </c>
      <c r="D403" t="s">
        <v>1809</v>
      </c>
      <c r="E403" t="str">
        <f>_xlfn.XLOOKUP(PROPERTIES[[#This Row],[COUNTRY]],COUNTRIES[COUNTRY_DESCRIPTION],COUNTRIES[COUNTRY_LABEL],"")</f>
        <v>AT</v>
      </c>
      <c r="F403" t="s">
        <v>74</v>
      </c>
      <c r="G403" t="s">
        <v>20</v>
      </c>
      <c r="H403">
        <v>0</v>
      </c>
      <c r="I403">
        <v>8</v>
      </c>
      <c r="J403">
        <v>8</v>
      </c>
      <c r="K403" s="2" t="s">
        <v>20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4">
        <v>84</v>
      </c>
      <c r="P403">
        <v>6970</v>
      </c>
      <c r="Q403">
        <v>160</v>
      </c>
      <c r="R403" s="31">
        <v>341</v>
      </c>
      <c r="S403" s="30">
        <f>IFERROR(PROPERTIES[[#This Row],[TE_STARTING_KN]]/(PROPERTIES[[#This Row],[WEIGHT]]*9.81),0)</f>
        <v>0.4138148633561477</v>
      </c>
      <c r="T403" s="30">
        <v>0.39</v>
      </c>
      <c r="U403" s="27">
        <f>ROUND(IF(IFERROR(PROPERTIES[[#This Row],[TE_COEFFICIENT_CALC]],0)=0,PROPERTIES[[#This Row],[TE_COEFFICIENT_MANUAL]],PROPERTIES[[#This Row],[TE_COEFFICIENT_CALC]]),3)</f>
        <v>0.41399999999999998</v>
      </c>
      <c r="V403" s="6">
        <v>40</v>
      </c>
      <c r="W403" s="10">
        <v>0</v>
      </c>
      <c r="X403" s="10">
        <v>0</v>
      </c>
      <c r="Y403" s="10"/>
      <c r="Z403" t="str">
        <f>"RUNNING_COST_"&amp;IF(PROPERTIES[[#This Row],[ENGINE_CLASS]]="MAGLEV","ELECTRIC",PROPERTIES[[#This Row],[ENGINE_CLASS]])</f>
        <v>RUNNING_COST_ELECTRIC</v>
      </c>
      <c r="AA403" s="10" t="s">
        <v>1004</v>
      </c>
      <c r="AB403" s="10" t="s">
        <v>1005</v>
      </c>
      <c r="AC403" s="10" t="str">
        <f>SUBSTITUTE(SUBSTITUTE(PROPERTIES[[#This Row],[PURCHASECOST_VALUE]], "PURCHASECOST_", ""), "_VALUE", "")</f>
        <v>ELECTRICENGINE</v>
      </c>
      <c r="AD403" s="2" t="b">
        <v>0</v>
      </c>
      <c r="AV403"/>
      <c r="AW403"/>
      <c r="AX403"/>
    </row>
    <row r="404" spans="1:50">
      <c r="A404" s="2" t="s">
        <v>429</v>
      </c>
      <c r="B404">
        <v>1982</v>
      </c>
      <c r="C404">
        <v>0</v>
      </c>
      <c r="D404" t="s">
        <v>1809</v>
      </c>
      <c r="E404" t="str">
        <f>_xlfn.XLOOKUP(PROPERTIES[[#This Row],[COUNTRY]],COUNTRIES[COUNTRY_DESCRIPTION],COUNTRIES[COUNTRY_LABEL],"")</f>
        <v>AT</v>
      </c>
      <c r="F404" t="s">
        <v>74</v>
      </c>
      <c r="G404" t="s">
        <v>20</v>
      </c>
      <c r="H404">
        <v>0</v>
      </c>
      <c r="I404">
        <v>8</v>
      </c>
      <c r="J404">
        <v>8</v>
      </c>
      <c r="K404" s="2" t="s">
        <v>20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4">
        <v>82</v>
      </c>
      <c r="P404">
        <v>2680</v>
      </c>
      <c r="Q404">
        <v>100</v>
      </c>
      <c r="R404" s="31">
        <v>260</v>
      </c>
      <c r="S404" s="30">
        <f>IFERROR(PROPERTIES[[#This Row],[TE_STARTING_KN]]/(PROPERTIES[[#This Row],[WEIGHT]]*9.81),0)</f>
        <v>0.32321424131672505</v>
      </c>
      <c r="T404" s="30">
        <v>0.32</v>
      </c>
      <c r="U404" s="27">
        <f>ROUND(IF(IFERROR(PROPERTIES[[#This Row],[TE_COEFFICIENT_CALC]],0)=0,PROPERTIES[[#This Row],[TE_COEFFICIENT_MANUAL]],PROPERTIES[[#This Row],[TE_COEFFICIENT_CALC]]),3)</f>
        <v>0.32300000000000001</v>
      </c>
      <c r="V404" s="6">
        <v>40</v>
      </c>
      <c r="W404" s="10">
        <v>0</v>
      </c>
      <c r="X404" s="10">
        <v>0</v>
      </c>
      <c r="Y404" s="10"/>
      <c r="Z404" t="str">
        <f>"RUNNING_COST_"&amp;IF(PROPERTIES[[#This Row],[ENGINE_CLASS]]="MAGLEV","ELECTRIC",PROPERTIES[[#This Row],[ENGINE_CLASS]])</f>
        <v>RUNNING_COST_ELECTRIC</v>
      </c>
      <c r="AA404" s="10" t="s">
        <v>1004</v>
      </c>
      <c r="AB404" s="10" t="s">
        <v>1005</v>
      </c>
      <c r="AC404" s="10" t="str">
        <f>SUBSTITUTE(SUBSTITUTE(PROPERTIES[[#This Row],[PURCHASECOST_VALUE]], "PURCHASECOST_", ""), "_VALUE", "")</f>
        <v>ELECTRICENGINE</v>
      </c>
      <c r="AD404" s="2" t="b">
        <v>0</v>
      </c>
      <c r="AV404"/>
      <c r="AW404"/>
      <c r="AX404"/>
    </row>
    <row r="405" spans="1:50">
      <c r="A405" s="2" t="s">
        <v>430</v>
      </c>
      <c r="B405">
        <v>1953</v>
      </c>
      <c r="C405">
        <v>0</v>
      </c>
      <c r="D405" t="s">
        <v>1993</v>
      </c>
      <c r="E405" t="str">
        <f>_xlfn.XLOOKUP(PROPERTIES[[#This Row],[COUNTRY]],COUNTRIES[COUNTRY_DESCRIPTION],COUNTRIES[COUNTRY_LABEL],"")</f>
        <v>SE</v>
      </c>
      <c r="F405" t="s">
        <v>74</v>
      </c>
      <c r="G405" t="s">
        <v>20</v>
      </c>
      <c r="H405">
        <v>0</v>
      </c>
      <c r="I405">
        <v>7</v>
      </c>
      <c r="J405">
        <v>21</v>
      </c>
      <c r="K405" s="2" t="s">
        <v>20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4">
        <v>273</v>
      </c>
      <c r="P405">
        <v>9700</v>
      </c>
      <c r="Q405">
        <v>75</v>
      </c>
      <c r="R405" s="31">
        <v>940</v>
      </c>
      <c r="S405" s="30">
        <f>IFERROR(PROPERTIES[[#This Row],[TE_STARTING_KN]]/(PROPERTIES[[#This Row],[WEIGHT]]*9.81),0)</f>
        <v>0.35099117667925006</v>
      </c>
      <c r="T405" s="30">
        <v>0.34</v>
      </c>
      <c r="U405" s="27">
        <f>ROUND(IF(IFERROR(PROPERTIES[[#This Row],[TE_COEFFICIENT_CALC]],0)=0,PROPERTIES[[#This Row],[TE_COEFFICIENT_MANUAL]],PROPERTIES[[#This Row],[TE_COEFFICIENT_CALC]]),3)</f>
        <v>0.35099999999999998</v>
      </c>
      <c r="V405" s="6">
        <v>40</v>
      </c>
      <c r="W405" s="10">
        <v>0</v>
      </c>
      <c r="X405" s="10">
        <v>0</v>
      </c>
      <c r="Y405" s="10"/>
      <c r="Z405" t="str">
        <f>"RUNNING_COST_"&amp;IF(PROPERTIES[[#This Row],[ENGINE_CLASS]]="MAGLEV","ELECTRIC",PROPERTIES[[#This Row],[ENGINE_CLASS]])</f>
        <v>RUNNING_COST_ELECTRIC</v>
      </c>
      <c r="AA405" s="10" t="s">
        <v>1004</v>
      </c>
      <c r="AB405" s="10" t="s">
        <v>1005</v>
      </c>
      <c r="AC405" s="10" t="str">
        <f>SUBSTITUTE(SUBSTITUTE(PROPERTIES[[#This Row],[PURCHASECOST_VALUE]], "PURCHASECOST_", ""), "_VALUE", "")</f>
        <v>ELECTRICENGINE</v>
      </c>
      <c r="AD405" s="2" t="b">
        <v>0</v>
      </c>
      <c r="AV405"/>
      <c r="AW405"/>
      <c r="AX405"/>
    </row>
    <row r="406" spans="1:50">
      <c r="A406" s="2" t="s">
        <v>431</v>
      </c>
      <c r="B406">
        <v>2000</v>
      </c>
      <c r="C406">
        <v>0</v>
      </c>
      <c r="D406" t="s">
        <v>1993</v>
      </c>
      <c r="E406" t="str">
        <f>_xlfn.XLOOKUP(PROPERTIES[[#This Row],[COUNTRY]],COUNTRIES[COUNTRY_DESCRIPTION],COUNTRIES[COUNTRY_LABEL],"")</f>
        <v>SE</v>
      </c>
      <c r="F406" t="s">
        <v>74</v>
      </c>
      <c r="G406" t="s">
        <v>20</v>
      </c>
      <c r="H406">
        <v>0</v>
      </c>
      <c r="I406">
        <v>8</v>
      </c>
      <c r="J406">
        <v>16</v>
      </c>
      <c r="K406" s="2" t="s">
        <v>20</v>
      </c>
      <c r="L406">
        <f>_xlfn.XLOOKUP("LOADINGSPEEDDEF_"&amp;PROPERTIES[[#This Row],[LOADINGSPEED]],LOADINGSPEEDDEF[TYPE],LOADINGSPEEDDEF[SPEED])</f>
        <v>0</v>
      </c>
      <c r="M406" t="s">
        <v>21</v>
      </c>
      <c r="N406">
        <v>0</v>
      </c>
      <c r="O406" s="34">
        <f>180*2</f>
        <v>360</v>
      </c>
      <c r="P406">
        <f>7200*2</f>
        <v>14400</v>
      </c>
      <c r="Q406">
        <v>80</v>
      </c>
      <c r="R406" s="31">
        <f>600*2</f>
        <v>1200</v>
      </c>
      <c r="S406" s="30">
        <f>IFERROR(PROPERTIES[[#This Row],[TE_STARTING_KN]]/(PROPERTIES[[#This Row],[WEIGHT]]*9.81),0)</f>
        <v>0.33978933061501865</v>
      </c>
      <c r="T406" s="30">
        <v>0.39</v>
      </c>
      <c r="U406" s="27">
        <f>ROUND(IF(IFERROR(PROPERTIES[[#This Row],[TE_COEFFICIENT_CALC]],0)=0,PROPERTIES[[#This Row],[TE_COEFFICIENT_MANUAL]],PROPERTIES[[#This Row],[TE_COEFFICIENT_CALC]]),3)</f>
        <v>0.34</v>
      </c>
      <c r="V406" s="6">
        <v>40</v>
      </c>
      <c r="W406" s="10">
        <v>0</v>
      </c>
      <c r="X406" s="10">
        <v>8</v>
      </c>
      <c r="Y406" s="10"/>
      <c r="Z406" t="str">
        <f>"RUNNING_COST_"&amp;IF(PROPERTIES[[#This Row],[ENGINE_CLASS]]="MAGLEV","ELECTRIC",PROPERTIES[[#This Row],[ENGINE_CLASS]])</f>
        <v>RUNNING_COST_ELECTRIC</v>
      </c>
      <c r="AA406" s="10" t="s">
        <v>1004</v>
      </c>
      <c r="AB406" s="10" t="s">
        <v>1005</v>
      </c>
      <c r="AC406" s="10" t="str">
        <f>SUBSTITUTE(SUBSTITUTE(PROPERTIES[[#This Row],[PURCHASECOST_VALUE]], "PURCHASECOST_", ""), "_VALUE", "")</f>
        <v>ELECTRICENGINE</v>
      </c>
      <c r="AD406" s="2" t="b">
        <v>0</v>
      </c>
      <c r="AV406"/>
      <c r="AW406"/>
      <c r="AX406"/>
    </row>
    <row r="407" spans="1:50">
      <c r="A407" s="2" t="s">
        <v>432</v>
      </c>
      <c r="B407">
        <v>1914</v>
      </c>
      <c r="C407">
        <v>0</v>
      </c>
      <c r="D407" t="s">
        <v>1993</v>
      </c>
      <c r="E407" t="str">
        <f>_xlfn.XLOOKUP(PROPERTIES[[#This Row],[COUNTRY]],COUNTRIES[COUNTRY_DESCRIPTION],COUNTRIES[COUNTRY_LABEL],"")</f>
        <v>SE</v>
      </c>
      <c r="F407" t="s">
        <v>74</v>
      </c>
      <c r="G407" t="s">
        <v>20</v>
      </c>
      <c r="H407">
        <v>0</v>
      </c>
      <c r="I407">
        <v>6</v>
      </c>
      <c r="J407">
        <v>12</v>
      </c>
      <c r="K407" s="2" t="s">
        <v>20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4">
        <v>125</v>
      </c>
      <c r="P407">
        <v>1600</v>
      </c>
      <c r="Q407">
        <v>60</v>
      </c>
      <c r="R407" s="31">
        <v>248</v>
      </c>
      <c r="S407" s="30">
        <f>IFERROR(PROPERTIES[[#This Row],[TE_STARTING_KN]]/(PROPERTIES[[#This Row],[WEIGHT]]*9.81),0)</f>
        <v>0.20224260958205911</v>
      </c>
      <c r="T407" s="30">
        <v>0.2</v>
      </c>
      <c r="U407" s="27">
        <f>ROUND(IF(IFERROR(PROPERTIES[[#This Row],[TE_COEFFICIENT_CALC]],0)=0,PROPERTIES[[#This Row],[TE_COEFFICIENT_MANUAL]],PROPERTIES[[#This Row],[TE_COEFFICIENT_CALC]]),3)</f>
        <v>0.20200000000000001</v>
      </c>
      <c r="V407" s="6">
        <v>40</v>
      </c>
      <c r="W407" s="10">
        <v>0</v>
      </c>
      <c r="X407" s="10">
        <v>6</v>
      </c>
      <c r="Y407" s="10"/>
      <c r="Z407" t="str">
        <f>"RUNNING_COST_"&amp;IF(PROPERTIES[[#This Row],[ENGINE_CLASS]]="MAGLEV","ELECTRIC",PROPERTIES[[#This Row],[ENGINE_CLASS]])</f>
        <v>RUNNING_COST_ELECTRIC</v>
      </c>
      <c r="AA407" s="10" t="s">
        <v>1004</v>
      </c>
      <c r="AB407" s="10" t="s">
        <v>1005</v>
      </c>
      <c r="AC407" s="10" t="str">
        <f>SUBSTITUTE(SUBSTITUTE(PROPERTIES[[#This Row],[PURCHASECOST_VALUE]], "PURCHASECOST_", ""), "_VALUE", "")</f>
        <v>ELECTRICENGINE</v>
      </c>
      <c r="AD407" s="2" t="b">
        <v>0</v>
      </c>
      <c r="AV407"/>
      <c r="AW407"/>
      <c r="AX407"/>
    </row>
    <row r="408" spans="1:50">
      <c r="A408" s="2" t="s">
        <v>433</v>
      </c>
      <c r="B408">
        <v>1942</v>
      </c>
      <c r="C408">
        <v>0</v>
      </c>
      <c r="D408" t="s">
        <v>1993</v>
      </c>
      <c r="E408" t="str">
        <f>_xlfn.XLOOKUP(PROPERTIES[[#This Row],[COUNTRY]],COUNTRIES[COUNTRY_DESCRIPTION],COUNTRIES[COUNTRY_LABEL],"")</f>
        <v>SE</v>
      </c>
      <c r="F408" t="s">
        <v>74</v>
      </c>
      <c r="G408" t="s">
        <v>20</v>
      </c>
      <c r="H408">
        <v>0</v>
      </c>
      <c r="I408">
        <v>8</v>
      </c>
      <c r="J408">
        <v>8</v>
      </c>
      <c r="K408" s="2" t="s">
        <v>20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4">
        <v>102</v>
      </c>
      <c r="P408">
        <v>3460</v>
      </c>
      <c r="Q408">
        <v>135</v>
      </c>
      <c r="R408" s="31">
        <v>203</v>
      </c>
      <c r="S408" s="30">
        <f>IFERROR(PROPERTIES[[#This Row],[TE_STARTING_KN]]/(PROPERTIES[[#This Row],[WEIGHT]]*9.81),0)</f>
        <v>0.20287421798484939</v>
      </c>
      <c r="T408" s="30">
        <v>0.2</v>
      </c>
      <c r="U408" s="27">
        <f>ROUND(IF(IFERROR(PROPERTIES[[#This Row],[TE_COEFFICIENT_CALC]],0)=0,PROPERTIES[[#This Row],[TE_COEFFICIENT_MANUAL]],PROPERTIES[[#This Row],[TE_COEFFICIENT_CALC]]),3)</f>
        <v>0.20300000000000001</v>
      </c>
      <c r="V408" s="6">
        <v>40</v>
      </c>
      <c r="W408" s="10">
        <v>0</v>
      </c>
      <c r="X408" s="10">
        <v>0</v>
      </c>
      <c r="Y408" s="10"/>
      <c r="Z408" t="str">
        <f>"RUNNING_COST_"&amp;IF(PROPERTIES[[#This Row],[ENGINE_CLASS]]="MAGLEV","ELECTRIC",PROPERTIES[[#This Row],[ENGINE_CLASS]])</f>
        <v>RUNNING_COST_ELECTRIC</v>
      </c>
      <c r="AA408" s="10" t="s">
        <v>1004</v>
      </c>
      <c r="AB408" s="10" t="s">
        <v>1005</v>
      </c>
      <c r="AC408" s="10" t="str">
        <f>SUBSTITUTE(SUBSTITUTE(PROPERTIES[[#This Row],[PURCHASECOST_VALUE]], "PURCHASECOST_", ""), "_VALUE", "")</f>
        <v>ELECTRICENGINE</v>
      </c>
      <c r="AD408" s="2" t="b">
        <v>0</v>
      </c>
      <c r="AV408"/>
      <c r="AW408"/>
      <c r="AX408"/>
    </row>
    <row r="409" spans="1:50">
      <c r="A409" s="2" t="s">
        <v>434</v>
      </c>
      <c r="B409">
        <v>1982</v>
      </c>
      <c r="C409">
        <v>0</v>
      </c>
      <c r="D409" t="s">
        <v>1963</v>
      </c>
      <c r="E409" t="str">
        <f>_xlfn.XLOOKUP(PROPERTIES[[#This Row],[COUNTRY]],COUNTRIES[COUNTRY_DESCRIPTION],COUNTRIES[COUNTRY_LABEL],"")</f>
        <v>NO</v>
      </c>
      <c r="F409" t="s">
        <v>74</v>
      </c>
      <c r="G409" t="s">
        <v>20</v>
      </c>
      <c r="H409">
        <v>0</v>
      </c>
      <c r="I409">
        <v>7</v>
      </c>
      <c r="J409">
        <v>7</v>
      </c>
      <c r="K409" s="2" t="s">
        <v>24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4">
        <v>64</v>
      </c>
      <c r="P409">
        <v>4000</v>
      </c>
      <c r="Q409">
        <v>150</v>
      </c>
      <c r="R409" s="31">
        <v>240</v>
      </c>
      <c r="S409" s="30">
        <f>IFERROR(PROPERTIES[[#This Row],[TE_STARTING_KN]]/(PROPERTIES[[#This Row],[WEIGHT]]*9.81),0)</f>
        <v>0.38226299694189603</v>
      </c>
      <c r="T409" s="30">
        <v>0.38</v>
      </c>
      <c r="U409" s="27">
        <f>ROUND(IF(IFERROR(PROPERTIES[[#This Row],[TE_COEFFICIENT_CALC]],0)=0,PROPERTIES[[#This Row],[TE_COEFFICIENT_MANUAL]],PROPERTIES[[#This Row],[TE_COEFFICIENT_CALC]]),3)</f>
        <v>0.38200000000000001</v>
      </c>
      <c r="V409" s="6">
        <v>40</v>
      </c>
      <c r="W409" s="10">
        <v>0</v>
      </c>
      <c r="X409" s="10">
        <v>0</v>
      </c>
      <c r="Y409" s="10"/>
      <c r="Z409" t="str">
        <f>"RUNNING_COST_"&amp;IF(PROPERTIES[[#This Row],[ENGINE_CLASS]]="MAGLEV","ELECTRIC",PROPERTIES[[#This Row],[ENGINE_CLASS]])</f>
        <v>RUNNING_COST_ELECTRIC</v>
      </c>
      <c r="AA409" s="10" t="s">
        <v>1004</v>
      </c>
      <c r="AB409" s="10" t="s">
        <v>1005</v>
      </c>
      <c r="AC409" s="10" t="str">
        <f>SUBSTITUTE(SUBSTITUTE(PROPERTIES[[#This Row],[PURCHASECOST_VALUE]], "PURCHASECOST_", ""), "_VALUE", "")</f>
        <v>ELECTRICENGINE</v>
      </c>
      <c r="AD409" s="2" t="b">
        <v>0</v>
      </c>
      <c r="AV409"/>
      <c r="AW409"/>
      <c r="AX409"/>
    </row>
    <row r="410" spans="1:50">
      <c r="A410" s="2" t="s">
        <v>435</v>
      </c>
      <c r="B410">
        <v>1914</v>
      </c>
      <c r="C410">
        <v>0</v>
      </c>
      <c r="D410" t="s">
        <v>1854</v>
      </c>
      <c r="E410" t="str">
        <f>_xlfn.XLOOKUP(PROPERTIES[[#This Row],[COUNTRY]],COUNTRIES[COUNTRY_DESCRIPTION],COUNTRIES[COUNTRY_LABEL],"")</f>
        <v>DE</v>
      </c>
      <c r="F410" t="s">
        <v>74</v>
      </c>
      <c r="G410" t="s">
        <v>20</v>
      </c>
      <c r="H410">
        <v>0</v>
      </c>
      <c r="I410">
        <v>6</v>
      </c>
      <c r="J410">
        <v>6</v>
      </c>
      <c r="K410" s="2" t="s">
        <v>20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4">
        <v>81</v>
      </c>
      <c r="P410">
        <v>1186</v>
      </c>
      <c r="Q410">
        <v>100</v>
      </c>
      <c r="R410" s="31">
        <v>81</v>
      </c>
      <c r="S410" s="30">
        <f>IFERROR(PROPERTIES[[#This Row],[TE_STARTING_KN]]/(PROPERTIES[[#This Row],[WEIGHT]]*9.81),0)</f>
        <v>0.1019367991845056</v>
      </c>
      <c r="T410" s="30">
        <v>0.1</v>
      </c>
      <c r="U410" s="27">
        <f>ROUND(IF(IFERROR(PROPERTIES[[#This Row],[TE_COEFFICIENT_CALC]],0)=0,PROPERTIES[[#This Row],[TE_COEFFICIENT_MANUAL]],PROPERTIES[[#This Row],[TE_COEFFICIENT_CALC]]),3)</f>
        <v>0.10199999999999999</v>
      </c>
      <c r="V410" s="6">
        <v>40</v>
      </c>
      <c r="W410" s="10">
        <v>0</v>
      </c>
      <c r="X410" s="10">
        <v>0</v>
      </c>
      <c r="Y410" s="10"/>
      <c r="Z410" t="str">
        <f>"RUNNING_COST_"&amp;IF(PROPERTIES[[#This Row],[ENGINE_CLASS]]="MAGLEV","ELECTRIC",PROPERTIES[[#This Row],[ENGINE_CLASS]])</f>
        <v>RUNNING_COST_ELECTRIC</v>
      </c>
      <c r="AA410" s="10" t="s">
        <v>1004</v>
      </c>
      <c r="AB410" s="10" t="s">
        <v>1005</v>
      </c>
      <c r="AC410" s="10" t="str">
        <f>SUBSTITUTE(SUBSTITUTE(PROPERTIES[[#This Row],[PURCHASECOST_VALUE]], "PURCHASECOST_", ""), "_VALUE", "")</f>
        <v>ELECTRICENGINE</v>
      </c>
      <c r="AD410" s="2" t="b">
        <v>0</v>
      </c>
      <c r="AV410"/>
      <c r="AW410"/>
      <c r="AX410"/>
    </row>
    <row r="411" spans="1:50">
      <c r="A411" s="2" t="s">
        <v>436</v>
      </c>
      <c r="B411">
        <v>1948</v>
      </c>
      <c r="C411">
        <v>0</v>
      </c>
      <c r="D411" t="s">
        <v>2029</v>
      </c>
      <c r="E411" t="str">
        <f>_xlfn.XLOOKUP(PROPERTIES[[#This Row],[COUNTRY]],COUNTRIES[COUNTRY_DESCRIPTION],COUNTRIES[COUNTRY_LABEL],"")</f>
        <v>US</v>
      </c>
      <c r="F411" t="s">
        <v>74</v>
      </c>
      <c r="G411" t="s">
        <v>20</v>
      </c>
      <c r="H411">
        <v>0</v>
      </c>
      <c r="I411">
        <v>8</v>
      </c>
      <c r="J411">
        <v>16</v>
      </c>
      <c r="K411" s="2" t="s">
        <v>20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4">
        <v>450</v>
      </c>
      <c r="P411">
        <v>6800</v>
      </c>
      <c r="Q411">
        <v>80</v>
      </c>
      <c r="R411" s="31">
        <v>1200</v>
      </c>
      <c r="S411" s="30">
        <f>IFERROR(PROPERTIES[[#This Row],[TE_STARTING_KN]]/(PROPERTIES[[#This Row],[WEIGHT]]*9.81),0)</f>
        <v>0.27183146449201495</v>
      </c>
      <c r="T411" s="30">
        <v>0.16</v>
      </c>
      <c r="U411" s="27">
        <f>ROUND(IF(IFERROR(PROPERTIES[[#This Row],[TE_COEFFICIENT_CALC]],0)=0,PROPERTIES[[#This Row],[TE_COEFFICIENT_MANUAL]],PROPERTIES[[#This Row],[TE_COEFFICIENT_CALC]]),3)</f>
        <v>0.27200000000000002</v>
      </c>
      <c r="V411" s="6">
        <v>40</v>
      </c>
      <c r="W411" s="10">
        <v>0</v>
      </c>
      <c r="X411" s="10">
        <v>0</v>
      </c>
      <c r="Y411" s="10"/>
      <c r="Z411" t="str">
        <f>"RUNNING_COST_"&amp;IF(PROPERTIES[[#This Row],[ENGINE_CLASS]]="MAGLEV","ELECTRIC",PROPERTIES[[#This Row],[ENGINE_CLASS]])</f>
        <v>RUNNING_COST_ELECTRIC</v>
      </c>
      <c r="AA411" s="10" t="s">
        <v>1004</v>
      </c>
      <c r="AB411" s="10" t="s">
        <v>1005</v>
      </c>
      <c r="AC411" s="10" t="str">
        <f>SUBSTITUTE(SUBSTITUTE(PROPERTIES[[#This Row],[PURCHASECOST_VALUE]], "PURCHASECOST_", ""), "_VALUE", "")</f>
        <v>ELECTRICENGINE</v>
      </c>
      <c r="AD411" s="2" t="b">
        <v>0</v>
      </c>
      <c r="AV411"/>
      <c r="AW411"/>
      <c r="AX411"/>
    </row>
    <row r="412" spans="1:50">
      <c r="A412" s="2" t="s">
        <v>437</v>
      </c>
      <c r="B412">
        <v>1947</v>
      </c>
      <c r="C412">
        <v>0</v>
      </c>
      <c r="D412" t="s">
        <v>2029</v>
      </c>
      <c r="E412" t="str">
        <f>_xlfn.XLOOKUP(PROPERTIES[[#This Row],[COUNTRY]],COUNTRIES[COUNTRY_DESCRIPTION],COUNTRIES[COUNTRY_LABEL],"")</f>
        <v>US</v>
      </c>
      <c r="F412" t="s">
        <v>74</v>
      </c>
      <c r="G412" t="s">
        <v>20</v>
      </c>
      <c r="H412">
        <v>0</v>
      </c>
      <c r="I412">
        <v>8</v>
      </c>
      <c r="J412">
        <v>8</v>
      </c>
      <c r="K412" s="2" t="s">
        <v>20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4">
        <v>330</v>
      </c>
      <c r="P412">
        <v>5000</v>
      </c>
      <c r="Q412">
        <v>105</v>
      </c>
      <c r="R412" s="31">
        <v>530</v>
      </c>
      <c r="S412" s="30">
        <f>IFERROR(PROPERTIES[[#This Row],[TE_STARTING_KN]]/(PROPERTIES[[#This Row],[WEIGHT]]*9.81),0)</f>
        <v>0.16371667747814536</v>
      </c>
      <c r="T412" s="30">
        <v>0.16</v>
      </c>
      <c r="U412" s="27">
        <f>ROUND(IF(IFERROR(PROPERTIES[[#This Row],[TE_COEFFICIENT_CALC]],0)=0,PROPERTIES[[#This Row],[TE_COEFFICIENT_MANUAL]],PROPERTIES[[#This Row],[TE_COEFFICIENT_CALC]]),3)</f>
        <v>0.16400000000000001</v>
      </c>
      <c r="V412" s="6">
        <v>40</v>
      </c>
      <c r="W412" s="10">
        <v>0</v>
      </c>
      <c r="X412" s="10">
        <v>4</v>
      </c>
      <c r="Y412" s="10"/>
      <c r="Z412" t="str">
        <f>"RUNNING_COST_"&amp;IF(PROPERTIES[[#This Row],[ENGINE_CLASS]]="MAGLEV","ELECTRIC",PROPERTIES[[#This Row],[ENGINE_CLASS]])</f>
        <v>RUNNING_COST_ELECTRIC</v>
      </c>
      <c r="AA412" s="10" t="s">
        <v>1004</v>
      </c>
      <c r="AB412" s="10" t="s">
        <v>1005</v>
      </c>
      <c r="AC412" s="10" t="str">
        <f>SUBSTITUTE(SUBSTITUTE(PROPERTIES[[#This Row],[PURCHASECOST_VALUE]], "PURCHASECOST_", ""), "_VALUE", "")</f>
        <v>ELECTRICENGINE</v>
      </c>
      <c r="AD412" s="2" t="b">
        <v>0</v>
      </c>
      <c r="AV412"/>
      <c r="AW412"/>
      <c r="AX412"/>
    </row>
    <row r="413" spans="1:50">
      <c r="A413" s="2" t="s">
        <v>438</v>
      </c>
      <c r="B413">
        <v>1926</v>
      </c>
      <c r="C413">
        <v>0</v>
      </c>
      <c r="D413" t="s">
        <v>2029</v>
      </c>
      <c r="E413" t="str">
        <f>_xlfn.XLOOKUP(PROPERTIES[[#This Row],[COUNTRY]],COUNTRIES[COUNTRY_DESCRIPTION],COUNTRIES[COUNTRY_LABEL],"")</f>
        <v>US</v>
      </c>
      <c r="F413" t="s">
        <v>74</v>
      </c>
      <c r="G413" t="s">
        <v>20</v>
      </c>
      <c r="H413">
        <v>0</v>
      </c>
      <c r="I413">
        <v>4</v>
      </c>
      <c r="J413">
        <v>4</v>
      </c>
      <c r="K413" s="2" t="s">
        <v>24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4">
        <v>71</v>
      </c>
      <c r="P413">
        <v>700</v>
      </c>
      <c r="Q413">
        <v>40</v>
      </c>
      <c r="R413" s="31">
        <v>174.6</v>
      </c>
      <c r="S413" s="30">
        <f>IFERROR(PROPERTIES[[#This Row],[TE_STARTING_KN]]/(PROPERTIES[[#This Row],[WEIGHT]]*9.81),0)</f>
        <v>0.25067838221992506</v>
      </c>
      <c r="T413" s="30">
        <v>0.25</v>
      </c>
      <c r="U413" s="27">
        <f>ROUND(IF(IFERROR(PROPERTIES[[#This Row],[TE_COEFFICIENT_CALC]],0)=0,PROPERTIES[[#This Row],[TE_COEFFICIENT_MANUAL]],PROPERTIES[[#This Row],[TE_COEFFICIENT_CALC]]),3)</f>
        <v>0.251</v>
      </c>
      <c r="V413" s="6">
        <v>40</v>
      </c>
      <c r="W413" s="10">
        <v>0</v>
      </c>
      <c r="X413" s="10">
        <v>0</v>
      </c>
      <c r="Y413" s="10"/>
      <c r="Z413" t="str">
        <f>"RUNNING_COST_"&amp;IF(PROPERTIES[[#This Row],[ENGINE_CLASS]]="MAGLEV","ELECTRIC",PROPERTIES[[#This Row],[ENGINE_CLASS]])</f>
        <v>RUNNING_COST_ELECTRIC</v>
      </c>
      <c r="AA413" s="10" t="s">
        <v>1004</v>
      </c>
      <c r="AB413" s="10" t="s">
        <v>1005</v>
      </c>
      <c r="AC413" s="10" t="str">
        <f>SUBSTITUTE(SUBSTITUTE(PROPERTIES[[#This Row],[PURCHASECOST_VALUE]], "PURCHASECOST_", ""), "_VALUE", "")</f>
        <v>ELECTRICENGINE</v>
      </c>
      <c r="AD413" s="2" t="b">
        <v>0</v>
      </c>
      <c r="AV413"/>
      <c r="AW413"/>
      <c r="AX413"/>
    </row>
    <row r="414" spans="1:50">
      <c r="A414" s="2" t="s">
        <v>439</v>
      </c>
      <c r="B414">
        <v>2008</v>
      </c>
      <c r="C414">
        <v>0</v>
      </c>
      <c r="D414" t="s">
        <v>1810</v>
      </c>
      <c r="E414" t="str">
        <f>_xlfn.XLOOKUP(PROPERTIES[[#This Row],[COUNTRY]],COUNTRIES[COUNTRY_DESCRIPTION],COUNTRIES[COUNTRY_LABEL],"")</f>
        <v>AU</v>
      </c>
      <c r="F414" t="s">
        <v>74</v>
      </c>
      <c r="G414" t="s">
        <v>20</v>
      </c>
      <c r="H414">
        <v>0</v>
      </c>
      <c r="I414">
        <v>8</v>
      </c>
      <c r="J414">
        <v>8</v>
      </c>
      <c r="K414" s="2" t="s">
        <v>20</v>
      </c>
      <c r="L414">
        <f>_xlfn.XLOOKUP("LOADINGSPEEDDEF_"&amp;PROPERTIES[[#This Row],[LOADINGSPEED]],LOADINGSPEEDDEF[TYPE],LOADINGSPEEDDEF[SPEED])</f>
        <v>0</v>
      </c>
      <c r="M414" t="s">
        <v>21</v>
      </c>
      <c r="N414">
        <v>1</v>
      </c>
      <c r="O414" s="34">
        <v>109</v>
      </c>
      <c r="P414">
        <v>5360</v>
      </c>
      <c r="Q414">
        <v>80</v>
      </c>
      <c r="R414" s="31">
        <v>450</v>
      </c>
      <c r="S414" s="30">
        <f>IFERROR(PROPERTIES[[#This Row],[TE_STARTING_KN]]/(PROPERTIES[[#This Row],[WEIGHT]]*9.81),0)</f>
        <v>0.42083999663328003</v>
      </c>
      <c r="T414" s="30">
        <v>0.41</v>
      </c>
      <c r="U414" s="27">
        <f>ROUND(IF(IFERROR(PROPERTIES[[#This Row],[TE_COEFFICIENT_CALC]],0)=0,PROPERTIES[[#This Row],[TE_COEFFICIENT_MANUAL]],PROPERTIES[[#This Row],[TE_COEFFICIENT_CALC]]),3)</f>
        <v>0.42099999999999999</v>
      </c>
      <c r="V414" s="6">
        <v>40</v>
      </c>
      <c r="W414" s="10">
        <v>0</v>
      </c>
      <c r="X414" s="10">
        <v>0</v>
      </c>
      <c r="Y414" s="10"/>
      <c r="Z414" t="str">
        <f>"RUNNING_COST_"&amp;IF(PROPERTIES[[#This Row],[ENGINE_CLASS]]="MAGLEV","ELECTRIC",PROPERTIES[[#This Row],[ENGINE_CLASS]])</f>
        <v>RUNNING_COST_ELECTRIC</v>
      </c>
      <c r="AA414" s="10" t="s">
        <v>1004</v>
      </c>
      <c r="AB414" s="10" t="s">
        <v>1005</v>
      </c>
      <c r="AC414" s="10" t="str">
        <f>SUBSTITUTE(SUBSTITUTE(PROPERTIES[[#This Row],[PURCHASECOST_VALUE]], "PURCHASECOST_", ""), "_VALUE", "")</f>
        <v>ELECTRICENGINE</v>
      </c>
      <c r="AD414" s="2" t="b">
        <v>0</v>
      </c>
      <c r="AV414"/>
      <c r="AW414"/>
      <c r="AX414"/>
    </row>
    <row r="415" spans="1:50">
      <c r="A415" s="2" t="s">
        <v>440</v>
      </c>
      <c r="B415">
        <v>1991</v>
      </c>
      <c r="C415">
        <v>0</v>
      </c>
      <c r="D415" t="s">
        <v>1845</v>
      </c>
      <c r="E415" t="str">
        <f>_xlfn.XLOOKUP(PROPERTIES[[#This Row],[COUNTRY]],COUNTRIES[COUNTRY_DESCRIPTION],COUNTRIES[COUNTRY_LABEL],"")</f>
        <v>CN</v>
      </c>
      <c r="F415" t="s">
        <v>74</v>
      </c>
      <c r="G415" t="s">
        <v>20</v>
      </c>
      <c r="H415">
        <v>0</v>
      </c>
      <c r="I415">
        <v>8</v>
      </c>
      <c r="J415">
        <v>8</v>
      </c>
      <c r="K415" s="2" t="s">
        <v>20</v>
      </c>
      <c r="L415">
        <f>_xlfn.XLOOKUP("LOADINGSPEEDDEF_"&amp;PROPERTIES[[#This Row],[LOADINGSPEED]],LOADINGSPEEDDEF[TYPE],LOADINGSPEEDDEF[SPEED])</f>
        <v>0</v>
      </c>
      <c r="M415" t="s">
        <v>21</v>
      </c>
      <c r="N415">
        <v>1</v>
      </c>
      <c r="O415" s="34">
        <v>138</v>
      </c>
      <c r="P415">
        <v>6400</v>
      </c>
      <c r="Q415">
        <v>100</v>
      </c>
      <c r="R415" s="31">
        <v>485</v>
      </c>
      <c r="S415" s="30">
        <f>IFERROR(PROPERTIES[[#This Row],[TE_STARTING_KN]]/(PROPERTIES[[#This Row],[WEIGHT]]*9.81),0)</f>
        <v>0.35825614206148709</v>
      </c>
      <c r="T415" s="30">
        <v>0.35</v>
      </c>
      <c r="U415" s="27">
        <f>ROUND(IF(IFERROR(PROPERTIES[[#This Row],[TE_COEFFICIENT_CALC]],0)=0,PROPERTIES[[#This Row],[TE_COEFFICIENT_MANUAL]],PROPERTIES[[#This Row],[TE_COEFFICIENT_CALC]]),3)</f>
        <v>0.35799999999999998</v>
      </c>
      <c r="V415" s="6">
        <v>40</v>
      </c>
      <c r="W415" s="10">
        <v>0</v>
      </c>
      <c r="X415" s="10">
        <v>0</v>
      </c>
      <c r="Y415" s="10"/>
      <c r="Z415" t="str">
        <f>"RUNNING_COST_"&amp;IF(PROPERTIES[[#This Row],[ENGINE_CLASS]]="MAGLEV","ELECTRIC",PROPERTIES[[#This Row],[ENGINE_CLASS]])</f>
        <v>RUNNING_COST_ELECTRIC</v>
      </c>
      <c r="AA415" s="10" t="s">
        <v>1004</v>
      </c>
      <c r="AB415" s="10" t="s">
        <v>1005</v>
      </c>
      <c r="AC415" s="10" t="str">
        <f>SUBSTITUTE(SUBSTITUTE(PROPERTIES[[#This Row],[PURCHASECOST_VALUE]], "PURCHASECOST_", ""), "_VALUE", "")</f>
        <v>ELECTRICENGINE</v>
      </c>
      <c r="AD415" s="2" t="b">
        <v>0</v>
      </c>
      <c r="AV415"/>
      <c r="AW415"/>
      <c r="AX415"/>
    </row>
    <row r="416" spans="1:50">
      <c r="A416" s="2" t="s">
        <v>441</v>
      </c>
      <c r="B416">
        <v>1978</v>
      </c>
      <c r="C416">
        <v>0</v>
      </c>
      <c r="D416" t="s">
        <v>1845</v>
      </c>
      <c r="E416" t="str">
        <f>_xlfn.XLOOKUP(PROPERTIES[[#This Row],[COUNTRY]],COUNTRIES[COUNTRY_DESCRIPTION],COUNTRIES[COUNTRY_LABEL],"")</f>
        <v>CN</v>
      </c>
      <c r="F416" t="s">
        <v>74</v>
      </c>
      <c r="G416" t="s">
        <v>20</v>
      </c>
      <c r="H416">
        <v>0</v>
      </c>
      <c r="I416">
        <v>8</v>
      </c>
      <c r="J416">
        <v>8</v>
      </c>
      <c r="K416" s="2" t="s">
        <v>24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4">
        <v>138</v>
      </c>
      <c r="P416">
        <v>5793</v>
      </c>
      <c r="Q416">
        <v>100</v>
      </c>
      <c r="R416" s="31">
        <v>470</v>
      </c>
      <c r="S416" s="30">
        <f>IFERROR(PROPERTIES[[#This Row],[TE_STARTING_KN]]/(PROPERTIES[[#This Row],[WEIGHT]]*9.81),0)</f>
        <v>0.34717605519360606</v>
      </c>
      <c r="T416" s="30">
        <v>0.34</v>
      </c>
      <c r="U416" s="27">
        <f>ROUND(IF(IFERROR(PROPERTIES[[#This Row],[TE_COEFFICIENT_CALC]],0)=0,PROPERTIES[[#This Row],[TE_COEFFICIENT_MANUAL]],PROPERTIES[[#This Row],[TE_COEFFICIENT_CALC]]),3)</f>
        <v>0.34699999999999998</v>
      </c>
      <c r="V416" s="6">
        <v>40</v>
      </c>
      <c r="W416" s="10">
        <v>0</v>
      </c>
      <c r="X416" s="10">
        <v>0</v>
      </c>
      <c r="Y416" s="10"/>
      <c r="Z416" t="str">
        <f>"RUNNING_COST_"&amp;IF(PROPERTIES[[#This Row],[ENGINE_CLASS]]="MAGLEV","ELECTRIC",PROPERTIES[[#This Row],[ENGINE_CLASS]])</f>
        <v>RUNNING_COST_ELECTRIC</v>
      </c>
      <c r="AA416" s="10" t="s">
        <v>1004</v>
      </c>
      <c r="AB416" s="10" t="s">
        <v>1005</v>
      </c>
      <c r="AC416" s="10" t="str">
        <f>SUBSTITUTE(SUBSTITUTE(PROPERTIES[[#This Row],[PURCHASECOST_VALUE]], "PURCHASECOST_", ""), "_VALUE", "")</f>
        <v>ELECTRICENGINE</v>
      </c>
      <c r="AD416" s="2" t="b">
        <v>0</v>
      </c>
      <c r="AV416"/>
      <c r="AW416"/>
      <c r="AX416"/>
    </row>
    <row r="417" spans="1:50">
      <c r="A417" s="2" t="s">
        <v>442</v>
      </c>
      <c r="B417">
        <v>2006</v>
      </c>
      <c r="C417">
        <v>0</v>
      </c>
      <c r="D417" t="s">
        <v>1845</v>
      </c>
      <c r="E417" t="str">
        <f>_xlfn.XLOOKUP(PROPERTIES[[#This Row],[COUNTRY]],COUNTRIES[COUNTRY_DESCRIPTION],COUNTRIES[COUNTRY_LABEL],"")</f>
        <v>CN</v>
      </c>
      <c r="F417" t="s">
        <v>74</v>
      </c>
      <c r="G417" t="s">
        <v>20</v>
      </c>
      <c r="H417">
        <v>0</v>
      </c>
      <c r="I417">
        <v>8</v>
      </c>
      <c r="J417">
        <v>8</v>
      </c>
      <c r="K417" s="2" t="s">
        <v>20</v>
      </c>
      <c r="L417">
        <f>_xlfn.XLOOKUP("LOADINGSPEEDDEF_"&amp;PROPERTIES[[#This Row],[LOADINGSPEED]],LOADINGSPEEDDEF[TYPE],LOADINGSPEEDDEF[SPEED])</f>
        <v>0</v>
      </c>
      <c r="M417" t="s">
        <v>21</v>
      </c>
      <c r="N417">
        <v>1</v>
      </c>
      <c r="O417" s="34">
        <v>150</v>
      </c>
      <c r="P417">
        <v>9700</v>
      </c>
      <c r="Q417">
        <v>120</v>
      </c>
      <c r="R417" s="31">
        <v>520</v>
      </c>
      <c r="S417" s="30">
        <f>IFERROR(PROPERTIES[[#This Row],[TE_STARTING_KN]]/(PROPERTIES[[#This Row],[WEIGHT]]*9.81),0)</f>
        <v>0.35338090383961945</v>
      </c>
      <c r="T417" s="30">
        <v>0.27</v>
      </c>
      <c r="U417" s="27">
        <f>ROUND(IF(IFERROR(PROPERTIES[[#This Row],[TE_COEFFICIENT_CALC]],0)=0,PROPERTIES[[#This Row],[TE_COEFFICIENT_MANUAL]],PROPERTIES[[#This Row],[TE_COEFFICIENT_CALC]]),3)</f>
        <v>0.35299999999999998</v>
      </c>
      <c r="V417" s="6">
        <v>40</v>
      </c>
      <c r="W417" s="10">
        <v>0</v>
      </c>
      <c r="X417" s="10">
        <v>0</v>
      </c>
      <c r="Y417" s="10"/>
      <c r="Z417" t="str">
        <f>"RUNNING_COST_"&amp;IF(PROPERTIES[[#This Row],[ENGINE_CLASS]]="MAGLEV","ELECTRIC",PROPERTIES[[#This Row],[ENGINE_CLASS]])</f>
        <v>RUNNING_COST_ELECTRIC</v>
      </c>
      <c r="AA417" s="10" t="s">
        <v>1004</v>
      </c>
      <c r="AB417" s="10" t="s">
        <v>1005</v>
      </c>
      <c r="AC417" s="10" t="str">
        <f>SUBSTITUTE(SUBSTITUTE(PROPERTIES[[#This Row],[PURCHASECOST_VALUE]], "PURCHASECOST_", ""), "_VALUE", "")</f>
        <v>ELECTRICENGINE</v>
      </c>
      <c r="AD417" s="2" t="b">
        <v>0</v>
      </c>
      <c r="AV417"/>
      <c r="AW417"/>
      <c r="AX417"/>
    </row>
    <row r="418" spans="1:50">
      <c r="A418" s="2" t="s">
        <v>443</v>
      </c>
      <c r="B418">
        <v>2012</v>
      </c>
      <c r="C418">
        <v>0</v>
      </c>
      <c r="D418" t="s">
        <v>1845</v>
      </c>
      <c r="E418" t="str">
        <f>_xlfn.XLOOKUP(PROPERTIES[[#This Row],[COUNTRY]],COUNTRIES[COUNTRY_DESCRIPTION],COUNTRIES[COUNTRY_LABEL],"")</f>
        <v>CN</v>
      </c>
      <c r="F418" t="s">
        <v>74</v>
      </c>
      <c r="G418" t="s">
        <v>20</v>
      </c>
      <c r="H418">
        <v>0</v>
      </c>
      <c r="I418">
        <v>8</v>
      </c>
      <c r="J418">
        <v>8</v>
      </c>
      <c r="K418" s="2" t="s">
        <v>20</v>
      </c>
      <c r="L418">
        <f>_xlfn.XLOOKUP("LOADINGSPEEDDEF_"&amp;PROPERTIES[[#This Row],[LOADINGSPEED]],LOADINGSPEEDDEF[TYPE],LOADINGSPEEDDEF[SPEED])</f>
        <v>0</v>
      </c>
      <c r="M418" t="s">
        <v>21</v>
      </c>
      <c r="N418">
        <v>1</v>
      </c>
      <c r="O418" s="34">
        <v>126</v>
      </c>
      <c r="P418">
        <v>9700</v>
      </c>
      <c r="Q418">
        <v>160</v>
      </c>
      <c r="R418" s="31">
        <v>420</v>
      </c>
      <c r="S418" s="30">
        <f>IFERROR(PROPERTIES[[#This Row],[TE_STARTING_KN]]/(PROPERTIES[[#This Row],[WEIGHT]]*9.81),0)</f>
        <v>0.33978933061501865</v>
      </c>
      <c r="T418" s="30">
        <v>0.33</v>
      </c>
      <c r="U418" s="27">
        <f>ROUND(IF(IFERROR(PROPERTIES[[#This Row],[TE_COEFFICIENT_CALC]],0)=0,PROPERTIES[[#This Row],[TE_COEFFICIENT_MANUAL]],PROPERTIES[[#This Row],[TE_COEFFICIENT_CALC]]),3)</f>
        <v>0.34</v>
      </c>
      <c r="V418" s="6">
        <v>40</v>
      </c>
      <c r="W418" s="10">
        <v>0</v>
      </c>
      <c r="X418" s="10">
        <v>0</v>
      </c>
      <c r="Y418" s="10"/>
      <c r="Z418" t="str">
        <f>"RUNNING_COST_"&amp;IF(PROPERTIES[[#This Row],[ENGINE_CLASS]]="MAGLEV","ELECTRIC",PROPERTIES[[#This Row],[ENGINE_CLASS]])</f>
        <v>RUNNING_COST_ELECTRIC</v>
      </c>
      <c r="AA418" s="10" t="s">
        <v>1004</v>
      </c>
      <c r="AB418" s="10" t="s">
        <v>1005</v>
      </c>
      <c r="AC418" s="10" t="str">
        <f>SUBSTITUTE(SUBSTITUTE(PROPERTIES[[#This Row],[PURCHASECOST_VALUE]], "PURCHASECOST_", ""), "_VALUE", "")</f>
        <v>ELECTRICENGINE</v>
      </c>
      <c r="AD418" s="2" t="b">
        <v>0</v>
      </c>
      <c r="AV418"/>
      <c r="AW418"/>
      <c r="AX418"/>
    </row>
    <row r="419" spans="1:50">
      <c r="A419" s="2" t="s">
        <v>444</v>
      </c>
      <c r="B419">
        <v>1986</v>
      </c>
      <c r="C419">
        <v>0</v>
      </c>
      <c r="D419" t="s">
        <v>1845</v>
      </c>
      <c r="E419" t="str">
        <f>_xlfn.XLOOKUP(PROPERTIES[[#This Row],[COUNTRY]],COUNTRIES[COUNTRY_DESCRIPTION],COUNTRIES[COUNTRY_LABEL],"")</f>
        <v>CN</v>
      </c>
      <c r="F419" t="s">
        <v>74</v>
      </c>
      <c r="G419" t="s">
        <v>20</v>
      </c>
      <c r="H419">
        <v>0</v>
      </c>
      <c r="I419">
        <v>8</v>
      </c>
      <c r="J419">
        <v>8</v>
      </c>
      <c r="K419" s="2" t="s">
        <v>20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4">
        <v>138</v>
      </c>
      <c r="P419">
        <v>6400</v>
      </c>
      <c r="Q419">
        <v>100</v>
      </c>
      <c r="R419" s="31">
        <v>485</v>
      </c>
      <c r="S419" s="30">
        <f>IFERROR(PROPERTIES[[#This Row],[TE_STARTING_KN]]/(PROPERTIES[[#This Row],[WEIGHT]]*9.81),0)</f>
        <v>0.35825614206148709</v>
      </c>
      <c r="T419" s="30">
        <v>0.35</v>
      </c>
      <c r="U419" s="27">
        <f>ROUND(IF(IFERROR(PROPERTIES[[#This Row],[TE_COEFFICIENT_CALC]],0)=0,PROPERTIES[[#This Row],[TE_COEFFICIENT_MANUAL]],PROPERTIES[[#This Row],[TE_COEFFICIENT_CALC]]),3)</f>
        <v>0.35799999999999998</v>
      </c>
      <c r="V419" s="6">
        <v>40</v>
      </c>
      <c r="W419" s="10">
        <v>0</v>
      </c>
      <c r="X419" s="10">
        <v>0</v>
      </c>
      <c r="Y419" s="10"/>
      <c r="Z419" t="str">
        <f>"RUNNING_COST_"&amp;IF(PROPERTIES[[#This Row],[ENGINE_CLASS]]="MAGLEV","ELECTRIC",PROPERTIES[[#This Row],[ENGINE_CLASS]])</f>
        <v>RUNNING_COST_ELECTRIC</v>
      </c>
      <c r="AA419" s="10" t="s">
        <v>1004</v>
      </c>
      <c r="AB419" s="10" t="s">
        <v>1005</v>
      </c>
      <c r="AC419" s="10" t="str">
        <f>SUBSTITUTE(SUBSTITUTE(PROPERTIES[[#This Row],[PURCHASECOST_VALUE]], "PURCHASECOST_", ""), "_VALUE", "")</f>
        <v>ELECTRICENGINE</v>
      </c>
      <c r="AD419" s="2" t="b">
        <v>0</v>
      </c>
      <c r="AV419"/>
      <c r="AW419"/>
      <c r="AX419"/>
    </row>
    <row r="420" spans="1:50">
      <c r="A420" s="2" t="s">
        <v>445</v>
      </c>
      <c r="B420">
        <v>1960</v>
      </c>
      <c r="C420">
        <v>0</v>
      </c>
      <c r="D420" t="s">
        <v>2029</v>
      </c>
      <c r="E420" t="str">
        <f>_xlfn.XLOOKUP(PROPERTIES[[#This Row],[COUNTRY]],COUNTRIES[COUNTRY_DESCRIPTION],COUNTRIES[COUNTRY_LABEL],"")</f>
        <v>US</v>
      </c>
      <c r="F420" t="s">
        <v>74</v>
      </c>
      <c r="G420" t="s">
        <v>20</v>
      </c>
      <c r="H420">
        <v>0</v>
      </c>
      <c r="I420">
        <v>8</v>
      </c>
      <c r="J420">
        <v>8</v>
      </c>
      <c r="K420" s="2" t="s">
        <v>20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4">
        <v>175</v>
      </c>
      <c r="P420">
        <v>4400</v>
      </c>
      <c r="Q420">
        <v>113</v>
      </c>
      <c r="R420" s="31">
        <v>427.7</v>
      </c>
      <c r="S420" s="30">
        <f>IFERROR(PROPERTIES[[#This Row],[TE_STARTING_KN]]/(PROPERTIES[[#This Row],[WEIGHT]]*9.81),0)</f>
        <v>0.24913353720693168</v>
      </c>
      <c r="T420" s="30">
        <v>0.24</v>
      </c>
      <c r="U420" s="27">
        <f>ROUND(IF(IFERROR(PROPERTIES[[#This Row],[TE_COEFFICIENT_CALC]],0)=0,PROPERTIES[[#This Row],[TE_COEFFICIENT_MANUAL]],PROPERTIES[[#This Row],[TE_COEFFICIENT_CALC]]),3)</f>
        <v>0.249</v>
      </c>
      <c r="V420" s="6">
        <v>40</v>
      </c>
      <c r="W420" s="10">
        <v>0</v>
      </c>
      <c r="X420" s="10">
        <v>0</v>
      </c>
      <c r="Y420" s="10"/>
      <c r="Z420" t="str">
        <f>"RUNNING_COST_"&amp;IF(PROPERTIES[[#This Row],[ENGINE_CLASS]]="MAGLEV","ELECTRIC",PROPERTIES[[#This Row],[ENGINE_CLASS]])</f>
        <v>RUNNING_COST_ELECTRIC</v>
      </c>
      <c r="AA420" s="10" t="s">
        <v>1004</v>
      </c>
      <c r="AB420" s="10" t="s">
        <v>1005</v>
      </c>
      <c r="AC420" s="10" t="str">
        <f>SUBSTITUTE(SUBSTITUTE(PROPERTIES[[#This Row],[PURCHASECOST_VALUE]], "PURCHASECOST_", ""), "_VALUE", "")</f>
        <v>ELECTRICENGINE</v>
      </c>
      <c r="AD420" s="2" t="b">
        <v>0</v>
      </c>
      <c r="AV420"/>
      <c r="AW420"/>
      <c r="AX420"/>
    </row>
    <row r="421" spans="1:50">
      <c r="A421" s="2" t="s">
        <v>446</v>
      </c>
      <c r="B421">
        <v>1967</v>
      </c>
      <c r="C421">
        <v>0</v>
      </c>
      <c r="D421" t="s">
        <v>2049</v>
      </c>
      <c r="E421" t="str">
        <f>_xlfn.XLOOKUP(PROPERTIES[[#This Row],[COUNTRY]],COUNTRIES[COUNTRY_DESCRIPTION],COUNTRIES[COUNTRY_LABEL],"")</f>
        <v>YU</v>
      </c>
      <c r="F421" t="s">
        <v>74</v>
      </c>
      <c r="G421" t="s">
        <v>20</v>
      </c>
      <c r="H421">
        <v>0</v>
      </c>
      <c r="I421">
        <v>8</v>
      </c>
      <c r="J421">
        <v>8</v>
      </c>
      <c r="K421" s="2" t="s">
        <v>20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4">
        <v>80</v>
      </c>
      <c r="P421">
        <v>4624</v>
      </c>
      <c r="Q421">
        <v>120</v>
      </c>
      <c r="R421" s="31">
        <v>275</v>
      </c>
      <c r="S421" s="30">
        <f>IFERROR(PROPERTIES[[#This Row],[TE_STARTING_KN]]/(PROPERTIES[[#This Row],[WEIGHT]]*9.81),0)</f>
        <v>0.35040774719673801</v>
      </c>
      <c r="T421" s="30">
        <v>0.25</v>
      </c>
      <c r="U421" s="27">
        <f>ROUND(IF(IFERROR(PROPERTIES[[#This Row],[TE_COEFFICIENT_CALC]],0)=0,PROPERTIES[[#This Row],[TE_COEFFICIENT_MANUAL]],PROPERTIES[[#This Row],[TE_COEFFICIENT_CALC]]),3)</f>
        <v>0.35</v>
      </c>
      <c r="V421" s="6">
        <v>40</v>
      </c>
      <c r="W421" s="10">
        <v>0</v>
      </c>
      <c r="X421" s="10">
        <v>0</v>
      </c>
      <c r="Y421" s="10"/>
      <c r="Z421" t="str">
        <f>"RUNNING_COST_"&amp;IF(PROPERTIES[[#This Row],[ENGINE_CLASS]]="MAGLEV","ELECTRIC",PROPERTIES[[#This Row],[ENGINE_CLASS]])</f>
        <v>RUNNING_COST_ELECTRIC</v>
      </c>
      <c r="AA421" s="10" t="s">
        <v>1004</v>
      </c>
      <c r="AB421" s="10" t="s">
        <v>1005</v>
      </c>
      <c r="AC421" s="10" t="str">
        <f>SUBSTITUTE(SUBSTITUTE(PROPERTIES[[#This Row],[PURCHASECOST_VALUE]], "PURCHASECOST_", ""), "_VALUE", "")</f>
        <v>ELECTRICENGINE</v>
      </c>
      <c r="AD421" s="2" t="b">
        <v>0</v>
      </c>
      <c r="AV421"/>
      <c r="AW421"/>
      <c r="AX421"/>
    </row>
    <row r="422" spans="1:50">
      <c r="A422" s="2" t="s">
        <v>447</v>
      </c>
      <c r="B422">
        <v>1963</v>
      </c>
      <c r="C422">
        <v>0</v>
      </c>
      <c r="D422" t="s">
        <v>1896</v>
      </c>
      <c r="E422" t="str">
        <f>_xlfn.XLOOKUP(PROPERTIES[[#This Row],[COUNTRY]],COUNTRIES[COUNTRY_DESCRIPTION],COUNTRIES[COUNTRY_LABEL],"")</f>
        <v>HU</v>
      </c>
      <c r="F422" t="s">
        <v>74</v>
      </c>
      <c r="G422" t="s">
        <v>20</v>
      </c>
      <c r="H422">
        <v>0</v>
      </c>
      <c r="I422">
        <v>8</v>
      </c>
      <c r="J422">
        <v>8</v>
      </c>
      <c r="K422" s="2" t="s">
        <v>20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4">
        <v>80</v>
      </c>
      <c r="P422">
        <v>3000</v>
      </c>
      <c r="Q422">
        <v>120</v>
      </c>
      <c r="R422" s="31">
        <v>270</v>
      </c>
      <c r="S422" s="30">
        <f>IFERROR(PROPERTIES[[#This Row],[TE_STARTING_KN]]/(PROPERTIES[[#This Row],[WEIGHT]]*9.81),0)</f>
        <v>0.34403669724770641</v>
      </c>
      <c r="T422" s="30">
        <v>0.34</v>
      </c>
      <c r="U422" s="27">
        <f>ROUND(IF(IFERROR(PROPERTIES[[#This Row],[TE_COEFFICIENT_CALC]],0)=0,PROPERTIES[[#This Row],[TE_COEFFICIENT_MANUAL]],PROPERTIES[[#This Row],[TE_COEFFICIENT_CALC]]),3)</f>
        <v>0.34399999999999997</v>
      </c>
      <c r="V422" s="6">
        <v>40</v>
      </c>
      <c r="W422" s="10">
        <v>0</v>
      </c>
      <c r="X422" s="10">
        <v>0</v>
      </c>
      <c r="Y422" s="10"/>
      <c r="Z422" t="str">
        <f>"RUNNING_COST_"&amp;IF(PROPERTIES[[#This Row],[ENGINE_CLASS]]="MAGLEV","ELECTRIC",PROPERTIES[[#This Row],[ENGINE_CLASS]])</f>
        <v>RUNNING_COST_ELECTRIC</v>
      </c>
      <c r="AA422" s="10" t="s">
        <v>1004</v>
      </c>
      <c r="AB422" s="10" t="s">
        <v>1005</v>
      </c>
      <c r="AC422" s="10" t="str">
        <f>SUBSTITUTE(SUBSTITUTE(PROPERTIES[[#This Row],[PURCHASECOST_VALUE]], "PURCHASECOST_", ""), "_VALUE", "")</f>
        <v>ELECTRICENGINE</v>
      </c>
      <c r="AD422" s="2" t="b">
        <v>0</v>
      </c>
      <c r="AV422"/>
      <c r="AW422"/>
      <c r="AX422"/>
    </row>
    <row r="423" spans="1:50">
      <c r="A423" s="2" t="s">
        <v>448</v>
      </c>
      <c r="B423">
        <v>1956</v>
      </c>
      <c r="C423">
        <v>0</v>
      </c>
      <c r="D423" t="s">
        <v>1980</v>
      </c>
      <c r="E423" t="str">
        <f>_xlfn.XLOOKUP(PROPERTIES[[#This Row],[COUNTRY]],COUNTRIES[COUNTRY_DESCRIPTION],COUNTRIES[COUNTRY_LABEL],"")</f>
        <v>PT</v>
      </c>
      <c r="F423" t="s">
        <v>74</v>
      </c>
      <c r="G423" t="s">
        <v>20</v>
      </c>
      <c r="H423">
        <v>0</v>
      </c>
      <c r="I423">
        <v>6</v>
      </c>
      <c r="J423">
        <v>6</v>
      </c>
      <c r="K423" s="2" t="s">
        <v>20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4">
        <v>72</v>
      </c>
      <c r="P423">
        <v>2790</v>
      </c>
      <c r="Q423">
        <v>120</v>
      </c>
      <c r="R423" s="31">
        <v>191</v>
      </c>
      <c r="S423" s="30">
        <f>IFERROR(PROPERTIES[[#This Row],[TE_STARTING_KN]]/(PROPERTIES[[#This Row],[WEIGHT]]*9.81),0)</f>
        <v>0.27041567561445234</v>
      </c>
      <c r="T423" s="30">
        <v>0.27</v>
      </c>
      <c r="U423" s="27">
        <f>ROUND(IF(IFERROR(PROPERTIES[[#This Row],[TE_COEFFICIENT_CALC]],0)=0,PROPERTIES[[#This Row],[TE_COEFFICIENT_MANUAL]],PROPERTIES[[#This Row],[TE_COEFFICIENT_CALC]]),3)</f>
        <v>0.27</v>
      </c>
      <c r="V423" s="6">
        <v>40</v>
      </c>
      <c r="W423" s="10">
        <v>0</v>
      </c>
      <c r="X423" s="10">
        <v>0</v>
      </c>
      <c r="Y423" s="10"/>
      <c r="Z423" t="str">
        <f>"RUNNING_COST_"&amp;IF(PROPERTIES[[#This Row],[ENGINE_CLASS]]="MAGLEV","ELECTRIC",PROPERTIES[[#This Row],[ENGINE_CLASS]])</f>
        <v>RUNNING_COST_ELECTRIC</v>
      </c>
      <c r="AA423" s="10" t="s">
        <v>1004</v>
      </c>
      <c r="AB423" s="10" t="s">
        <v>1005</v>
      </c>
      <c r="AC423" s="10" t="str">
        <f>SUBSTITUTE(SUBSTITUTE(PROPERTIES[[#This Row],[PURCHASECOST_VALUE]], "PURCHASECOST_", ""), "_VALUE", "")</f>
        <v>ELECTRICENGINE</v>
      </c>
      <c r="AD423" s="2" t="b">
        <v>0</v>
      </c>
      <c r="AV423"/>
      <c r="AW423"/>
      <c r="AX423"/>
    </row>
    <row r="424" spans="1:50">
      <c r="A424" s="2" t="s">
        <v>449</v>
      </c>
      <c r="B424">
        <v>1974</v>
      </c>
      <c r="C424">
        <v>0</v>
      </c>
      <c r="D424" t="s">
        <v>1980</v>
      </c>
      <c r="E424" t="str">
        <f>_xlfn.XLOOKUP(PROPERTIES[[#This Row],[COUNTRY]],COUNTRIES[COUNTRY_DESCRIPTION],COUNTRIES[COUNTRY_LABEL],"")</f>
        <v>PT</v>
      </c>
      <c r="F424" t="s">
        <v>74</v>
      </c>
      <c r="G424" t="s">
        <v>20</v>
      </c>
      <c r="H424">
        <v>0</v>
      </c>
      <c r="I424">
        <v>8</v>
      </c>
      <c r="J424">
        <v>8</v>
      </c>
      <c r="K424" s="2" t="s">
        <v>20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4">
        <v>78</v>
      </c>
      <c r="P424">
        <v>4020</v>
      </c>
      <c r="Q424">
        <v>100</v>
      </c>
      <c r="R424" s="31">
        <v>245</v>
      </c>
      <c r="S424" s="30">
        <f>IFERROR(PROPERTIES[[#This Row],[TE_STARTING_KN]]/(PROPERTIES[[#This Row],[WEIGHT]]*9.81),0)</f>
        <v>0.32018610000261372</v>
      </c>
      <c r="T424" s="30">
        <v>0.32</v>
      </c>
      <c r="U424" s="27">
        <f>ROUND(IF(IFERROR(PROPERTIES[[#This Row],[TE_COEFFICIENT_CALC]],0)=0,PROPERTIES[[#This Row],[TE_COEFFICIENT_MANUAL]],PROPERTIES[[#This Row],[TE_COEFFICIENT_CALC]]),3)</f>
        <v>0.32</v>
      </c>
      <c r="V424" s="6">
        <v>40</v>
      </c>
      <c r="W424" s="10">
        <v>0</v>
      </c>
      <c r="X424" s="10">
        <v>0</v>
      </c>
      <c r="Y424" s="10"/>
      <c r="Z424" t="str">
        <f>"RUNNING_COST_"&amp;IF(PROPERTIES[[#This Row],[ENGINE_CLASS]]="MAGLEV","ELECTRIC",PROPERTIES[[#This Row],[ENGINE_CLASS]])</f>
        <v>RUNNING_COST_ELECTRIC</v>
      </c>
      <c r="AA424" s="10" t="s">
        <v>1004</v>
      </c>
      <c r="AB424" s="10" t="s">
        <v>1005</v>
      </c>
      <c r="AC424" s="10" t="str">
        <f>SUBSTITUTE(SUBSTITUTE(PROPERTIES[[#This Row],[PURCHASECOST_VALUE]], "PURCHASECOST_", ""), "_VALUE", "")</f>
        <v>ELECTRICENGINE</v>
      </c>
      <c r="AD424" s="2" t="b">
        <v>0</v>
      </c>
      <c r="AV424"/>
      <c r="AW424"/>
      <c r="AX424"/>
    </row>
    <row r="425" spans="1:50">
      <c r="A425" s="2" t="s">
        <v>450</v>
      </c>
      <c r="B425">
        <v>2013</v>
      </c>
      <c r="C425">
        <v>0</v>
      </c>
      <c r="D425" t="s">
        <v>2043</v>
      </c>
      <c r="E425" t="str">
        <f>_xlfn.XLOOKUP(PROPERTIES[[#This Row],[COUNTRY]],COUNTRIES[COUNTRY_DESCRIPTION],COUNTRIES[COUNTRY_LABEL],"")</f>
        <v>ZA</v>
      </c>
      <c r="F425" t="s">
        <v>74</v>
      </c>
      <c r="G425" t="s">
        <v>20</v>
      </c>
      <c r="H425">
        <v>0</v>
      </c>
      <c r="I425">
        <v>7</v>
      </c>
      <c r="J425">
        <v>7</v>
      </c>
      <c r="K425" s="2" t="s">
        <v>20</v>
      </c>
      <c r="L425">
        <f>_xlfn.XLOOKUP("LOADINGSPEEDDEF_"&amp;PROPERTIES[[#This Row],[LOADINGSPEED]],LOADINGSPEEDDEF[TYPE],LOADINGSPEEDDEF[SPEED])</f>
        <v>0</v>
      </c>
      <c r="M425" t="s">
        <v>21</v>
      </c>
      <c r="N425">
        <v>1</v>
      </c>
      <c r="O425" s="34">
        <v>86</v>
      </c>
      <c r="P425">
        <v>4000</v>
      </c>
      <c r="Q425">
        <v>100</v>
      </c>
      <c r="R425" s="31">
        <v>320</v>
      </c>
      <c r="S425" s="30">
        <f>IFERROR(PROPERTIES[[#This Row],[TE_STARTING_KN]]/(PROPERTIES[[#This Row],[WEIGHT]]*9.81),0)</f>
        <v>0.37929971789583478</v>
      </c>
      <c r="T425" s="30">
        <v>0.45</v>
      </c>
      <c r="U425" s="27">
        <f>ROUND(IF(IFERROR(PROPERTIES[[#This Row],[TE_COEFFICIENT_CALC]],0)=0,PROPERTIES[[#This Row],[TE_COEFFICIENT_MANUAL]],PROPERTIES[[#This Row],[TE_COEFFICIENT_CALC]]),3)</f>
        <v>0.379</v>
      </c>
      <c r="V425" s="6">
        <v>40</v>
      </c>
      <c r="W425" s="10">
        <v>0</v>
      </c>
      <c r="X425" s="10">
        <v>0</v>
      </c>
      <c r="Y425" s="10"/>
      <c r="Z425" t="str">
        <f>"RUNNING_COST_"&amp;IF(PROPERTIES[[#This Row],[ENGINE_CLASS]]="MAGLEV","ELECTRIC",PROPERTIES[[#This Row],[ENGINE_CLASS]])</f>
        <v>RUNNING_COST_ELECTRIC</v>
      </c>
      <c r="AA425" s="10" t="s">
        <v>1004</v>
      </c>
      <c r="AB425" s="10" t="s">
        <v>1005</v>
      </c>
      <c r="AC425" s="10" t="str">
        <f>SUBSTITUTE(SUBSTITUTE(PROPERTIES[[#This Row],[PURCHASECOST_VALUE]], "PURCHASECOST_", ""), "_VALUE", "")</f>
        <v>ELECTRICENGINE</v>
      </c>
      <c r="AD425" s="2" t="b">
        <v>0</v>
      </c>
      <c r="AV425"/>
      <c r="AW425"/>
      <c r="AX425"/>
    </row>
    <row r="426" spans="1:50">
      <c r="A426" s="2" t="s">
        <v>451</v>
      </c>
      <c r="B426">
        <v>2003</v>
      </c>
      <c r="C426">
        <v>0</v>
      </c>
      <c r="D426" t="s">
        <v>1918</v>
      </c>
      <c r="E426" t="str">
        <f>_xlfn.XLOOKUP(PROPERTIES[[#This Row],[COUNTRY]],COUNTRIES[COUNTRY_DESCRIPTION],COUNTRIES[COUNTRY_LABEL],"")</f>
        <v>KR</v>
      </c>
      <c r="F426" t="s">
        <v>74</v>
      </c>
      <c r="G426" t="s">
        <v>20</v>
      </c>
      <c r="H426">
        <v>0</v>
      </c>
      <c r="I426">
        <v>8</v>
      </c>
      <c r="J426">
        <v>8</v>
      </c>
      <c r="K426" s="2" t="s">
        <v>20</v>
      </c>
      <c r="L426">
        <f>_xlfn.XLOOKUP("LOADINGSPEEDDEF_"&amp;PROPERTIES[[#This Row],[LOADINGSPEED]],LOADINGSPEEDDEF[TYPE],LOADINGSPEEDDEF[SPEED])</f>
        <v>0</v>
      </c>
      <c r="M426" t="s">
        <v>21</v>
      </c>
      <c r="N426">
        <v>1</v>
      </c>
      <c r="O426" s="34">
        <v>80</v>
      </c>
      <c r="P426">
        <v>7000</v>
      </c>
      <c r="Q426">
        <v>150</v>
      </c>
      <c r="R426" s="31">
        <v>330</v>
      </c>
      <c r="S426" s="30">
        <f>IFERROR(PROPERTIES[[#This Row],[TE_STARTING_KN]]/(PROPERTIES[[#This Row],[WEIGHT]]*9.81),0)</f>
        <v>0.42048929663608559</v>
      </c>
      <c r="T426" s="30">
        <v>0.38</v>
      </c>
      <c r="U426" s="27">
        <f>ROUND(IF(IFERROR(PROPERTIES[[#This Row],[TE_COEFFICIENT_CALC]],0)=0,PROPERTIES[[#This Row],[TE_COEFFICIENT_MANUAL]],PROPERTIES[[#This Row],[TE_COEFFICIENT_CALC]]),3)</f>
        <v>0.42</v>
      </c>
      <c r="V426" s="6">
        <v>40</v>
      </c>
      <c r="W426" s="10">
        <v>0</v>
      </c>
      <c r="X426" s="10">
        <v>0</v>
      </c>
      <c r="Y426" s="10"/>
      <c r="Z426" t="str">
        <f>"RUNNING_COST_"&amp;IF(PROPERTIES[[#This Row],[ENGINE_CLASS]]="MAGLEV","ELECTRIC",PROPERTIES[[#This Row],[ENGINE_CLASS]])</f>
        <v>RUNNING_COST_ELECTRIC</v>
      </c>
      <c r="AA426" s="10" t="s">
        <v>1004</v>
      </c>
      <c r="AB426" s="10" t="s">
        <v>1005</v>
      </c>
      <c r="AC426" s="10" t="str">
        <f>SUBSTITUTE(SUBSTITUTE(PROPERTIES[[#This Row],[PURCHASECOST_VALUE]], "PURCHASECOST_", ""), "_VALUE", "")</f>
        <v>ELECTRICENGINE</v>
      </c>
      <c r="AD426" s="2" t="b">
        <v>0</v>
      </c>
      <c r="AV426"/>
      <c r="AW426"/>
      <c r="AX426"/>
    </row>
    <row r="427" spans="1:50">
      <c r="A427" s="2" t="s">
        <v>452</v>
      </c>
      <c r="B427">
        <v>2003</v>
      </c>
      <c r="C427">
        <v>0</v>
      </c>
      <c r="D427" t="s">
        <v>2026</v>
      </c>
      <c r="E427" t="str">
        <f>_xlfn.XLOOKUP(PROPERTIES[[#This Row],[COUNTRY]],COUNTRIES[COUNTRY_DESCRIPTION],COUNTRIES[COUNTRY_LABEL],"")</f>
        <v>UA</v>
      </c>
      <c r="F427" t="s">
        <v>74</v>
      </c>
      <c r="G427" t="s">
        <v>20</v>
      </c>
      <c r="H427">
        <v>0</v>
      </c>
      <c r="I427">
        <v>8</v>
      </c>
      <c r="J427">
        <v>8</v>
      </c>
      <c r="K427" s="2" t="s">
        <v>20</v>
      </c>
      <c r="L427">
        <f>_xlfn.XLOOKUP("LOADINGSPEEDDEF_"&amp;PROPERTIES[[#This Row],[LOADINGSPEED]],LOADINGSPEEDDEF[TYPE],LOADINGSPEEDDEF[SPEED])</f>
        <v>0</v>
      </c>
      <c r="M427" t="s">
        <v>21</v>
      </c>
      <c r="N427">
        <v>1</v>
      </c>
      <c r="O427" s="34">
        <v>90</v>
      </c>
      <c r="P427">
        <v>6450</v>
      </c>
      <c r="Q427">
        <v>160</v>
      </c>
      <c r="R427" s="31">
        <v>310</v>
      </c>
      <c r="S427" s="30">
        <f>IFERROR(PROPERTIES[[#This Row],[TE_STARTING_KN]]/(PROPERTIES[[#This Row],[WEIGHT]]*9.81),0)</f>
        <v>0.35111564163551928</v>
      </c>
      <c r="T427" s="30">
        <v>0.32</v>
      </c>
      <c r="U427" s="27">
        <f>ROUND(IF(IFERROR(PROPERTIES[[#This Row],[TE_COEFFICIENT_CALC]],0)=0,PROPERTIES[[#This Row],[TE_COEFFICIENT_MANUAL]],PROPERTIES[[#This Row],[TE_COEFFICIENT_CALC]]),3)</f>
        <v>0.35099999999999998</v>
      </c>
      <c r="V427" s="6">
        <v>40</v>
      </c>
      <c r="W427" s="10">
        <v>0</v>
      </c>
      <c r="X427" s="10">
        <v>0</v>
      </c>
      <c r="Y427" s="10"/>
      <c r="Z427" t="str">
        <f>"RUNNING_COST_"&amp;IF(PROPERTIES[[#This Row],[ENGINE_CLASS]]="MAGLEV","ELECTRIC",PROPERTIES[[#This Row],[ENGINE_CLASS]])</f>
        <v>RUNNING_COST_ELECTRIC</v>
      </c>
      <c r="AA427" s="10" t="s">
        <v>1004</v>
      </c>
      <c r="AB427" s="10" t="s">
        <v>1005</v>
      </c>
      <c r="AC427" s="10" t="str">
        <f>SUBSTITUTE(SUBSTITUTE(PROPERTIES[[#This Row],[PURCHASECOST_VALUE]], "PURCHASECOST_", ""), "_VALUE", "")</f>
        <v>ELECTRICENGINE</v>
      </c>
      <c r="AD427" s="2" t="b">
        <v>0</v>
      </c>
      <c r="AV427"/>
      <c r="AW427"/>
      <c r="AX427"/>
    </row>
    <row r="428" spans="1:50">
      <c r="A428" s="2" t="s">
        <v>453</v>
      </c>
      <c r="B428">
        <v>1966</v>
      </c>
      <c r="C428">
        <v>0</v>
      </c>
      <c r="D428" t="s">
        <v>1853</v>
      </c>
      <c r="E428" t="str">
        <f>_xlfn.XLOOKUP(PROPERTIES[[#This Row],[COUNTRY]],COUNTRIES[COUNTRY_DESCRIPTION],COUNTRIES[COUNTRY_LABEL],"")</f>
        <v>CZ</v>
      </c>
      <c r="F428" t="s">
        <v>74</v>
      </c>
      <c r="G428" t="s">
        <v>20</v>
      </c>
      <c r="H428">
        <v>0</v>
      </c>
      <c r="I428">
        <v>8</v>
      </c>
      <c r="J428">
        <v>8</v>
      </c>
      <c r="K428" s="2" t="s">
        <v>20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4">
        <v>85</v>
      </c>
      <c r="P428">
        <v>4600</v>
      </c>
      <c r="Q428">
        <v>120</v>
      </c>
      <c r="R428" s="31">
        <v>210</v>
      </c>
      <c r="S428" s="30">
        <f>IFERROR(PROPERTIES[[#This Row],[TE_STARTING_KN]]/(PROPERTIES[[#This Row],[WEIGHT]]*9.81),0)</f>
        <v>0.25184385680877858</v>
      </c>
      <c r="T428" s="30">
        <v>0.28000000000000003</v>
      </c>
      <c r="U428" s="27">
        <f>ROUND(IF(IFERROR(PROPERTIES[[#This Row],[TE_COEFFICIENT_CALC]],0)=0,PROPERTIES[[#This Row],[TE_COEFFICIENT_MANUAL]],PROPERTIES[[#This Row],[TE_COEFFICIENT_CALC]]),3)</f>
        <v>0.252</v>
      </c>
      <c r="V428" s="6">
        <v>40</v>
      </c>
      <c r="W428" s="10">
        <v>0</v>
      </c>
      <c r="X428" s="10">
        <v>0</v>
      </c>
      <c r="Y428" s="10"/>
      <c r="Z428" t="str">
        <f>"RUNNING_COST_"&amp;IF(PROPERTIES[[#This Row],[ENGINE_CLASS]]="MAGLEV","ELECTRIC",PROPERTIES[[#This Row],[ENGINE_CLASS]])</f>
        <v>RUNNING_COST_ELECTRIC</v>
      </c>
      <c r="AA428" s="10" t="s">
        <v>1004</v>
      </c>
      <c r="AB428" s="10" t="s">
        <v>1005</v>
      </c>
      <c r="AC428" s="10" t="str">
        <f>SUBSTITUTE(SUBSTITUTE(PROPERTIES[[#This Row],[PURCHASECOST_VALUE]], "PURCHASECOST_", ""), "_VALUE", "")</f>
        <v>ELECTRICENGINE</v>
      </c>
      <c r="AD428" s="2" t="b">
        <v>0</v>
      </c>
      <c r="AV428"/>
      <c r="AW428"/>
      <c r="AX428"/>
    </row>
    <row r="429" spans="1:50">
      <c r="A429" s="2" t="s">
        <v>454</v>
      </c>
      <c r="B429">
        <v>1988</v>
      </c>
      <c r="C429">
        <v>0</v>
      </c>
      <c r="D429" t="s">
        <v>1906</v>
      </c>
      <c r="E429" t="str">
        <f>_xlfn.XLOOKUP(PROPERTIES[[#This Row],[COUNTRY]],COUNTRIES[COUNTRY_DESCRIPTION],COUNTRIES[COUNTRY_LABEL],"")</f>
        <v>IT</v>
      </c>
      <c r="F429" t="s">
        <v>74</v>
      </c>
      <c r="G429" t="s">
        <v>20</v>
      </c>
      <c r="H429">
        <v>0</v>
      </c>
      <c r="I429">
        <v>8</v>
      </c>
      <c r="J429">
        <v>8</v>
      </c>
      <c r="K429" s="2" t="s">
        <v>20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4">
        <v>77</v>
      </c>
      <c r="P429">
        <v>4600</v>
      </c>
      <c r="Q429">
        <v>140</v>
      </c>
      <c r="R429" s="31">
        <v>228</v>
      </c>
      <c r="S429" s="30">
        <f>IFERROR(PROPERTIES[[#This Row],[TE_STARTING_KN]]/(PROPERTIES[[#This Row],[WEIGHT]]*9.81),0)</f>
        <v>0.30183883394892569</v>
      </c>
      <c r="T429" s="30">
        <v>0.3</v>
      </c>
      <c r="U429" s="27">
        <f>ROUND(IF(IFERROR(PROPERTIES[[#This Row],[TE_COEFFICIENT_CALC]],0)=0,PROPERTIES[[#This Row],[TE_COEFFICIENT_MANUAL]],PROPERTIES[[#This Row],[TE_COEFFICIENT_CALC]]),3)</f>
        <v>0.30199999999999999</v>
      </c>
      <c r="V429" s="6">
        <v>40</v>
      </c>
      <c r="W429" s="10">
        <v>0</v>
      </c>
      <c r="X429" s="10">
        <v>0</v>
      </c>
      <c r="Y429" s="10"/>
      <c r="Z429" t="str">
        <f>"RUNNING_COST_"&amp;IF(PROPERTIES[[#This Row],[ENGINE_CLASS]]="MAGLEV","ELECTRIC",PROPERTIES[[#This Row],[ENGINE_CLASS]])</f>
        <v>RUNNING_COST_ELECTRIC</v>
      </c>
      <c r="AA429" s="10" t="s">
        <v>1004</v>
      </c>
      <c r="AB429" s="10" t="s">
        <v>1005</v>
      </c>
      <c r="AC429" s="10" t="str">
        <f>SUBSTITUTE(SUBSTITUTE(PROPERTIES[[#This Row],[PURCHASECOST_VALUE]], "PURCHASECOST_", ""), "_VALUE", "")</f>
        <v>ELECTRICENGINE</v>
      </c>
      <c r="AD429" s="2" t="b">
        <v>0</v>
      </c>
      <c r="AV429"/>
      <c r="AW429"/>
      <c r="AX429"/>
    </row>
    <row r="430" spans="1:50">
      <c r="A430" s="2" t="s">
        <v>455</v>
      </c>
      <c r="B430">
        <v>1978</v>
      </c>
      <c r="C430">
        <v>0</v>
      </c>
      <c r="D430" t="s">
        <v>1940</v>
      </c>
      <c r="E430" t="str">
        <f>_xlfn.XLOOKUP(PROPERTIES[[#This Row],[COUNTRY]],COUNTRIES[COUNTRY_DESCRIPTION],COUNTRIES[COUNTRY_LABEL],"")</f>
        <v>MK</v>
      </c>
      <c r="F430" t="s">
        <v>74</v>
      </c>
      <c r="G430" t="s">
        <v>20</v>
      </c>
      <c r="H430">
        <v>0</v>
      </c>
      <c r="I430">
        <v>8</v>
      </c>
      <c r="J430">
        <v>8</v>
      </c>
      <c r="K430" s="2" t="s">
        <v>20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4">
        <v>120</v>
      </c>
      <c r="P430">
        <v>6834</v>
      </c>
      <c r="Q430">
        <v>120</v>
      </c>
      <c r="R430" s="31">
        <v>392</v>
      </c>
      <c r="S430" s="30">
        <f>IFERROR(PROPERTIES[[#This Row],[TE_STARTING_KN]]/(PROPERTIES[[#This Row],[WEIGHT]]*9.81),0)</f>
        <v>0.3329935440027183</v>
      </c>
      <c r="T430" s="30">
        <v>0.33</v>
      </c>
      <c r="U430" s="27">
        <f>ROUND(IF(IFERROR(PROPERTIES[[#This Row],[TE_COEFFICIENT_CALC]],0)=0,PROPERTIES[[#This Row],[TE_COEFFICIENT_MANUAL]],PROPERTIES[[#This Row],[TE_COEFFICIENT_CALC]]),3)</f>
        <v>0.33300000000000002</v>
      </c>
      <c r="V430" s="6">
        <v>40</v>
      </c>
      <c r="W430" s="10">
        <v>0</v>
      </c>
      <c r="X430" s="10">
        <v>0</v>
      </c>
      <c r="Y430" s="10"/>
      <c r="Z430" t="str">
        <f>"RUNNING_COST_"&amp;IF(PROPERTIES[[#This Row],[ENGINE_CLASS]]="MAGLEV","ELECTRIC",PROPERTIES[[#This Row],[ENGINE_CLASS]])</f>
        <v>RUNNING_COST_ELECTRIC</v>
      </c>
      <c r="AA430" s="10" t="s">
        <v>1004</v>
      </c>
      <c r="AB430" s="10" t="s">
        <v>1005</v>
      </c>
      <c r="AC430" s="10" t="str">
        <f>SUBSTITUTE(SUBSTITUTE(PROPERTIES[[#This Row],[PURCHASECOST_VALUE]], "PURCHASECOST_", ""), "_VALUE", "")</f>
        <v>ELECTRICENGINE</v>
      </c>
      <c r="AD430" s="2" t="b">
        <v>0</v>
      </c>
      <c r="AV430"/>
      <c r="AW430"/>
      <c r="AX430"/>
    </row>
    <row r="431" spans="1:50">
      <c r="A431" s="2" t="s">
        <v>456</v>
      </c>
      <c r="B431">
        <v>1926</v>
      </c>
      <c r="C431">
        <v>0</v>
      </c>
      <c r="D431" t="s">
        <v>1933</v>
      </c>
      <c r="E431" t="str">
        <f>_xlfn.XLOOKUP(PROPERTIES[[#This Row],[COUNTRY]],COUNTRIES[COUNTRY_DESCRIPTION],COUNTRIES[COUNTRY_LABEL],"")</f>
        <v>MA</v>
      </c>
      <c r="F431" t="s">
        <v>74</v>
      </c>
      <c r="G431" t="s">
        <v>20</v>
      </c>
      <c r="H431">
        <v>0</v>
      </c>
      <c r="I431">
        <v>5</v>
      </c>
      <c r="J431">
        <v>5</v>
      </c>
      <c r="K431" s="2" t="s">
        <v>24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4">
        <v>76</v>
      </c>
      <c r="P431">
        <v>986</v>
      </c>
      <c r="Q431">
        <v>90</v>
      </c>
      <c r="R431" s="31">
        <v>0</v>
      </c>
      <c r="S431" s="30">
        <f>IFERROR(PROPERTIES[[#This Row],[TE_STARTING_KN]]/(PROPERTIES[[#This Row],[WEIGHT]]*9.81),0)</f>
        <v>0</v>
      </c>
      <c r="T431" s="30">
        <v>0.21</v>
      </c>
      <c r="U431" s="27">
        <f>ROUND(IF(IFERROR(PROPERTIES[[#This Row],[TE_COEFFICIENT_CALC]],0)=0,PROPERTIES[[#This Row],[TE_COEFFICIENT_MANUAL]],PROPERTIES[[#This Row],[TE_COEFFICIENT_CALC]]),3)</f>
        <v>0.21</v>
      </c>
      <c r="V431" s="6">
        <v>40</v>
      </c>
      <c r="W431" s="10">
        <v>0</v>
      </c>
      <c r="X431" s="10">
        <v>0</v>
      </c>
      <c r="Y431" s="10"/>
      <c r="Z431" t="str">
        <f>"RUNNING_COST_"&amp;IF(PROPERTIES[[#This Row],[ENGINE_CLASS]]="MAGLEV","ELECTRIC",PROPERTIES[[#This Row],[ENGINE_CLASS]])</f>
        <v>RUNNING_COST_ELECTRIC</v>
      </c>
      <c r="AA431" s="10" t="s">
        <v>1004</v>
      </c>
      <c r="AB431" s="10" t="s">
        <v>1005</v>
      </c>
      <c r="AC431" s="10" t="str">
        <f>SUBSTITUTE(SUBSTITUTE(PROPERTIES[[#This Row],[PURCHASECOST_VALUE]], "PURCHASECOST_", ""), "_VALUE", "")</f>
        <v>ELECTRICENGINE</v>
      </c>
      <c r="AD431" s="2" t="b">
        <v>0</v>
      </c>
      <c r="AV431"/>
      <c r="AW431"/>
      <c r="AX431"/>
    </row>
    <row r="432" spans="1:50">
      <c r="A432" s="2" t="s">
        <v>457</v>
      </c>
      <c r="B432">
        <v>1961</v>
      </c>
      <c r="C432">
        <v>0</v>
      </c>
      <c r="D432" t="s">
        <v>1873</v>
      </c>
      <c r="E432" t="str">
        <f>_xlfn.XLOOKUP(PROPERTIES[[#This Row],[COUNTRY]],COUNTRIES[COUNTRY_DESCRIPTION],COUNTRIES[COUNTRY_LABEL],"")</f>
        <v>GB</v>
      </c>
      <c r="F432" t="s">
        <v>74</v>
      </c>
      <c r="G432" t="s">
        <v>20</v>
      </c>
      <c r="H432">
        <v>0</v>
      </c>
      <c r="I432">
        <v>7</v>
      </c>
      <c r="J432">
        <v>7</v>
      </c>
      <c r="K432" s="2" t="s">
        <v>24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4">
        <v>81</v>
      </c>
      <c r="P432">
        <v>3200</v>
      </c>
      <c r="Q432">
        <v>160</v>
      </c>
      <c r="R432" s="31">
        <v>220</v>
      </c>
      <c r="S432" s="30">
        <f>IFERROR(PROPERTIES[[#This Row],[TE_STARTING_KN]]/(PROPERTIES[[#This Row],[WEIGHT]]*9.81),0)</f>
        <v>0.27686538050112636</v>
      </c>
      <c r="T432" s="30">
        <v>0.27</v>
      </c>
      <c r="U432" s="27">
        <f>ROUND(IF(IFERROR(PROPERTIES[[#This Row],[TE_COEFFICIENT_CALC]],0)=0,PROPERTIES[[#This Row],[TE_COEFFICIENT_MANUAL]],PROPERTIES[[#This Row],[TE_COEFFICIENT_CALC]]),3)</f>
        <v>0.27700000000000002</v>
      </c>
      <c r="V432" s="6">
        <v>40</v>
      </c>
      <c r="W432" s="10">
        <v>0</v>
      </c>
      <c r="X432" s="10">
        <v>0</v>
      </c>
      <c r="Y432" s="10"/>
      <c r="Z432" t="str">
        <f>"RUNNING_COST_"&amp;IF(PROPERTIES[[#This Row],[ENGINE_CLASS]]="MAGLEV","ELECTRIC",PROPERTIES[[#This Row],[ENGINE_CLASS]])</f>
        <v>RUNNING_COST_ELECTRIC</v>
      </c>
      <c r="AA432" s="10" t="s">
        <v>1004</v>
      </c>
      <c r="AB432" s="10" t="s">
        <v>1005</v>
      </c>
      <c r="AC432" s="10" t="str">
        <f>SUBSTITUTE(SUBSTITUTE(PROPERTIES[[#This Row],[PURCHASECOST_VALUE]], "PURCHASECOST_", ""), "_VALUE", "")</f>
        <v>ELECTRICENGINE</v>
      </c>
      <c r="AD432" s="2" t="b">
        <v>0</v>
      </c>
      <c r="AV432"/>
      <c r="AW432"/>
      <c r="AX432"/>
    </row>
    <row r="433" spans="1:50">
      <c r="A433" s="2" t="s">
        <v>458</v>
      </c>
      <c r="B433">
        <v>1982</v>
      </c>
      <c r="C433">
        <v>0</v>
      </c>
      <c r="D433" t="s">
        <v>1953</v>
      </c>
      <c r="E433" t="str">
        <f>_xlfn.XLOOKUP(PROPERTIES[[#This Row],[COUNTRY]],COUNTRIES[COUNTRY_DESCRIPTION],COUNTRIES[COUNTRY_LABEL],"")</f>
        <v>MX</v>
      </c>
      <c r="F433" t="s">
        <v>74</v>
      </c>
      <c r="G433" t="s">
        <v>20</v>
      </c>
      <c r="H433">
        <v>0</v>
      </c>
      <c r="I433">
        <v>8</v>
      </c>
      <c r="J433">
        <v>8</v>
      </c>
      <c r="K433" s="2" t="s">
        <v>20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4">
        <v>167.8</v>
      </c>
      <c r="P433">
        <v>6000</v>
      </c>
      <c r="Q433">
        <v>110</v>
      </c>
      <c r="R433" s="31">
        <v>520</v>
      </c>
      <c r="S433" s="30">
        <f>IFERROR(PROPERTIES[[#This Row],[TE_STARTING_KN]]/(PROPERTIES[[#This Row],[WEIGHT]]*9.81),0)</f>
        <v>0.31589472929644163</v>
      </c>
      <c r="T433" s="30">
        <v>0.19</v>
      </c>
      <c r="U433" s="27">
        <f>ROUND(IF(IFERROR(PROPERTIES[[#This Row],[TE_COEFFICIENT_CALC]],0)=0,PROPERTIES[[#This Row],[TE_COEFFICIENT_MANUAL]],PROPERTIES[[#This Row],[TE_COEFFICIENT_CALC]]),3)</f>
        <v>0.316</v>
      </c>
      <c r="V433" s="6">
        <v>40</v>
      </c>
      <c r="W433" s="10">
        <v>0</v>
      </c>
      <c r="X433" s="10">
        <v>0</v>
      </c>
      <c r="Y433" s="10"/>
      <c r="Z433" t="str">
        <f>"RUNNING_COST_"&amp;IF(PROPERTIES[[#This Row],[ENGINE_CLASS]]="MAGLEV","ELECTRIC",PROPERTIES[[#This Row],[ENGINE_CLASS]])</f>
        <v>RUNNING_COST_ELECTRIC</v>
      </c>
      <c r="AA433" s="10" t="s">
        <v>1004</v>
      </c>
      <c r="AB433" s="10" t="s">
        <v>1005</v>
      </c>
      <c r="AC433" s="10" t="str">
        <f>SUBSTITUTE(SUBSTITUTE(PROPERTIES[[#This Row],[PURCHASECOST_VALUE]], "PURCHASECOST_", ""), "_VALUE", "")</f>
        <v>ELECTRICENGINE</v>
      </c>
      <c r="AD433" s="2" t="b">
        <v>0</v>
      </c>
      <c r="AV433"/>
      <c r="AW433"/>
      <c r="AX433"/>
    </row>
    <row r="434" spans="1:50">
      <c r="A434" s="2" t="s">
        <v>459</v>
      </c>
      <c r="B434">
        <v>2010</v>
      </c>
      <c r="C434">
        <v>0</v>
      </c>
      <c r="D434" t="s">
        <v>1933</v>
      </c>
      <c r="E434" t="str">
        <f>_xlfn.XLOOKUP(PROPERTIES[[#This Row],[COUNTRY]],COUNTRIES[COUNTRY_DESCRIPTION],COUNTRIES[COUNTRY_LABEL],"")</f>
        <v>MA</v>
      </c>
      <c r="F434" t="s">
        <v>74</v>
      </c>
      <c r="G434" t="s">
        <v>20</v>
      </c>
      <c r="H434">
        <v>0</v>
      </c>
      <c r="I434">
        <v>8</v>
      </c>
      <c r="J434">
        <v>8</v>
      </c>
      <c r="K434" s="2" t="s">
        <v>20</v>
      </c>
      <c r="L434">
        <f>_xlfn.XLOOKUP("LOADINGSPEEDDEF_"&amp;PROPERTIES[[#This Row],[LOADINGSPEED]],LOADINGSPEEDDEF[TYPE],LOADINGSPEEDDEF[SPEED])</f>
        <v>0</v>
      </c>
      <c r="M434" t="s">
        <v>21</v>
      </c>
      <c r="N434">
        <v>1</v>
      </c>
      <c r="O434" s="34">
        <v>91</v>
      </c>
      <c r="P434">
        <v>8600</v>
      </c>
      <c r="Q434">
        <v>160</v>
      </c>
      <c r="R434" s="31">
        <v>0</v>
      </c>
      <c r="S434" s="30">
        <f>IFERROR(PROPERTIES[[#This Row],[TE_STARTING_KN]]/(PROPERTIES[[#This Row],[WEIGHT]]*9.81),0)</f>
        <v>0</v>
      </c>
      <c r="T434" s="30">
        <v>0.35</v>
      </c>
      <c r="U434" s="27">
        <f>ROUND(IF(IFERROR(PROPERTIES[[#This Row],[TE_COEFFICIENT_CALC]],0)=0,PROPERTIES[[#This Row],[TE_COEFFICIENT_MANUAL]],PROPERTIES[[#This Row],[TE_COEFFICIENT_CALC]]),3)</f>
        <v>0.35</v>
      </c>
      <c r="V434" s="6">
        <v>40</v>
      </c>
      <c r="W434" s="10">
        <v>0</v>
      </c>
      <c r="X434" s="10">
        <v>0</v>
      </c>
      <c r="Y434" s="10"/>
      <c r="Z434" t="str">
        <f>"RUNNING_COST_"&amp;IF(PROPERTIES[[#This Row],[ENGINE_CLASS]]="MAGLEV","ELECTRIC",PROPERTIES[[#This Row],[ENGINE_CLASS]])</f>
        <v>RUNNING_COST_ELECTRIC</v>
      </c>
      <c r="AA434" s="10" t="s">
        <v>1004</v>
      </c>
      <c r="AB434" s="10" t="s">
        <v>1005</v>
      </c>
      <c r="AC434" s="10" t="str">
        <f>SUBSTITUTE(SUBSTITUTE(PROPERTIES[[#This Row],[PURCHASECOST_VALUE]], "PURCHASECOST_", ""), "_VALUE", "")</f>
        <v>ELECTRICENGINE</v>
      </c>
      <c r="AD434" s="2" t="b">
        <v>0</v>
      </c>
      <c r="AV434"/>
      <c r="AW434"/>
      <c r="AX434"/>
    </row>
    <row r="435" spans="1:50">
      <c r="A435" s="2" t="s">
        <v>460</v>
      </c>
      <c r="B435">
        <v>1968</v>
      </c>
      <c r="C435">
        <v>0</v>
      </c>
      <c r="D435" t="s">
        <v>1967</v>
      </c>
      <c r="E435" t="str">
        <f>_xlfn.XLOOKUP(PROPERTIES[[#This Row],[COUNTRY]],COUNTRIES[COUNTRY_DESCRIPTION],COUNTRIES[COUNTRY_LABEL],"")</f>
        <v>NZ</v>
      </c>
      <c r="F435" t="s">
        <v>74</v>
      </c>
      <c r="G435" t="s">
        <v>20</v>
      </c>
      <c r="H435">
        <v>0</v>
      </c>
      <c r="I435">
        <v>6</v>
      </c>
      <c r="J435">
        <v>6</v>
      </c>
      <c r="K435" s="2" t="s">
        <v>20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4">
        <v>55</v>
      </c>
      <c r="P435">
        <v>1290</v>
      </c>
      <c r="Q435">
        <v>72</v>
      </c>
      <c r="R435" s="31">
        <v>0</v>
      </c>
      <c r="S435" s="30">
        <f>IFERROR(PROPERTIES[[#This Row],[TE_STARTING_KN]]/(PROPERTIES[[#This Row],[WEIGHT]]*9.81),0)</f>
        <v>0</v>
      </c>
      <c r="T435" s="30">
        <v>0.32</v>
      </c>
      <c r="U435" s="27">
        <f>ROUND(IF(IFERROR(PROPERTIES[[#This Row],[TE_COEFFICIENT_CALC]],0)=0,PROPERTIES[[#This Row],[TE_COEFFICIENT_MANUAL]],PROPERTIES[[#This Row],[TE_COEFFICIENT_CALC]]),3)</f>
        <v>0.32</v>
      </c>
      <c r="V435" s="6">
        <v>40</v>
      </c>
      <c r="W435" s="10">
        <v>0</v>
      </c>
      <c r="X435" s="10">
        <v>0</v>
      </c>
      <c r="Y435" s="10"/>
      <c r="Z435" t="str">
        <f>"RUNNING_COST_"&amp;IF(PROPERTIES[[#This Row],[ENGINE_CLASS]]="MAGLEV","ELECTRIC",PROPERTIES[[#This Row],[ENGINE_CLASS]])</f>
        <v>RUNNING_COST_ELECTRIC</v>
      </c>
      <c r="AA435" s="10" t="s">
        <v>1004</v>
      </c>
      <c r="AB435" s="10" t="s">
        <v>1005</v>
      </c>
      <c r="AC435" s="10" t="str">
        <f>SUBSTITUTE(SUBSTITUTE(PROPERTIES[[#This Row],[PURCHASECOST_VALUE]], "PURCHASECOST_", ""), "_VALUE", "")</f>
        <v>ELECTRICENGINE</v>
      </c>
      <c r="AD435" s="2" t="b">
        <v>0</v>
      </c>
      <c r="AV435"/>
      <c r="AW435"/>
      <c r="AX435"/>
    </row>
    <row r="436" spans="1:50">
      <c r="A436" s="2" t="s">
        <v>461</v>
      </c>
      <c r="B436">
        <v>1983</v>
      </c>
      <c r="C436">
        <v>0</v>
      </c>
      <c r="D436" t="s">
        <v>1835</v>
      </c>
      <c r="E436" t="str">
        <f>_xlfn.XLOOKUP(PROPERTIES[[#This Row],[COUNTRY]],COUNTRIES[COUNTRY_DESCRIPTION],COUNTRIES[COUNTRY_LABEL],"")</f>
        <v>CA</v>
      </c>
      <c r="F436" t="s">
        <v>74</v>
      </c>
      <c r="G436" t="s">
        <v>20</v>
      </c>
      <c r="H436">
        <v>0</v>
      </c>
      <c r="I436">
        <v>8</v>
      </c>
      <c r="J436">
        <v>8</v>
      </c>
      <c r="K436" s="2" t="s">
        <v>20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4">
        <v>180</v>
      </c>
      <c r="P436">
        <v>6000</v>
      </c>
      <c r="Q436">
        <v>90</v>
      </c>
      <c r="R436" s="31">
        <v>605</v>
      </c>
      <c r="S436" s="30">
        <f>IFERROR(PROPERTIES[[#This Row],[TE_STARTING_KN]]/(PROPERTIES[[#This Row],[WEIGHT]]*9.81),0)</f>
        <v>0.34262090837014381</v>
      </c>
      <c r="T436" s="30">
        <v>0.22</v>
      </c>
      <c r="U436" s="27">
        <f>ROUND(IF(IFERROR(PROPERTIES[[#This Row],[TE_COEFFICIENT_CALC]],0)=0,PROPERTIES[[#This Row],[TE_COEFFICIENT_MANUAL]],PROPERTIES[[#This Row],[TE_COEFFICIENT_CALC]]),3)</f>
        <v>0.34300000000000003</v>
      </c>
      <c r="V436" s="6">
        <v>40</v>
      </c>
      <c r="W436" s="10">
        <v>0</v>
      </c>
      <c r="X436" s="10">
        <v>0</v>
      </c>
      <c r="Y436" s="10"/>
      <c r="Z436" t="str">
        <f>"RUNNING_COST_"&amp;IF(PROPERTIES[[#This Row],[ENGINE_CLASS]]="MAGLEV","ELECTRIC",PROPERTIES[[#This Row],[ENGINE_CLASS]])</f>
        <v>RUNNING_COST_ELECTRIC</v>
      </c>
      <c r="AA436" s="10" t="s">
        <v>1004</v>
      </c>
      <c r="AB436" s="10" t="s">
        <v>1005</v>
      </c>
      <c r="AC436" s="10" t="str">
        <f>SUBSTITUTE(SUBSTITUTE(PROPERTIES[[#This Row],[PURCHASECOST_VALUE]], "PURCHASECOST_", ""), "_VALUE", "")</f>
        <v>ELECTRICENGINE</v>
      </c>
      <c r="AD436" s="2" t="b">
        <v>0</v>
      </c>
      <c r="AV436"/>
      <c r="AW436"/>
      <c r="AX436"/>
    </row>
    <row r="437" spans="1:50">
      <c r="A437" s="2" t="s">
        <v>462</v>
      </c>
      <c r="B437">
        <v>1976</v>
      </c>
      <c r="C437">
        <v>0</v>
      </c>
      <c r="D437" t="s">
        <v>1872</v>
      </c>
      <c r="E437" t="str">
        <f>_xlfn.XLOOKUP(PROPERTIES[[#This Row],[COUNTRY]],COUNTRIES[COUNTRY_DESCRIPTION],COUNTRIES[COUNTRY_LABEL],"")</f>
        <v>FR</v>
      </c>
      <c r="F437" t="s">
        <v>74</v>
      </c>
      <c r="G437" t="s">
        <v>20</v>
      </c>
      <c r="H437">
        <v>0</v>
      </c>
      <c r="I437">
        <v>8</v>
      </c>
      <c r="J437">
        <v>8</v>
      </c>
      <c r="K437" s="2" t="s">
        <v>20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4">
        <v>90</v>
      </c>
      <c r="P437">
        <v>5850</v>
      </c>
      <c r="Q437">
        <v>160</v>
      </c>
      <c r="R437" s="31">
        <v>294</v>
      </c>
      <c r="S437" s="30">
        <f>IFERROR(PROPERTIES[[#This Row],[TE_STARTING_KN]]/(PROPERTIES[[#This Row],[WEIGHT]]*9.81),0)</f>
        <v>0.3329935440027183</v>
      </c>
      <c r="T437" s="30">
        <v>0.33</v>
      </c>
      <c r="U437" s="27">
        <f>ROUND(IF(IFERROR(PROPERTIES[[#This Row],[TE_COEFFICIENT_CALC]],0)=0,PROPERTIES[[#This Row],[TE_COEFFICIENT_MANUAL]],PROPERTIES[[#This Row],[TE_COEFFICIENT_CALC]]),3)</f>
        <v>0.33300000000000002</v>
      </c>
      <c r="V437" s="6">
        <v>40</v>
      </c>
      <c r="W437" s="10">
        <v>0</v>
      </c>
      <c r="X437" s="10">
        <v>0</v>
      </c>
      <c r="Y437" s="10"/>
      <c r="Z437" t="str">
        <f>"RUNNING_COST_"&amp;IF(PROPERTIES[[#This Row],[ENGINE_CLASS]]="MAGLEV","ELECTRIC",PROPERTIES[[#This Row],[ENGINE_CLASS]])</f>
        <v>RUNNING_COST_ELECTRIC</v>
      </c>
      <c r="AA437" s="10" t="s">
        <v>1004</v>
      </c>
      <c r="AB437" s="10" t="s">
        <v>1005</v>
      </c>
      <c r="AC437" s="10" t="str">
        <f>SUBSTITUTE(SUBSTITUTE(PROPERTIES[[#This Row],[PURCHASECOST_VALUE]], "PURCHASECOST_", ""), "_VALUE", "")</f>
        <v>ELECTRICENGINE</v>
      </c>
      <c r="AD437" s="2" t="b">
        <v>0</v>
      </c>
      <c r="AV437"/>
      <c r="AW437"/>
      <c r="AX437"/>
    </row>
    <row r="438" spans="1:50">
      <c r="A438" s="2" t="s">
        <v>463</v>
      </c>
      <c r="B438">
        <v>1989</v>
      </c>
      <c r="C438">
        <v>0</v>
      </c>
      <c r="D438" t="s">
        <v>1872</v>
      </c>
      <c r="E438" t="str">
        <f>_xlfn.XLOOKUP(PROPERTIES[[#This Row],[COUNTRY]],COUNTRIES[COUNTRY_DESCRIPTION],COUNTRIES[COUNTRY_LABEL],"")</f>
        <v>FR</v>
      </c>
      <c r="F438" t="s">
        <v>74</v>
      </c>
      <c r="G438" t="s">
        <v>20</v>
      </c>
      <c r="H438">
        <v>0</v>
      </c>
      <c r="I438">
        <v>8</v>
      </c>
      <c r="J438">
        <v>8</v>
      </c>
      <c r="K438" s="2" t="s">
        <v>20</v>
      </c>
      <c r="L438">
        <f>_xlfn.XLOOKUP("LOADINGSPEEDDEF_"&amp;PROPERTIES[[#This Row],[LOADINGSPEED]],LOADINGSPEEDDEF[TYPE],LOADINGSPEEDDEF[SPEED])</f>
        <v>0</v>
      </c>
      <c r="M438" t="s">
        <v>21</v>
      </c>
      <c r="N438">
        <v>1</v>
      </c>
      <c r="O438" s="34">
        <v>90</v>
      </c>
      <c r="P438">
        <v>7504</v>
      </c>
      <c r="Q438">
        <v>200</v>
      </c>
      <c r="R438" s="31">
        <v>320</v>
      </c>
      <c r="S438" s="30">
        <f>IFERROR(PROPERTIES[[#This Row],[TE_STARTING_KN]]/(PROPERTIES[[#This Row],[WEIGHT]]*9.81),0)</f>
        <v>0.36244195265601992</v>
      </c>
      <c r="T438" s="30">
        <v>0.36</v>
      </c>
      <c r="U438" s="27">
        <f>ROUND(IF(IFERROR(PROPERTIES[[#This Row],[TE_COEFFICIENT_CALC]],0)=0,PROPERTIES[[#This Row],[TE_COEFFICIENT_MANUAL]],PROPERTIES[[#This Row],[TE_COEFFICIENT_CALC]]),3)</f>
        <v>0.36199999999999999</v>
      </c>
      <c r="V438" s="6">
        <v>40</v>
      </c>
      <c r="W438" s="10">
        <v>0</v>
      </c>
      <c r="X438" s="10">
        <v>0</v>
      </c>
      <c r="Y438" s="10"/>
      <c r="Z438" t="str">
        <f>"RUNNING_COST_"&amp;IF(PROPERTIES[[#This Row],[ENGINE_CLASS]]="MAGLEV","ELECTRIC",PROPERTIES[[#This Row],[ENGINE_CLASS]])</f>
        <v>RUNNING_COST_ELECTRIC</v>
      </c>
      <c r="AA438" s="10" t="s">
        <v>1004</v>
      </c>
      <c r="AB438" s="10" t="s">
        <v>1005</v>
      </c>
      <c r="AC438" s="10" t="str">
        <f>SUBSTITUTE(SUBSTITUTE(PROPERTIES[[#This Row],[PURCHASECOST_VALUE]], "PURCHASECOST_", ""), "_VALUE", "")</f>
        <v>ELECTRICENGINE</v>
      </c>
      <c r="AD438" s="2" t="b">
        <v>0</v>
      </c>
      <c r="AV438"/>
      <c r="AW438"/>
      <c r="AX438"/>
    </row>
    <row r="439" spans="1:50">
      <c r="A439" s="2" t="s">
        <v>464</v>
      </c>
      <c r="B439">
        <v>1964</v>
      </c>
      <c r="C439">
        <v>0</v>
      </c>
      <c r="D439" t="s">
        <v>1872</v>
      </c>
      <c r="E439" t="str">
        <f>_xlfn.XLOOKUP(PROPERTIES[[#This Row],[COUNTRY]],COUNTRIES[COUNTRY_DESCRIPTION],COUNTRIES[COUNTRY_LABEL],"")</f>
        <v>FR</v>
      </c>
      <c r="F439" t="s">
        <v>74</v>
      </c>
      <c r="G439" t="s">
        <v>20</v>
      </c>
      <c r="H439">
        <v>0</v>
      </c>
      <c r="I439">
        <v>8</v>
      </c>
      <c r="J439">
        <v>8</v>
      </c>
      <c r="K439" s="2" t="s">
        <v>20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4">
        <v>79</v>
      </c>
      <c r="P439">
        <v>3940</v>
      </c>
      <c r="Q439">
        <v>100</v>
      </c>
      <c r="R439" s="31">
        <v>330</v>
      </c>
      <c r="S439" s="30">
        <f>IFERROR(PROPERTIES[[#This Row],[TE_STARTING_KN]]/(PROPERTIES[[#This Row],[WEIGHT]]*9.81),0)</f>
        <v>0.42581194596059302</v>
      </c>
      <c r="T439" s="30">
        <v>0.42</v>
      </c>
      <c r="U439" s="27">
        <f>ROUND(IF(IFERROR(PROPERTIES[[#This Row],[TE_COEFFICIENT_CALC]],0)=0,PROPERTIES[[#This Row],[TE_COEFFICIENT_MANUAL]],PROPERTIES[[#This Row],[TE_COEFFICIENT_CALC]]),3)</f>
        <v>0.42599999999999999</v>
      </c>
      <c r="V439" s="6">
        <v>40</v>
      </c>
      <c r="W439" s="10">
        <v>0</v>
      </c>
      <c r="X439" s="10">
        <v>0</v>
      </c>
      <c r="Y439" s="10"/>
      <c r="Z439" t="str">
        <f>"RUNNING_COST_"&amp;IF(PROPERTIES[[#This Row],[ENGINE_CLASS]]="MAGLEV","ELECTRIC",PROPERTIES[[#This Row],[ENGINE_CLASS]])</f>
        <v>RUNNING_COST_ELECTRIC</v>
      </c>
      <c r="AA439" s="10" t="s">
        <v>1004</v>
      </c>
      <c r="AB439" s="10" t="s">
        <v>1005</v>
      </c>
      <c r="AC439" s="10" t="str">
        <f>SUBSTITUTE(SUBSTITUTE(PROPERTIES[[#This Row],[PURCHASECOST_VALUE]], "PURCHASECOST_", ""), "_VALUE", "")</f>
        <v>ELECTRICENGINE</v>
      </c>
      <c r="AD439" s="2" t="b">
        <v>0</v>
      </c>
      <c r="AV439"/>
      <c r="AW439"/>
      <c r="AX439"/>
    </row>
    <row r="440" spans="1:50">
      <c r="A440" s="2" t="s">
        <v>465</v>
      </c>
      <c r="B440">
        <v>2000</v>
      </c>
      <c r="C440">
        <v>0</v>
      </c>
      <c r="D440" t="s">
        <v>1854</v>
      </c>
      <c r="E440" t="str">
        <f>_xlfn.XLOOKUP(PROPERTIES[[#This Row],[COUNTRY]],COUNTRIES[COUNTRY_DESCRIPTION],COUNTRIES[COUNTRY_LABEL],"")</f>
        <v>DE</v>
      </c>
      <c r="F440" t="s">
        <v>74</v>
      </c>
      <c r="G440" t="s">
        <v>20</v>
      </c>
      <c r="H440">
        <v>0</v>
      </c>
      <c r="I440">
        <v>8</v>
      </c>
      <c r="J440">
        <v>8</v>
      </c>
      <c r="K440" s="2" t="s">
        <v>20</v>
      </c>
      <c r="L440">
        <f>_xlfn.XLOOKUP("LOADINGSPEEDDEF_"&amp;PROPERTIES[[#This Row],[LOADINGSPEED]],LOADINGSPEEDDEF[TYPE],LOADINGSPEEDDEF[SPEED])</f>
        <v>0</v>
      </c>
      <c r="M440" t="s">
        <v>21</v>
      </c>
      <c r="N440">
        <v>1</v>
      </c>
      <c r="O440" s="34">
        <v>86</v>
      </c>
      <c r="P440">
        <v>11266</v>
      </c>
      <c r="Q440">
        <v>230</v>
      </c>
      <c r="R440" s="31">
        <v>300</v>
      </c>
      <c r="S440" s="30">
        <f>IFERROR(PROPERTIES[[#This Row],[TE_STARTING_KN]]/(PROPERTIES[[#This Row],[WEIGHT]]*9.81),0)</f>
        <v>0.3555934855273451</v>
      </c>
      <c r="T440" s="30">
        <v>0.35</v>
      </c>
      <c r="U440" s="27">
        <f>ROUND(IF(IFERROR(PROPERTIES[[#This Row],[TE_COEFFICIENT_CALC]],0)=0,PROPERTIES[[#This Row],[TE_COEFFICIENT_MANUAL]],PROPERTIES[[#This Row],[TE_COEFFICIENT_CALC]]),3)</f>
        <v>0.35599999999999998</v>
      </c>
      <c r="V440" s="6">
        <v>40</v>
      </c>
      <c r="W440" s="10">
        <v>0</v>
      </c>
      <c r="X440" s="10">
        <v>0</v>
      </c>
      <c r="Y440" s="10"/>
      <c r="Z440" t="str">
        <f>"RUNNING_COST_"&amp;IF(PROPERTIES[[#This Row],[ENGINE_CLASS]]="MAGLEV","ELECTRIC",PROPERTIES[[#This Row],[ENGINE_CLASS]])</f>
        <v>RUNNING_COST_ELECTRIC</v>
      </c>
      <c r="AA440" s="10" t="s">
        <v>1004</v>
      </c>
      <c r="AB440" s="10" t="s">
        <v>1005</v>
      </c>
      <c r="AC440" s="10" t="str">
        <f>SUBSTITUTE(SUBSTITUTE(PROPERTIES[[#This Row],[PURCHASECOST_VALUE]], "PURCHASECOST_", ""), "_VALUE", "")</f>
        <v>ELECTRICENGINE</v>
      </c>
      <c r="AD440" s="2" t="b">
        <v>0</v>
      </c>
      <c r="AV440"/>
      <c r="AW440"/>
      <c r="AX440"/>
    </row>
    <row r="441" spans="1:50">
      <c r="A441" s="2" t="s">
        <v>466</v>
      </c>
      <c r="B441">
        <v>1997</v>
      </c>
      <c r="C441">
        <v>0</v>
      </c>
      <c r="D441" t="s">
        <v>1910</v>
      </c>
      <c r="E441" t="str">
        <f>_xlfn.XLOOKUP(PROPERTIES[[#This Row],[COUNTRY]],COUNTRIES[COUNTRY_DESCRIPTION],COUNTRIES[COUNTRY_LABEL],"")</f>
        <v>JP</v>
      </c>
      <c r="F441" t="s">
        <v>74</v>
      </c>
      <c r="G441" t="s">
        <v>20</v>
      </c>
      <c r="H441">
        <v>0</v>
      </c>
      <c r="I441">
        <v>8</v>
      </c>
      <c r="J441">
        <v>16</v>
      </c>
      <c r="K441" s="2" t="s">
        <v>20</v>
      </c>
      <c r="L441">
        <f>_xlfn.XLOOKUP("LOADINGSPEEDDEF_"&amp;PROPERTIES[[#This Row],[LOADINGSPEED]],LOADINGSPEEDDEF[TYPE],LOADINGSPEEDDEF[SPEED])</f>
        <v>0</v>
      </c>
      <c r="M441" t="s">
        <v>21</v>
      </c>
      <c r="N441">
        <v>1</v>
      </c>
      <c r="O441" s="34">
        <v>134.19999999999999</v>
      </c>
      <c r="P441">
        <v>5400</v>
      </c>
      <c r="Q441">
        <v>110</v>
      </c>
      <c r="R441" s="31">
        <v>240.76</v>
      </c>
      <c r="S441" s="30">
        <f>IFERROR(PROPERTIES[[#This Row],[TE_STARTING_KN]]/(PROPERTIES[[#This Row],[WEIGHT]]*9.81),0)</f>
        <v>0.1828785675980743</v>
      </c>
      <c r="T441" s="30">
        <v>0.18</v>
      </c>
      <c r="U441" s="27">
        <f>ROUND(IF(IFERROR(PROPERTIES[[#This Row],[TE_COEFFICIENT_CALC]],0)=0,PROPERTIES[[#This Row],[TE_COEFFICIENT_MANUAL]],PROPERTIES[[#This Row],[TE_COEFFICIENT_CALC]]),3)</f>
        <v>0.183</v>
      </c>
      <c r="V441" s="6">
        <v>40</v>
      </c>
      <c r="W441" s="10">
        <v>0</v>
      </c>
      <c r="X441" s="10">
        <v>8</v>
      </c>
      <c r="Y441" s="10"/>
      <c r="Z441" t="str">
        <f>"RUNNING_COST_"&amp;IF(PROPERTIES[[#This Row],[ENGINE_CLASS]]="MAGLEV","ELECTRIC",PROPERTIES[[#This Row],[ENGINE_CLASS]])</f>
        <v>RUNNING_COST_ELECTRIC</v>
      </c>
      <c r="AA441" s="10" t="s">
        <v>1004</v>
      </c>
      <c r="AB441" s="10" t="s">
        <v>1005</v>
      </c>
      <c r="AC441" s="10" t="str">
        <f>SUBSTITUTE(SUBSTITUTE(PROPERTIES[[#This Row],[PURCHASECOST_VALUE]], "PURCHASECOST_", ""), "_VALUE", "")</f>
        <v>ELECTRICENGINE</v>
      </c>
      <c r="AD441" s="2" t="b">
        <v>0</v>
      </c>
      <c r="AV441"/>
      <c r="AW441"/>
      <c r="AX441"/>
    </row>
    <row r="442" spans="1:50">
      <c r="A442" s="2" t="s">
        <v>467</v>
      </c>
      <c r="B442">
        <v>1978</v>
      </c>
      <c r="C442">
        <v>0</v>
      </c>
      <c r="D442" t="s">
        <v>2029</v>
      </c>
      <c r="E442" t="str">
        <f>_xlfn.XLOOKUP(PROPERTIES[[#This Row],[COUNTRY]],COUNTRIES[COUNTRY_DESCRIPTION],COUNTRIES[COUNTRY_LABEL],"")</f>
        <v>US</v>
      </c>
      <c r="F442" t="s">
        <v>74</v>
      </c>
      <c r="G442" t="s">
        <v>20</v>
      </c>
      <c r="H442">
        <v>0</v>
      </c>
      <c r="I442">
        <v>7</v>
      </c>
      <c r="J442">
        <v>7</v>
      </c>
      <c r="K442" s="2" t="s">
        <v>20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4">
        <v>92</v>
      </c>
      <c r="P442">
        <v>7000</v>
      </c>
      <c r="Q442">
        <v>201</v>
      </c>
      <c r="R442" s="31">
        <v>230</v>
      </c>
      <c r="S442" s="30">
        <f>IFERROR(PROPERTIES[[#This Row],[TE_STARTING_KN]]/(PROPERTIES[[#This Row],[WEIGHT]]*9.81),0)</f>
        <v>0.254841997961264</v>
      </c>
      <c r="T442" s="30">
        <v>0.26</v>
      </c>
      <c r="U442" s="27">
        <f>ROUND(IF(IFERROR(PROPERTIES[[#This Row],[TE_COEFFICIENT_CALC]],0)=0,PROPERTIES[[#This Row],[TE_COEFFICIENT_MANUAL]],PROPERTIES[[#This Row],[TE_COEFFICIENT_CALC]]),3)</f>
        <v>0.255</v>
      </c>
      <c r="V442" s="6">
        <v>40</v>
      </c>
      <c r="W442" s="10">
        <v>0</v>
      </c>
      <c r="X442" s="10">
        <v>0</v>
      </c>
      <c r="Y442" s="10"/>
      <c r="Z442" t="str">
        <f>"RUNNING_COST_"&amp;IF(PROPERTIES[[#This Row],[ENGINE_CLASS]]="MAGLEV","ELECTRIC",PROPERTIES[[#This Row],[ENGINE_CLASS]])</f>
        <v>RUNNING_COST_ELECTRIC</v>
      </c>
      <c r="AA442" s="10" t="s">
        <v>1004</v>
      </c>
      <c r="AB442" s="10" t="s">
        <v>1005</v>
      </c>
      <c r="AC442" s="10" t="str">
        <f>SUBSTITUTE(SUBSTITUTE(PROPERTIES[[#This Row],[PURCHASECOST_VALUE]], "PURCHASECOST_", ""), "_VALUE", "")</f>
        <v>ELECTRICENGINE</v>
      </c>
      <c r="AD442" s="2" t="b">
        <v>0</v>
      </c>
      <c r="AV442"/>
      <c r="AW442"/>
      <c r="AX442"/>
    </row>
    <row r="443" spans="1:50">
      <c r="A443" s="2" t="s">
        <v>468</v>
      </c>
      <c r="B443">
        <v>1999</v>
      </c>
      <c r="C443">
        <v>0</v>
      </c>
      <c r="D443" t="s">
        <v>2029</v>
      </c>
      <c r="E443" t="str">
        <f>_xlfn.XLOOKUP(PROPERTIES[[#This Row],[COUNTRY]],COUNTRIES[COUNTRY_DESCRIPTION],COUNTRIES[COUNTRY_LABEL],"")</f>
        <v>US</v>
      </c>
      <c r="F443" t="s">
        <v>74</v>
      </c>
      <c r="G443" t="s">
        <v>20</v>
      </c>
      <c r="H443">
        <v>0</v>
      </c>
      <c r="I443">
        <v>8</v>
      </c>
      <c r="J443">
        <v>8</v>
      </c>
      <c r="K443" s="2" t="s">
        <v>24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4">
        <v>101</v>
      </c>
      <c r="P443">
        <v>8000</v>
      </c>
      <c r="Q443">
        <v>217</v>
      </c>
      <c r="R443" s="31">
        <v>316.89999999999998</v>
      </c>
      <c r="S443" s="30">
        <f>IFERROR(PROPERTIES[[#This Row],[TE_STARTING_KN]]/(PROPERTIES[[#This Row],[WEIGHT]]*9.81),0)</f>
        <v>0.31983932338187943</v>
      </c>
      <c r="T443" s="30">
        <v>0.25</v>
      </c>
      <c r="U443" s="27">
        <f>ROUND(IF(IFERROR(PROPERTIES[[#This Row],[TE_COEFFICIENT_CALC]],0)=0,PROPERTIES[[#This Row],[TE_COEFFICIENT_MANUAL]],PROPERTIES[[#This Row],[TE_COEFFICIENT_CALC]]),3)</f>
        <v>0.32</v>
      </c>
      <c r="V443" s="6">
        <v>40</v>
      </c>
      <c r="W443" s="10">
        <v>0</v>
      </c>
      <c r="X443" s="10">
        <v>0</v>
      </c>
      <c r="Y443" s="10"/>
      <c r="Z443" t="str">
        <f>"RUNNING_COST_"&amp;IF(PROPERTIES[[#This Row],[ENGINE_CLASS]]="MAGLEV","ELECTRIC",PROPERTIES[[#This Row],[ENGINE_CLASS]])</f>
        <v>RUNNING_COST_ELECTRIC</v>
      </c>
      <c r="AA443" s="10" t="s">
        <v>1004</v>
      </c>
      <c r="AB443" s="10" t="s">
        <v>1005</v>
      </c>
      <c r="AC443" s="10" t="str">
        <f>SUBSTITUTE(SUBSTITUTE(PROPERTIES[[#This Row],[PURCHASECOST_VALUE]], "PURCHASECOST_", ""), "_VALUE", "")</f>
        <v>ELECTRICENGINE</v>
      </c>
      <c r="AD443" s="2" t="b">
        <v>0</v>
      </c>
      <c r="AV443"/>
      <c r="AW443"/>
      <c r="AX443"/>
    </row>
    <row r="444" spans="1:50">
      <c r="A444" s="2" t="s">
        <v>469</v>
      </c>
      <c r="B444">
        <v>2008</v>
      </c>
      <c r="C444">
        <v>0</v>
      </c>
      <c r="D444" t="s">
        <v>1853</v>
      </c>
      <c r="E444" t="str">
        <f>_xlfn.XLOOKUP(PROPERTIES[[#This Row],[COUNTRY]],COUNTRIES[COUNTRY_DESCRIPTION],COUNTRIES[COUNTRY_LABEL],"")</f>
        <v>CZ</v>
      </c>
      <c r="F444" t="s">
        <v>74</v>
      </c>
      <c r="G444" t="s">
        <v>20</v>
      </c>
      <c r="H444">
        <v>0</v>
      </c>
      <c r="I444">
        <v>8</v>
      </c>
      <c r="J444">
        <v>8</v>
      </c>
      <c r="K444" s="2" t="s">
        <v>20</v>
      </c>
      <c r="L444">
        <f>_xlfn.XLOOKUP("LOADINGSPEEDDEF_"&amp;PROPERTIES[[#This Row],[LOADINGSPEED]],LOADINGSPEEDDEF[TYPE],LOADINGSPEEDDEF[SPEED])</f>
        <v>0</v>
      </c>
      <c r="M444" t="s">
        <v>21</v>
      </c>
      <c r="N444">
        <v>1</v>
      </c>
      <c r="O444" s="34">
        <v>88</v>
      </c>
      <c r="P444">
        <v>8583</v>
      </c>
      <c r="Q444">
        <v>200</v>
      </c>
      <c r="R444" s="31">
        <v>300</v>
      </c>
      <c r="S444" s="30">
        <f>IFERROR(PROPERTIES[[#This Row],[TE_STARTING_KN]]/(PROPERTIES[[#This Row],[WEIGHT]]*9.81),0)</f>
        <v>0.3475118154017236</v>
      </c>
      <c r="T444" s="30">
        <v>0.34</v>
      </c>
      <c r="U444" s="27">
        <f>ROUND(IF(IFERROR(PROPERTIES[[#This Row],[TE_COEFFICIENT_CALC]],0)=0,PROPERTIES[[#This Row],[TE_COEFFICIENT_MANUAL]],PROPERTIES[[#This Row],[TE_COEFFICIENT_CALC]]),3)</f>
        <v>0.34799999999999998</v>
      </c>
      <c r="V444" s="6">
        <v>40</v>
      </c>
      <c r="W444" s="10">
        <v>0</v>
      </c>
      <c r="X444" s="10">
        <v>0</v>
      </c>
      <c r="Y444" s="10"/>
      <c r="Z444" t="str">
        <f>"RUNNING_COST_"&amp;IF(PROPERTIES[[#This Row],[ENGINE_CLASS]]="MAGLEV","ELECTRIC",PROPERTIES[[#This Row],[ENGINE_CLASS]])</f>
        <v>RUNNING_COST_ELECTRIC</v>
      </c>
      <c r="AA444" s="10" t="s">
        <v>1004</v>
      </c>
      <c r="AB444" s="10" t="s">
        <v>1005</v>
      </c>
      <c r="AC444" s="10" t="str">
        <f>SUBSTITUTE(SUBSTITUTE(PROPERTIES[[#This Row],[PURCHASECOST_VALUE]], "PURCHASECOST_", ""), "_VALUE", "")</f>
        <v>ELECTRICENGINE</v>
      </c>
      <c r="AD444" s="2" t="b">
        <v>0</v>
      </c>
      <c r="AV444"/>
      <c r="AW444"/>
      <c r="AX444"/>
    </row>
    <row r="445" spans="1:50">
      <c r="A445" s="2" t="s">
        <v>470</v>
      </c>
      <c r="B445">
        <v>1992</v>
      </c>
      <c r="C445">
        <v>0</v>
      </c>
      <c r="D445" t="s">
        <v>1865</v>
      </c>
      <c r="E445" t="str">
        <f>_xlfn.XLOOKUP(PROPERTIES[[#This Row],[COUNTRY]],COUNTRIES[COUNTRY_DESCRIPTION],COUNTRIES[COUNTRY_LABEL],"")</f>
        <v>ES</v>
      </c>
      <c r="F445" t="s">
        <v>74</v>
      </c>
      <c r="G445" t="s">
        <v>20</v>
      </c>
      <c r="H445">
        <v>0</v>
      </c>
      <c r="I445">
        <v>8</v>
      </c>
      <c r="J445">
        <v>8</v>
      </c>
      <c r="K445" s="2" t="s">
        <v>20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4">
        <v>90</v>
      </c>
      <c r="P445">
        <v>7500</v>
      </c>
      <c r="Q445">
        <v>200</v>
      </c>
      <c r="R445" s="31">
        <v>300</v>
      </c>
      <c r="S445" s="30">
        <f>IFERROR(PROPERTIES[[#This Row],[TE_STARTING_KN]]/(PROPERTIES[[#This Row],[WEIGHT]]*9.81),0)</f>
        <v>0.33978933061501865</v>
      </c>
      <c r="T445" s="30">
        <v>0.33</v>
      </c>
      <c r="U445" s="27">
        <f>ROUND(IF(IFERROR(PROPERTIES[[#This Row],[TE_COEFFICIENT_CALC]],0)=0,PROPERTIES[[#This Row],[TE_COEFFICIENT_MANUAL]],PROPERTIES[[#This Row],[TE_COEFFICIENT_CALC]]),3)</f>
        <v>0.34</v>
      </c>
      <c r="V445" s="6">
        <v>40</v>
      </c>
      <c r="W445" s="10">
        <v>0</v>
      </c>
      <c r="X445" s="10">
        <v>0</v>
      </c>
      <c r="Y445" s="10"/>
      <c r="Z445" t="str">
        <f>"RUNNING_COST_"&amp;IF(PROPERTIES[[#This Row],[ENGINE_CLASS]]="MAGLEV","ELECTRIC",PROPERTIES[[#This Row],[ENGINE_CLASS]])</f>
        <v>RUNNING_COST_ELECTRIC</v>
      </c>
      <c r="AA445" s="10" t="s">
        <v>1004</v>
      </c>
      <c r="AB445" s="10" t="s">
        <v>1005</v>
      </c>
      <c r="AC445" s="10" t="str">
        <f>SUBSTITUTE(SUBSTITUTE(PROPERTIES[[#This Row],[PURCHASECOST_VALUE]], "PURCHASECOST_", ""), "_VALUE", "")</f>
        <v>ELECTRICENGINE</v>
      </c>
      <c r="AD445" s="2" t="b">
        <v>0</v>
      </c>
      <c r="AV445"/>
      <c r="AW445"/>
      <c r="AX445"/>
    </row>
    <row r="446" spans="1:50">
      <c r="A446" s="2" t="s">
        <v>471</v>
      </c>
      <c r="B446">
        <v>2000</v>
      </c>
      <c r="C446">
        <v>0</v>
      </c>
      <c r="D446" t="s">
        <v>1854</v>
      </c>
      <c r="E446" t="str">
        <f>_xlfn.XLOOKUP(PROPERTIES[[#This Row],[COUNTRY]],COUNTRIES[COUNTRY_DESCRIPTION],COUNTRIES[COUNTRY_LABEL],"")</f>
        <v>DE</v>
      </c>
      <c r="F446" t="s">
        <v>74</v>
      </c>
      <c r="G446" t="s">
        <v>20</v>
      </c>
      <c r="H446">
        <v>0</v>
      </c>
      <c r="I446">
        <v>8</v>
      </c>
      <c r="J446">
        <v>8</v>
      </c>
      <c r="K446" s="2" t="s">
        <v>20</v>
      </c>
      <c r="L446">
        <f>_xlfn.XLOOKUP("LOADINGSPEEDDEF_"&amp;PROPERTIES[[#This Row],[LOADINGSPEED]],LOADINGSPEEDDEF[TYPE],LOADINGSPEEDDEF[SPEED])</f>
        <v>0</v>
      </c>
      <c r="M446" t="s">
        <v>21</v>
      </c>
      <c r="N446">
        <v>1</v>
      </c>
      <c r="O446" s="34">
        <v>84</v>
      </c>
      <c r="P446">
        <v>5600</v>
      </c>
      <c r="Q446">
        <v>140</v>
      </c>
      <c r="R446" s="31">
        <v>0</v>
      </c>
      <c r="S446" s="30">
        <f>IFERROR(PROPERTIES[[#This Row],[TE_STARTING_KN]]/(PROPERTIES[[#This Row],[WEIGHT]]*9.81),0)</f>
        <v>0</v>
      </c>
      <c r="T446" s="30">
        <v>0.35</v>
      </c>
      <c r="U446" s="27">
        <f>ROUND(IF(IFERROR(PROPERTIES[[#This Row],[TE_COEFFICIENT_CALC]],0)=0,PROPERTIES[[#This Row],[TE_COEFFICIENT_MANUAL]],PROPERTIES[[#This Row],[TE_COEFFICIENT_CALC]]),3)</f>
        <v>0.35</v>
      </c>
      <c r="V446" s="6">
        <v>40</v>
      </c>
      <c r="W446" s="10">
        <v>0</v>
      </c>
      <c r="X446" s="10">
        <v>0</v>
      </c>
      <c r="Y446" s="10"/>
      <c r="Z446" t="str">
        <f>"RUNNING_COST_"&amp;IF(PROPERTIES[[#This Row],[ENGINE_CLASS]]="MAGLEV","ELECTRIC",PROPERTIES[[#This Row],[ENGINE_CLASS]])</f>
        <v>RUNNING_COST_ELECTRIC</v>
      </c>
      <c r="AA446" s="10" t="s">
        <v>1004</v>
      </c>
      <c r="AB446" s="10" t="s">
        <v>1005</v>
      </c>
      <c r="AC446" s="10" t="str">
        <f>SUBSTITUTE(SUBSTITUTE(PROPERTIES[[#This Row],[PURCHASECOST_VALUE]], "PURCHASECOST_", ""), "_VALUE", "")</f>
        <v>ELECTRICENGINE</v>
      </c>
      <c r="AD446" s="2" t="b">
        <v>0</v>
      </c>
      <c r="AV446"/>
      <c r="AW446"/>
      <c r="AX446"/>
    </row>
    <row r="447" spans="1:50">
      <c r="A447" s="2" t="s">
        <v>472</v>
      </c>
      <c r="B447">
        <v>1908</v>
      </c>
      <c r="C447">
        <v>0</v>
      </c>
      <c r="D447" t="s">
        <v>1906</v>
      </c>
      <c r="E447" t="str">
        <f>_xlfn.XLOOKUP(PROPERTIES[[#This Row],[COUNTRY]],COUNTRIES[COUNTRY_DESCRIPTION],COUNTRIES[COUNTRY_LABEL],"")</f>
        <v>IT</v>
      </c>
      <c r="F447" t="s">
        <v>74</v>
      </c>
      <c r="G447" t="s">
        <v>20</v>
      </c>
      <c r="H447">
        <v>0</v>
      </c>
      <c r="I447">
        <v>6</v>
      </c>
      <c r="J447">
        <v>6</v>
      </c>
      <c r="K447" s="2" t="s">
        <v>20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4">
        <v>64</v>
      </c>
      <c r="P447">
        <v>2000</v>
      </c>
      <c r="Q447">
        <v>50</v>
      </c>
      <c r="R447" s="31">
        <v>100</v>
      </c>
      <c r="S447" s="30">
        <f>IFERROR(PROPERTIES[[#This Row],[TE_STARTING_KN]]/(PROPERTIES[[#This Row],[WEIGHT]]*9.81),0)</f>
        <v>0.15927624872578999</v>
      </c>
      <c r="T447" s="30">
        <v>0.16</v>
      </c>
      <c r="U447" s="27">
        <f>ROUND(IF(IFERROR(PROPERTIES[[#This Row],[TE_COEFFICIENT_CALC]],0)=0,PROPERTIES[[#This Row],[TE_COEFFICIENT_MANUAL]],PROPERTIES[[#This Row],[TE_COEFFICIENT_CALC]]),3)</f>
        <v>0.159</v>
      </c>
      <c r="V447" s="6">
        <v>40</v>
      </c>
      <c r="W447" s="10">
        <v>0</v>
      </c>
      <c r="X447" s="10">
        <v>0</v>
      </c>
      <c r="Y447" s="10"/>
      <c r="Z447" t="str">
        <f>"RUNNING_COST_"&amp;IF(PROPERTIES[[#This Row],[ENGINE_CLASS]]="MAGLEV","ELECTRIC",PROPERTIES[[#This Row],[ENGINE_CLASS]])</f>
        <v>RUNNING_COST_ELECTRIC</v>
      </c>
      <c r="AA447" s="10" t="s">
        <v>1004</v>
      </c>
      <c r="AB447" s="10" t="s">
        <v>1005</v>
      </c>
      <c r="AC447" s="10" t="str">
        <f>SUBSTITUTE(SUBSTITUTE(PROPERTIES[[#This Row],[PURCHASECOST_VALUE]], "PURCHASECOST_", ""), "_VALUE", "")</f>
        <v>ELECTRICENGINE</v>
      </c>
      <c r="AD447" s="2" t="b">
        <v>0</v>
      </c>
      <c r="AV447"/>
      <c r="AW447"/>
      <c r="AX447"/>
    </row>
    <row r="448" spans="1:50">
      <c r="A448" s="2" t="s">
        <v>473</v>
      </c>
      <c r="B448">
        <v>1967</v>
      </c>
      <c r="C448">
        <v>0</v>
      </c>
      <c r="D448" t="s">
        <v>1910</v>
      </c>
      <c r="E448" t="str">
        <f>_xlfn.XLOOKUP(PROPERTIES[[#This Row],[COUNTRY]],COUNTRIES[COUNTRY_DESCRIPTION],COUNTRIES[COUNTRY_LABEL],"")</f>
        <v>JP</v>
      </c>
      <c r="F448" t="s">
        <v>74</v>
      </c>
      <c r="G448" t="s">
        <v>20</v>
      </c>
      <c r="H448">
        <v>0</v>
      </c>
      <c r="I448">
        <v>7</v>
      </c>
      <c r="J448">
        <v>7</v>
      </c>
      <c r="K448" s="2" t="s">
        <v>24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4">
        <v>101</v>
      </c>
      <c r="P448">
        <v>3420</v>
      </c>
      <c r="Q448">
        <v>110</v>
      </c>
      <c r="R448" s="31">
        <v>0</v>
      </c>
      <c r="S448" s="30">
        <f>IFERROR(PROPERTIES[[#This Row],[TE_STARTING_KN]]/(PROPERTIES[[#This Row],[WEIGHT]]*9.81),0)</f>
        <v>0</v>
      </c>
      <c r="T448" s="30">
        <v>0.28999999999999998</v>
      </c>
      <c r="U448" s="27">
        <f>ROUND(IF(IFERROR(PROPERTIES[[#This Row],[TE_COEFFICIENT_CALC]],0)=0,PROPERTIES[[#This Row],[TE_COEFFICIENT_MANUAL]],PROPERTIES[[#This Row],[TE_COEFFICIENT_CALC]]),3)</f>
        <v>0.28999999999999998</v>
      </c>
      <c r="V448" s="6">
        <v>40</v>
      </c>
      <c r="W448" s="10">
        <v>0</v>
      </c>
      <c r="X448" s="10">
        <v>0</v>
      </c>
      <c r="Y448" s="10"/>
      <c r="Z448" t="str">
        <f>"RUNNING_COST_"&amp;IF(PROPERTIES[[#This Row],[ENGINE_CLASS]]="MAGLEV","ELECTRIC",PROPERTIES[[#This Row],[ENGINE_CLASS]])</f>
        <v>RUNNING_COST_ELECTRIC</v>
      </c>
      <c r="AA448" s="10" t="s">
        <v>1004</v>
      </c>
      <c r="AB448" s="10" t="s">
        <v>1005</v>
      </c>
      <c r="AC448" s="10" t="str">
        <f>SUBSTITUTE(SUBSTITUTE(PROPERTIES[[#This Row],[PURCHASECOST_VALUE]], "PURCHASECOST_", ""), "_VALUE", "")</f>
        <v>ELECTRICENGINE</v>
      </c>
      <c r="AD448" s="2" t="b">
        <v>0</v>
      </c>
      <c r="AV448"/>
      <c r="AW448"/>
      <c r="AX448"/>
    </row>
    <row r="449" spans="1:50">
      <c r="A449" s="2" t="s">
        <v>474</v>
      </c>
      <c r="B449">
        <v>1993</v>
      </c>
      <c r="C449">
        <v>0</v>
      </c>
      <c r="D449" t="s">
        <v>1873</v>
      </c>
      <c r="E449" t="str">
        <f>_xlfn.XLOOKUP(PROPERTIES[[#This Row],[COUNTRY]],COUNTRIES[COUNTRY_DESCRIPTION],COUNTRIES[COUNTRY_LABEL],"")</f>
        <v>GB</v>
      </c>
      <c r="F449" t="s">
        <v>74</v>
      </c>
      <c r="G449" t="s">
        <v>20</v>
      </c>
      <c r="H449">
        <v>0</v>
      </c>
      <c r="I449">
        <v>8</v>
      </c>
      <c r="J449">
        <v>8</v>
      </c>
      <c r="K449" s="2" t="s">
        <v>20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4">
        <v>126</v>
      </c>
      <c r="P449">
        <v>6760</v>
      </c>
      <c r="Q449">
        <v>140</v>
      </c>
      <c r="R449" s="31">
        <v>360</v>
      </c>
      <c r="S449" s="30">
        <f>IFERROR(PROPERTIES[[#This Row],[TE_STARTING_KN]]/(PROPERTIES[[#This Row],[WEIGHT]]*9.81),0)</f>
        <v>0.29124799767001597</v>
      </c>
      <c r="T449" s="30">
        <v>0.28999999999999998</v>
      </c>
      <c r="U449" s="27">
        <f>ROUND(IF(IFERROR(PROPERTIES[[#This Row],[TE_COEFFICIENT_CALC]],0)=0,PROPERTIES[[#This Row],[TE_COEFFICIENT_MANUAL]],PROPERTIES[[#This Row],[TE_COEFFICIENT_CALC]]),3)</f>
        <v>0.29099999999999998</v>
      </c>
      <c r="V449" s="6">
        <v>40</v>
      </c>
      <c r="W449" s="10">
        <v>0</v>
      </c>
      <c r="X449" s="10">
        <v>0</v>
      </c>
      <c r="Y449" s="10"/>
      <c r="Z449" t="str">
        <f>"RUNNING_COST_"&amp;IF(PROPERTIES[[#This Row],[ENGINE_CLASS]]="MAGLEV","ELECTRIC",PROPERTIES[[#This Row],[ENGINE_CLASS]])</f>
        <v>RUNNING_COST_ELECTRIC</v>
      </c>
      <c r="AA449" s="10" t="s">
        <v>1004</v>
      </c>
      <c r="AB449" s="10" t="s">
        <v>1005</v>
      </c>
      <c r="AC449" s="10" t="str">
        <f>SUBSTITUTE(SUBSTITUTE(PROPERTIES[[#This Row],[PURCHASECOST_VALUE]], "PURCHASECOST_", ""), "_VALUE", "")</f>
        <v>ELECTRICENGINE</v>
      </c>
      <c r="AD449" s="2" t="b">
        <v>0</v>
      </c>
      <c r="AV449"/>
      <c r="AW449"/>
      <c r="AX449"/>
    </row>
    <row r="450" spans="1:50">
      <c r="A450" s="2" t="s">
        <v>475</v>
      </c>
      <c r="B450">
        <v>2012</v>
      </c>
      <c r="C450">
        <v>0</v>
      </c>
      <c r="D450" t="s">
        <v>2029</v>
      </c>
      <c r="E450" t="str">
        <f>_xlfn.XLOOKUP(PROPERTIES[[#This Row],[COUNTRY]],COUNTRIES[COUNTRY_DESCRIPTION],COUNTRIES[COUNTRY_LABEL],"")</f>
        <v>US</v>
      </c>
      <c r="F450" t="s">
        <v>74</v>
      </c>
      <c r="G450" t="s">
        <v>20</v>
      </c>
      <c r="H450">
        <v>0</v>
      </c>
      <c r="I450">
        <v>8</v>
      </c>
      <c r="J450">
        <v>8</v>
      </c>
      <c r="K450" s="2" t="s">
        <v>20</v>
      </c>
      <c r="L450">
        <f>_xlfn.XLOOKUP("LOADINGSPEEDDEF_"&amp;PROPERTIES[[#This Row],[LOADINGSPEED]],LOADINGSPEEDDEF[TYPE],LOADINGSPEEDDEF[SPEED])</f>
        <v>0</v>
      </c>
      <c r="M450" t="s">
        <v>21</v>
      </c>
      <c r="N450">
        <v>1</v>
      </c>
      <c r="O450" s="34">
        <v>98</v>
      </c>
      <c r="P450">
        <v>6700</v>
      </c>
      <c r="Q450">
        <v>201</v>
      </c>
      <c r="R450" s="31">
        <v>320</v>
      </c>
      <c r="S450" s="30">
        <f>IFERROR(PROPERTIES[[#This Row],[TE_STARTING_KN]]/(PROPERTIES[[#This Row],[WEIGHT]]*9.81),0)</f>
        <v>0.33285485448001834</v>
      </c>
      <c r="T450" s="30">
        <v>0.33</v>
      </c>
      <c r="U450" s="27">
        <f>ROUND(IF(IFERROR(PROPERTIES[[#This Row],[TE_COEFFICIENT_CALC]],0)=0,PROPERTIES[[#This Row],[TE_COEFFICIENT_MANUAL]],PROPERTIES[[#This Row],[TE_COEFFICIENT_CALC]]),3)</f>
        <v>0.33300000000000002</v>
      </c>
      <c r="V450" s="6">
        <v>40</v>
      </c>
      <c r="W450" s="10">
        <v>0</v>
      </c>
      <c r="X450" s="10">
        <v>0</v>
      </c>
      <c r="Y450" s="10"/>
      <c r="Z450" t="str">
        <f>"RUNNING_COST_"&amp;IF(PROPERTIES[[#This Row],[ENGINE_CLASS]]="MAGLEV","ELECTRIC",PROPERTIES[[#This Row],[ENGINE_CLASS]])</f>
        <v>RUNNING_COST_ELECTRIC</v>
      </c>
      <c r="AA450" s="10" t="s">
        <v>1004</v>
      </c>
      <c r="AB450" s="10" t="s">
        <v>1005</v>
      </c>
      <c r="AC450" s="10" t="str">
        <f>SUBSTITUTE(SUBSTITUTE(PROPERTIES[[#This Row],[PURCHASECOST_VALUE]], "PURCHASECOST_", ""), "_VALUE", "")</f>
        <v>ELECTRICENGINE</v>
      </c>
      <c r="AD450" s="2" t="b">
        <v>0</v>
      </c>
      <c r="AV450"/>
      <c r="AW450"/>
      <c r="AX450"/>
    </row>
    <row r="451" spans="1:50">
      <c r="A451" s="2" t="s">
        <v>476</v>
      </c>
      <c r="B451">
        <v>1964</v>
      </c>
      <c r="C451">
        <v>0</v>
      </c>
      <c r="D451" t="s">
        <v>1872</v>
      </c>
      <c r="E451" t="str">
        <f>_xlfn.XLOOKUP(PROPERTIES[[#This Row],[COUNTRY]],COUNTRIES[COUNTRY_DESCRIPTION],COUNTRIES[COUNTRY_LABEL],"")</f>
        <v>FR</v>
      </c>
      <c r="F451" t="s">
        <v>74</v>
      </c>
      <c r="G451" t="s">
        <v>20</v>
      </c>
      <c r="H451">
        <v>0</v>
      </c>
      <c r="I451">
        <v>8</v>
      </c>
      <c r="J451">
        <v>8</v>
      </c>
      <c r="K451" s="2" t="s">
        <v>20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4">
        <v>97</v>
      </c>
      <c r="P451">
        <v>4920</v>
      </c>
      <c r="Q451">
        <v>240</v>
      </c>
      <c r="R451" s="31">
        <v>210</v>
      </c>
      <c r="S451" s="30">
        <f>IFERROR(PROPERTIES[[#This Row],[TE_STARTING_KN]]/(PROPERTIES[[#This Row],[WEIGHT]]*9.81),0)</f>
        <v>0.22068791576026986</v>
      </c>
      <c r="T451" s="30">
        <v>0.21</v>
      </c>
      <c r="U451" s="27">
        <f>ROUND(IF(IFERROR(PROPERTIES[[#This Row],[TE_COEFFICIENT_CALC]],0)=0,PROPERTIES[[#This Row],[TE_COEFFICIENT_MANUAL]],PROPERTIES[[#This Row],[TE_COEFFICIENT_CALC]]),3)</f>
        <v>0.221</v>
      </c>
      <c r="V451" s="6">
        <v>40</v>
      </c>
      <c r="W451" s="10">
        <v>0</v>
      </c>
      <c r="X451" s="10">
        <v>0</v>
      </c>
      <c r="Y451" s="10"/>
      <c r="Z451" t="str">
        <f>"RUNNING_COST_"&amp;IF(PROPERTIES[[#This Row],[ENGINE_CLASS]]="MAGLEV","ELECTRIC",PROPERTIES[[#This Row],[ENGINE_CLASS]])</f>
        <v>RUNNING_COST_ELECTRIC</v>
      </c>
      <c r="AA451" s="10" t="s">
        <v>1004</v>
      </c>
      <c r="AB451" s="10" t="s">
        <v>1005</v>
      </c>
      <c r="AC451" s="10" t="str">
        <f>SUBSTITUTE(SUBSTITUTE(PROPERTIES[[#This Row],[PURCHASECOST_VALUE]], "PURCHASECOST_", ""), "_VALUE", "")</f>
        <v>ELECTRICENGINE</v>
      </c>
      <c r="AD451" s="2" t="b">
        <v>0</v>
      </c>
      <c r="AV451"/>
      <c r="AW451"/>
      <c r="AX451"/>
    </row>
    <row r="452" spans="1:50">
      <c r="A452" s="2" t="s">
        <v>477</v>
      </c>
      <c r="B452">
        <v>1997</v>
      </c>
      <c r="C452">
        <v>0</v>
      </c>
      <c r="D452" t="s">
        <v>1817</v>
      </c>
      <c r="E452" t="str">
        <f>_xlfn.XLOOKUP(PROPERTIES[[#This Row],[COUNTRY]],COUNTRIES[COUNTRY_DESCRIPTION],COUNTRIES[COUNTRY_LABEL],"")</f>
        <v>BE</v>
      </c>
      <c r="F452" t="s">
        <v>74</v>
      </c>
      <c r="G452" t="s">
        <v>20</v>
      </c>
      <c r="H452">
        <v>0</v>
      </c>
      <c r="I452">
        <v>8</v>
      </c>
      <c r="J452">
        <v>8</v>
      </c>
      <c r="K452" s="2" t="s">
        <v>20</v>
      </c>
      <c r="L452">
        <f>_xlfn.XLOOKUP("LOADINGSPEEDDEF_"&amp;PROPERTIES[[#This Row],[LOADINGSPEED]],LOADINGSPEEDDEF[TYPE],LOADINGSPEEDDEF[SPEED])</f>
        <v>0</v>
      </c>
      <c r="M452" t="s">
        <v>21</v>
      </c>
      <c r="N452">
        <v>1</v>
      </c>
      <c r="O452" s="34">
        <v>90</v>
      </c>
      <c r="P452">
        <v>6968</v>
      </c>
      <c r="Q452">
        <v>200</v>
      </c>
      <c r="R452" s="31">
        <v>288</v>
      </c>
      <c r="S452" s="30">
        <f>IFERROR(PROPERTIES[[#This Row],[TE_STARTING_KN]]/(PROPERTIES[[#This Row],[WEIGHT]]*9.81),0)</f>
        <v>0.3261977573904179</v>
      </c>
      <c r="T452" s="30">
        <v>0.32</v>
      </c>
      <c r="U452" s="27">
        <f>ROUND(IF(IFERROR(PROPERTIES[[#This Row],[TE_COEFFICIENT_CALC]],0)=0,PROPERTIES[[#This Row],[TE_COEFFICIENT_MANUAL]],PROPERTIES[[#This Row],[TE_COEFFICIENT_CALC]]),3)</f>
        <v>0.32600000000000001</v>
      </c>
      <c r="V452" s="6">
        <v>40</v>
      </c>
      <c r="W452" s="10">
        <v>0</v>
      </c>
      <c r="X452" s="10">
        <v>0</v>
      </c>
      <c r="Y452" s="10"/>
      <c r="Z452" t="str">
        <f>"RUNNING_COST_"&amp;IF(PROPERTIES[[#This Row],[ENGINE_CLASS]]="MAGLEV","ELECTRIC",PROPERTIES[[#This Row],[ENGINE_CLASS]])</f>
        <v>RUNNING_COST_ELECTRIC</v>
      </c>
      <c r="AA452" s="10" t="s">
        <v>1004</v>
      </c>
      <c r="AB452" s="10" t="s">
        <v>1005</v>
      </c>
      <c r="AC452" s="10" t="str">
        <f>SUBSTITUTE(SUBSTITUTE(PROPERTIES[[#This Row],[PURCHASECOST_VALUE]], "PURCHASECOST_", ""), "_VALUE", "")</f>
        <v>ELECTRICENGINE</v>
      </c>
      <c r="AD452" s="2" t="b">
        <v>0</v>
      </c>
      <c r="AV452"/>
      <c r="AW452"/>
      <c r="AX452"/>
    </row>
    <row r="453" spans="1:50">
      <c r="A453" s="2" t="s">
        <v>478</v>
      </c>
      <c r="B453">
        <v>1932</v>
      </c>
      <c r="C453">
        <v>1</v>
      </c>
      <c r="D453" t="s">
        <v>1854</v>
      </c>
      <c r="E453" t="str">
        <f>_xlfn.XLOOKUP(PROPERTIES[[#This Row],[COUNTRY]],COUNTRIES[COUNTRY_DESCRIPTION],COUNTRIES[COUNTRY_LABEL],"")</f>
        <v>DE</v>
      </c>
      <c r="F453" t="s">
        <v>35</v>
      </c>
      <c r="G453" t="s">
        <v>18</v>
      </c>
      <c r="H453">
        <f>110/2</f>
        <v>55</v>
      </c>
      <c r="I453">
        <v>8</v>
      </c>
      <c r="J453">
        <v>8</v>
      </c>
      <c r="K453" s="2" t="s">
        <v>479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4">
        <f>85/2</f>
        <v>42.5</v>
      </c>
      <c r="P453">
        <v>810</v>
      </c>
      <c r="Q453">
        <v>160</v>
      </c>
      <c r="R453" s="31">
        <f>53/2</f>
        <v>26.5</v>
      </c>
      <c r="S453" s="30">
        <f>IFERROR(PROPERTIES[[#This Row],[TE_STARTING_KN]]/(PROPERTIES[[#This Row],[WEIGHT]]*9.81),0)</f>
        <v>6.3560592432691729E-2</v>
      </c>
      <c r="T453" s="30">
        <v>0.19</v>
      </c>
      <c r="U453" s="27">
        <f>ROUND(IF(IFERROR(PROPERTIES[[#This Row],[TE_COEFFICIENT_CALC]],0)=0,PROPERTIES[[#This Row],[TE_COEFFICIENT_MANUAL]],PROPERTIES[[#This Row],[TE_COEFFICIENT_CALC]]),3)</f>
        <v>6.4000000000000001E-2</v>
      </c>
      <c r="V453" s="6">
        <v>25</v>
      </c>
      <c r="W453" s="10">
        <f>INT(139/2)</f>
        <v>69</v>
      </c>
      <c r="X453" s="10">
        <v>8</v>
      </c>
      <c r="Y453" s="10"/>
      <c r="Z453" t="str">
        <f>"RUNNING_COST_"&amp;IF(PROPERTIES[[#This Row],[ENGINE_CLASS]]="MAGLEV","ELECTRIC",PROPERTIES[[#This Row],[ENGINE_CLASS]])</f>
        <v>RUNNING_COST_DIESEL</v>
      </c>
      <c r="AA453" s="10" t="s">
        <v>1006</v>
      </c>
      <c r="AB453" s="10" t="s">
        <v>1007</v>
      </c>
      <c r="AC453" s="10" t="str">
        <f>SUBSTITUTE(SUBSTITUTE(PROPERTIES[[#This Row],[PURCHASECOST_VALUE]], "PURCHASECOST_", ""), "_VALUE", "")</f>
        <v>DMU</v>
      </c>
      <c r="AD453" s="2" t="b">
        <v>0</v>
      </c>
      <c r="AV453"/>
      <c r="AW453"/>
      <c r="AX453"/>
    </row>
    <row r="454" spans="1:50">
      <c r="A454" s="2" t="s">
        <v>480</v>
      </c>
      <c r="B454">
        <v>1937</v>
      </c>
      <c r="C454">
        <v>1</v>
      </c>
      <c r="D454" t="s">
        <v>1810</v>
      </c>
      <c r="E454" t="str">
        <f>_xlfn.XLOOKUP(PROPERTIES[[#This Row],[COUNTRY]],COUNTRIES[COUNTRY_DESCRIPTION],COUNTRIES[COUNTRY_LABEL],"")</f>
        <v>AU</v>
      </c>
      <c r="F454" t="s">
        <v>35</v>
      </c>
      <c r="G454" t="s">
        <v>18</v>
      </c>
      <c r="H454">
        <v>0</v>
      </c>
      <c r="I454">
        <v>7</v>
      </c>
      <c r="J454">
        <v>7</v>
      </c>
      <c r="K454" s="2" t="s">
        <v>479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4">
        <f>64/2</f>
        <v>32</v>
      </c>
      <c r="P454">
        <v>660</v>
      </c>
      <c r="Q454">
        <v>160</v>
      </c>
      <c r="R454" s="31">
        <f>85/2</f>
        <v>42.5</v>
      </c>
      <c r="S454" s="30">
        <f>IFERROR(PROPERTIES[[#This Row],[TE_STARTING_KN]]/(PROPERTIES[[#This Row],[WEIGHT]]*9.81),0)</f>
        <v>0.13538481141692149</v>
      </c>
      <c r="T454" s="30">
        <v>0.2</v>
      </c>
      <c r="U454" s="27">
        <f>ROUND(IF(IFERROR(PROPERTIES[[#This Row],[TE_COEFFICIENT_CALC]],0)=0,PROPERTIES[[#This Row],[TE_COEFFICIENT_MANUAL]],PROPERTIES[[#This Row],[TE_COEFFICIENT_CALC]]),3)</f>
        <v>0.13500000000000001</v>
      </c>
      <c r="V454" s="6">
        <v>25</v>
      </c>
      <c r="W454" s="10">
        <v>60</v>
      </c>
      <c r="X454" s="10">
        <v>7</v>
      </c>
      <c r="Y454" s="10">
        <v>45</v>
      </c>
      <c r="Z454" t="str">
        <f>"RUNNING_COST_"&amp;IF(PROPERTIES[[#This Row],[ENGINE_CLASS]]="MAGLEV","ELECTRIC",PROPERTIES[[#This Row],[ENGINE_CLASS]])</f>
        <v>RUNNING_COST_DIESEL</v>
      </c>
      <c r="AA454" s="10" t="s">
        <v>1006</v>
      </c>
      <c r="AB454" s="10" t="s">
        <v>1007</v>
      </c>
      <c r="AC454" s="10" t="str">
        <f>SUBSTITUTE(SUBSTITUTE(PROPERTIES[[#This Row],[PURCHASECOST_VALUE]], "PURCHASECOST_", ""), "_VALUE", "")</f>
        <v>DMU</v>
      </c>
      <c r="AD454" s="2" t="b">
        <v>0</v>
      </c>
      <c r="AV454"/>
      <c r="AW454"/>
      <c r="AX454"/>
    </row>
    <row r="455" spans="1:50">
      <c r="A455" s="2" t="s">
        <v>481</v>
      </c>
      <c r="B455">
        <v>1948</v>
      </c>
      <c r="C455">
        <v>1</v>
      </c>
      <c r="D455" t="s">
        <v>1853</v>
      </c>
      <c r="E455" t="str">
        <f>_xlfn.XLOOKUP(PROPERTIES[[#This Row],[COUNTRY]],COUNTRIES[COUNTRY_DESCRIPTION],COUNTRIES[COUNTRY_LABEL],"")</f>
        <v>CZ</v>
      </c>
      <c r="F455" t="s">
        <v>35</v>
      </c>
      <c r="G455" t="s">
        <v>18</v>
      </c>
      <c r="H455">
        <v>60</v>
      </c>
      <c r="I455">
        <v>6</v>
      </c>
      <c r="J455">
        <v>6</v>
      </c>
      <c r="K455" s="2" t="s">
        <v>479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4">
        <f>16.6/2</f>
        <v>8.3000000000000007</v>
      </c>
      <c r="P455">
        <v>152</v>
      </c>
      <c r="Q455">
        <v>60</v>
      </c>
      <c r="R455" s="31">
        <f>29/2</f>
        <v>14.5</v>
      </c>
      <c r="S455" s="30">
        <f>IFERROR(PROPERTIES[[#This Row],[TE_STARTING_KN]]/(PROPERTIES[[#This Row],[WEIGHT]]*9.81),0)</f>
        <v>0.17808236002112421</v>
      </c>
      <c r="T455" s="30">
        <v>0.21</v>
      </c>
      <c r="U455" s="27">
        <f>ROUND(IF(IFERROR(PROPERTIES[[#This Row],[TE_COEFFICIENT_CALC]],0)=0,PROPERTIES[[#This Row],[TE_COEFFICIENT_MANUAL]],PROPERTIES[[#This Row],[TE_COEFFICIENT_CALC]]),3)</f>
        <v>0.17799999999999999</v>
      </c>
      <c r="V455" s="6">
        <v>25</v>
      </c>
      <c r="W455" s="10">
        <v>69</v>
      </c>
      <c r="X455" s="10">
        <v>6</v>
      </c>
      <c r="Y455" s="10"/>
      <c r="Z455" t="str">
        <f>"RUNNING_COST_"&amp;IF(PROPERTIES[[#This Row],[ENGINE_CLASS]]="MAGLEV","ELECTRIC",PROPERTIES[[#This Row],[ENGINE_CLASS]])</f>
        <v>RUNNING_COST_DIESEL</v>
      </c>
      <c r="AA455" s="10" t="s">
        <v>1006</v>
      </c>
      <c r="AB455" s="10" t="s">
        <v>1007</v>
      </c>
      <c r="AC455" s="10" t="str">
        <f>SUBSTITUTE(SUBSTITUTE(PROPERTIES[[#This Row],[PURCHASECOST_VALUE]], "PURCHASECOST_", ""), "_VALUE", "")</f>
        <v>DMU</v>
      </c>
      <c r="AD455" s="2" t="b">
        <v>0</v>
      </c>
      <c r="AV455"/>
      <c r="AW455"/>
      <c r="AX455"/>
    </row>
    <row r="456" spans="1:50">
      <c r="A456" s="2" t="s">
        <v>482</v>
      </c>
      <c r="B456">
        <v>1952</v>
      </c>
      <c r="C456">
        <v>1</v>
      </c>
      <c r="D456" t="s">
        <v>2046</v>
      </c>
      <c r="E456" t="str">
        <f>_xlfn.XLOOKUP(PROPERTIES[[#This Row],[COUNTRY]],COUNTRIES[COUNTRY_DESCRIPTION],COUNTRIES[COUNTRY_LABEL],"")</f>
        <v>GDR</v>
      </c>
      <c r="F456" t="s">
        <v>35</v>
      </c>
      <c r="G456" t="s">
        <v>18</v>
      </c>
      <c r="H456">
        <f>108/2</f>
        <v>54</v>
      </c>
      <c r="I456">
        <v>8</v>
      </c>
      <c r="J456">
        <v>8</v>
      </c>
      <c r="K456" s="2" t="s">
        <v>479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4">
        <f>121/3</f>
        <v>40.333333333333336</v>
      </c>
      <c r="P456">
        <v>986</v>
      </c>
      <c r="Q456">
        <v>140</v>
      </c>
      <c r="R456" s="31">
        <f>105/2</f>
        <v>52.5</v>
      </c>
      <c r="S456" s="30">
        <f>IFERROR(PROPERTIES[[#This Row],[TE_STARTING_KN]]/(PROPERTIES[[#This Row],[WEIGHT]]*9.81),0)</f>
        <v>0.13268632951702175</v>
      </c>
      <c r="T456" s="30">
        <v>0.2</v>
      </c>
      <c r="U456" s="27">
        <f>ROUND(IF(IFERROR(PROPERTIES[[#This Row],[TE_COEFFICIENT_CALC]],0)=0,PROPERTIES[[#This Row],[TE_COEFFICIENT_MANUAL]],PROPERTIES[[#This Row],[TE_COEFFICIENT_CALC]]),3)</f>
        <v>0.13300000000000001</v>
      </c>
      <c r="V456" s="6">
        <v>25</v>
      </c>
      <c r="W456" s="10">
        <f>INT(108/3)</f>
        <v>36</v>
      </c>
      <c r="X456" s="10">
        <v>8</v>
      </c>
      <c r="Y456" s="10"/>
      <c r="Z456" t="str">
        <f>"RUNNING_COST_"&amp;IF(PROPERTIES[[#This Row],[ENGINE_CLASS]]="MAGLEV","ELECTRIC",PROPERTIES[[#This Row],[ENGINE_CLASS]])</f>
        <v>RUNNING_COST_DIESEL</v>
      </c>
      <c r="AA456" s="10" t="s">
        <v>1006</v>
      </c>
      <c r="AB456" s="10" t="s">
        <v>1007</v>
      </c>
      <c r="AC456" s="10" t="str">
        <f>SUBSTITUTE(SUBSTITUTE(PROPERTIES[[#This Row],[PURCHASECOST_VALUE]], "PURCHASECOST_", ""), "_VALUE", "")</f>
        <v>DMU</v>
      </c>
      <c r="AD456" s="2" t="b">
        <v>0</v>
      </c>
      <c r="AV456"/>
      <c r="AW456"/>
      <c r="AX456"/>
    </row>
    <row r="457" spans="1:50">
      <c r="A457" s="2" t="s">
        <v>483</v>
      </c>
      <c r="B457">
        <v>1955</v>
      </c>
      <c r="C457">
        <v>1</v>
      </c>
      <c r="D457" t="s">
        <v>1810</v>
      </c>
      <c r="E457" t="str">
        <f>_xlfn.XLOOKUP(PROPERTIES[[#This Row],[COUNTRY]],COUNTRIES[COUNTRY_DESCRIPTION],COUNTRIES[COUNTRY_LABEL],"")</f>
        <v>AU</v>
      </c>
      <c r="F457" t="s">
        <v>35</v>
      </c>
      <c r="G457" t="s">
        <v>18</v>
      </c>
      <c r="H457">
        <v>80</v>
      </c>
      <c r="I457">
        <v>8</v>
      </c>
      <c r="J457">
        <v>8</v>
      </c>
      <c r="K457" s="2" t="s">
        <v>479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4">
        <f>40.7/2</f>
        <v>20.350000000000001</v>
      </c>
      <c r="P457">
        <v>220</v>
      </c>
      <c r="Q457">
        <v>88</v>
      </c>
      <c r="R457" s="31">
        <f>58/2</f>
        <v>29</v>
      </c>
      <c r="S457" s="30">
        <f>IFERROR(PROPERTIES[[#This Row],[TE_STARTING_KN]]/(PROPERTIES[[#This Row],[WEIGHT]]*9.81),0)</f>
        <v>0.14526620031207185</v>
      </c>
      <c r="T457" s="30">
        <v>0.18</v>
      </c>
      <c r="U457" s="27">
        <f>ROUND(IF(IFERROR(PROPERTIES[[#This Row],[TE_COEFFICIENT_CALC]],0)=0,PROPERTIES[[#This Row],[TE_COEFFICIENT_MANUAL]],PROPERTIES[[#This Row],[TE_COEFFICIENT_CALC]]),3)</f>
        <v>0.14499999999999999</v>
      </c>
      <c r="V457" s="6">
        <v>25</v>
      </c>
      <c r="W457" s="10">
        <v>80</v>
      </c>
      <c r="X457" s="10">
        <v>8</v>
      </c>
      <c r="Y457" s="10"/>
      <c r="Z457" t="str">
        <f>"RUNNING_COST_"&amp;IF(PROPERTIES[[#This Row],[ENGINE_CLASS]]="MAGLEV","ELECTRIC",PROPERTIES[[#This Row],[ENGINE_CLASS]])</f>
        <v>RUNNING_COST_DIESEL</v>
      </c>
      <c r="AA457" s="10" t="s">
        <v>1006</v>
      </c>
      <c r="AB457" s="10" t="s">
        <v>1007</v>
      </c>
      <c r="AC457" s="10" t="str">
        <f>SUBSTITUTE(SUBSTITUTE(PROPERTIES[[#This Row],[PURCHASECOST_VALUE]], "PURCHASECOST_", ""), "_VALUE", "")</f>
        <v>DMU</v>
      </c>
      <c r="AD457" s="2" t="b">
        <v>0</v>
      </c>
      <c r="AV457"/>
      <c r="AW457"/>
      <c r="AX457"/>
    </row>
    <row r="458" spans="1:50">
      <c r="A458" s="2" t="s">
        <v>484</v>
      </c>
      <c r="B458">
        <v>1957</v>
      </c>
      <c r="C458">
        <v>1</v>
      </c>
      <c r="D458" t="s">
        <v>2046</v>
      </c>
      <c r="E458" t="str">
        <f>_xlfn.XLOOKUP(PROPERTIES[[#This Row],[COUNTRY]],COUNTRIES[COUNTRY_DESCRIPTION],COUNTRIES[COUNTRY_LABEL],"")</f>
        <v>GDR</v>
      </c>
      <c r="F458" t="s">
        <v>35</v>
      </c>
      <c r="G458" t="s">
        <v>18</v>
      </c>
      <c r="H458">
        <v>24</v>
      </c>
      <c r="I458">
        <v>8</v>
      </c>
      <c r="J458">
        <v>8</v>
      </c>
      <c r="K458" s="2" t="s">
        <v>479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4">
        <f>44.2/2</f>
        <v>22.1</v>
      </c>
      <c r="P458">
        <v>2200</v>
      </c>
      <c r="Q458">
        <v>160</v>
      </c>
      <c r="R458" s="31">
        <f>110/2</f>
        <v>55</v>
      </c>
      <c r="S458" s="30">
        <f>IFERROR(PROPERTIES[[#This Row],[TE_STARTING_KN]]/(PROPERTIES[[#This Row],[WEIGHT]]*9.81),0)</f>
        <v>0.25368886674876961</v>
      </c>
      <c r="T458" s="30">
        <v>0.18</v>
      </c>
      <c r="U458" s="27">
        <f>ROUND(IF(IFERROR(PROPERTIES[[#This Row],[TE_COEFFICIENT_CALC]],0)=0,PROPERTIES[[#This Row],[TE_COEFFICIENT_MANUAL]],PROPERTIES[[#This Row],[TE_COEFFICIENT_CALC]]),3)</f>
        <v>0.254</v>
      </c>
      <c r="V458" s="6">
        <v>25</v>
      </c>
      <c r="W458" s="10">
        <v>34</v>
      </c>
      <c r="X458" s="10">
        <v>8</v>
      </c>
      <c r="Y458" s="10"/>
      <c r="Z458" t="str">
        <f>"RUNNING_COST_"&amp;IF(PROPERTIES[[#This Row],[ENGINE_CLASS]]="MAGLEV","ELECTRIC",PROPERTIES[[#This Row],[ENGINE_CLASS]])</f>
        <v>RUNNING_COST_DIESEL</v>
      </c>
      <c r="AA458" s="10" t="s">
        <v>1006</v>
      </c>
      <c r="AB458" s="10" t="s">
        <v>1007</v>
      </c>
      <c r="AC458" s="10" t="str">
        <f>SUBSTITUTE(SUBSTITUTE(PROPERTIES[[#This Row],[PURCHASECOST_VALUE]], "PURCHASECOST_", ""), "_VALUE", "")</f>
        <v>DMU</v>
      </c>
      <c r="AD458" s="2" t="b">
        <v>0</v>
      </c>
      <c r="AV458"/>
      <c r="AW458"/>
      <c r="AX458"/>
    </row>
    <row r="459" spans="1:50">
      <c r="A459" s="2" t="s">
        <v>485</v>
      </c>
      <c r="B459">
        <v>1960</v>
      </c>
      <c r="C459">
        <v>1</v>
      </c>
      <c r="D459" t="s">
        <v>1962</v>
      </c>
      <c r="E459" t="str">
        <f>_xlfn.XLOOKUP(PROPERTIES[[#This Row],[COUNTRY]],COUNTRIES[COUNTRY_DESCRIPTION],COUNTRIES[COUNTRY_LABEL],"")</f>
        <v>NL</v>
      </c>
      <c r="F459" t="s">
        <v>35</v>
      </c>
      <c r="G459" t="s">
        <v>18</v>
      </c>
      <c r="H459">
        <v>64</v>
      </c>
      <c r="I459">
        <v>8</v>
      </c>
      <c r="J459">
        <v>8</v>
      </c>
      <c r="K459" s="2" t="s">
        <v>24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4">
        <f>136/3</f>
        <v>45.333333333333336</v>
      </c>
      <c r="P459">
        <v>987</v>
      </c>
      <c r="Q459">
        <v>125</v>
      </c>
      <c r="R459" s="31">
        <f>125/2</f>
        <v>62.5</v>
      </c>
      <c r="S459" s="30">
        <f>IFERROR(PROPERTIES[[#This Row],[TE_STARTING_KN]]/(PROPERTIES[[#This Row],[WEIGHT]]*9.81),0)</f>
        <v>0.14053786652275588</v>
      </c>
      <c r="T459" s="30">
        <v>0.21</v>
      </c>
      <c r="U459" s="27">
        <f>ROUND(IF(IFERROR(PROPERTIES[[#This Row],[TE_COEFFICIENT_CALC]],0)=0,PROPERTIES[[#This Row],[TE_COEFFICIENT_MANUAL]],PROPERTIES[[#This Row],[TE_COEFFICIENT_CALC]]),3)</f>
        <v>0.14099999999999999</v>
      </c>
      <c r="V459" s="6">
        <v>25</v>
      </c>
      <c r="W459" s="10">
        <f>INT((168+24)/2)</f>
        <v>96</v>
      </c>
      <c r="X459" s="10">
        <v>8</v>
      </c>
      <c r="Y459" s="10"/>
      <c r="Z459" t="str">
        <f>"RUNNING_COST_"&amp;IF(PROPERTIES[[#This Row],[ENGINE_CLASS]]="MAGLEV","ELECTRIC",PROPERTIES[[#This Row],[ENGINE_CLASS]])</f>
        <v>RUNNING_COST_DIESEL</v>
      </c>
      <c r="AA459" s="10" t="s">
        <v>1006</v>
      </c>
      <c r="AB459" s="10" t="s">
        <v>1007</v>
      </c>
      <c r="AC459" s="10" t="str">
        <f>SUBSTITUTE(SUBSTITUTE(PROPERTIES[[#This Row],[PURCHASECOST_VALUE]], "PURCHASECOST_", ""), "_VALUE", "")</f>
        <v>DMU</v>
      </c>
      <c r="AD459" s="2" t="b">
        <v>0</v>
      </c>
      <c r="AV459"/>
      <c r="AW459"/>
      <c r="AX459"/>
    </row>
    <row r="460" spans="1:50">
      <c r="A460" s="2" t="s">
        <v>486</v>
      </c>
      <c r="B460">
        <v>1967</v>
      </c>
      <c r="C460">
        <v>1</v>
      </c>
      <c r="D460" t="s">
        <v>1835</v>
      </c>
      <c r="E460" t="str">
        <f>_xlfn.XLOOKUP(PROPERTIES[[#This Row],[COUNTRY]],COUNTRIES[COUNTRY_DESCRIPTION],COUNTRIES[COUNTRY_LABEL],"")</f>
        <v>CA</v>
      </c>
      <c r="F460" t="s">
        <v>35</v>
      </c>
      <c r="G460" t="s">
        <v>18</v>
      </c>
      <c r="H460">
        <v>46</v>
      </c>
      <c r="I460">
        <v>8</v>
      </c>
      <c r="J460">
        <v>8</v>
      </c>
      <c r="K460" s="2" t="s">
        <v>479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4">
        <f>INT(165/7)</f>
        <v>23</v>
      </c>
      <c r="P460">
        <v>2000</v>
      </c>
      <c r="Q460">
        <v>193</v>
      </c>
      <c r="R460" s="31">
        <f>80/2</f>
        <v>40</v>
      </c>
      <c r="S460" s="30">
        <f>IFERROR(PROPERTIES[[#This Row],[TE_STARTING_KN]]/(PROPERTIES[[#This Row],[WEIGHT]]*9.81),0)</f>
        <v>0.17728138988609668</v>
      </c>
      <c r="T460" s="30">
        <v>0.45</v>
      </c>
      <c r="U460" s="27">
        <f>ROUND(IF(IFERROR(PROPERTIES[[#This Row],[TE_COEFFICIENT_CALC]],0)=0,PROPERTIES[[#This Row],[TE_COEFFICIENT_MANUAL]],PROPERTIES[[#This Row],[TE_COEFFICIENT_CALC]]),3)</f>
        <v>0.17699999999999999</v>
      </c>
      <c r="V460" s="6">
        <v>25</v>
      </c>
      <c r="W460" s="10">
        <f>INT((322-(PROPERTIES[[#This Row],[HEAD_CAPACITY]]*2))/5)</f>
        <v>46</v>
      </c>
      <c r="X460" s="10">
        <v>8</v>
      </c>
      <c r="Y460" s="10">
        <v>50</v>
      </c>
      <c r="Z460" t="str">
        <f>"RUNNING_COST_"&amp;IF(PROPERTIES[[#This Row],[ENGINE_CLASS]]="MAGLEV","ELECTRIC",PROPERTIES[[#This Row],[ENGINE_CLASS]])</f>
        <v>RUNNING_COST_DIESEL</v>
      </c>
      <c r="AA460" s="10" t="s">
        <v>1006</v>
      </c>
      <c r="AB460" s="10" t="s">
        <v>1007</v>
      </c>
      <c r="AC460" s="10" t="str">
        <f>SUBSTITUTE(SUBSTITUTE(PROPERTIES[[#This Row],[PURCHASECOST_VALUE]], "PURCHASECOST_", ""), "_VALUE", "")</f>
        <v>DMU</v>
      </c>
      <c r="AD460" s="2" t="b">
        <v>1</v>
      </c>
      <c r="AV460"/>
      <c r="AW460"/>
      <c r="AX460"/>
    </row>
    <row r="461" spans="1:50">
      <c r="A461" s="2" t="s">
        <v>487</v>
      </c>
      <c r="B461">
        <v>1974</v>
      </c>
      <c r="C461">
        <v>1</v>
      </c>
      <c r="D461" t="s">
        <v>2049</v>
      </c>
      <c r="E461" t="str">
        <f>_xlfn.XLOOKUP(PROPERTIES[[#This Row],[COUNTRY]],COUNTRIES[COUNTRY_DESCRIPTION],COUNTRIES[COUNTRY_LABEL],"")</f>
        <v>YU</v>
      </c>
      <c r="F461" t="s">
        <v>35</v>
      </c>
      <c r="G461" t="s">
        <v>18</v>
      </c>
      <c r="H461">
        <v>38</v>
      </c>
      <c r="I461">
        <v>8</v>
      </c>
      <c r="J461">
        <v>8</v>
      </c>
      <c r="K461" s="2" t="s">
        <v>24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4">
        <f>42/2</f>
        <v>21</v>
      </c>
      <c r="P461">
        <v>620</v>
      </c>
      <c r="Q461">
        <v>118</v>
      </c>
      <c r="R461" s="31">
        <f>95/2</f>
        <v>47.5</v>
      </c>
      <c r="S461" s="30">
        <f>IFERROR(PROPERTIES[[#This Row],[TE_STARTING_KN]]/(PROPERTIES[[#This Row],[WEIGHT]]*9.81),0)</f>
        <v>0.23057133148876266</v>
      </c>
      <c r="T461" s="30">
        <v>0.2</v>
      </c>
      <c r="U461" s="27">
        <f>ROUND(IF(IFERROR(PROPERTIES[[#This Row],[TE_COEFFICIENT_CALC]],0)=0,PROPERTIES[[#This Row],[TE_COEFFICIENT_MANUAL]],PROPERTIES[[#This Row],[TE_COEFFICIENT_CALC]]),3)</f>
        <v>0.23100000000000001</v>
      </c>
      <c r="V461" s="6">
        <v>20</v>
      </c>
      <c r="W461" s="10">
        <v>38</v>
      </c>
      <c r="X461" s="10">
        <v>8</v>
      </c>
      <c r="Y461" s="10"/>
      <c r="Z461" t="str">
        <f>"RUNNING_COST_"&amp;IF(PROPERTIES[[#This Row],[ENGINE_CLASS]]="MAGLEV","ELECTRIC",PROPERTIES[[#This Row],[ENGINE_CLASS]])</f>
        <v>RUNNING_COST_DIESEL</v>
      </c>
      <c r="AA461" s="10" t="s">
        <v>1006</v>
      </c>
      <c r="AB461" s="10" t="s">
        <v>1007</v>
      </c>
      <c r="AC461" s="10" t="str">
        <f>SUBSTITUTE(SUBSTITUTE(PROPERTIES[[#This Row],[PURCHASECOST_VALUE]], "PURCHASECOST_", ""), "_VALUE", "")</f>
        <v>DMU</v>
      </c>
      <c r="AD461" s="2" t="b">
        <v>0</v>
      </c>
      <c r="AV461"/>
      <c r="AW461"/>
      <c r="AX461"/>
    </row>
    <row r="462" spans="1:50">
      <c r="A462" s="2" t="s">
        <v>488</v>
      </c>
      <c r="B462">
        <v>1976</v>
      </c>
      <c r="C462">
        <v>1</v>
      </c>
      <c r="D462" t="s">
        <v>1873</v>
      </c>
      <c r="E462" t="str">
        <f>_xlfn.XLOOKUP(PROPERTIES[[#This Row],[COUNTRY]],COUNTRIES[COUNTRY_DESCRIPTION],COUNTRIES[COUNTRY_LABEL],"")</f>
        <v>GB</v>
      </c>
      <c r="F462" t="s">
        <v>35</v>
      </c>
      <c r="G462" t="s">
        <v>18</v>
      </c>
      <c r="H462">
        <v>0</v>
      </c>
      <c r="I462">
        <v>8</v>
      </c>
      <c r="J462">
        <v>8</v>
      </c>
      <c r="K462" s="2" t="s">
        <v>479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4">
        <v>35</v>
      </c>
      <c r="P462">
        <f>2250*2</f>
        <v>4500</v>
      </c>
      <c r="Q462">
        <v>201</v>
      </c>
      <c r="R462" s="31">
        <f>178/2</f>
        <v>89</v>
      </c>
      <c r="S462" s="30">
        <f>IFERROR(PROPERTIES[[#This Row],[TE_STARTING_KN]]/(PROPERTIES[[#This Row],[WEIGHT]]*9.81),0)</f>
        <v>0.25921071792631423</v>
      </c>
      <c r="T462" s="30">
        <v>0.57999999999999996</v>
      </c>
      <c r="U462" s="27">
        <f>ROUND(IF(IFERROR(PROPERTIES[[#This Row],[TE_COEFFICIENT_CALC]],0)=0,PROPERTIES[[#This Row],[TE_COEFFICIENT_MANUAL]],PROPERTIES[[#This Row],[TE_COEFFICIENT_CALC]]),3)</f>
        <v>0.25900000000000001</v>
      </c>
      <c r="V462" s="6">
        <v>25</v>
      </c>
      <c r="W462" s="10">
        <v>74</v>
      </c>
      <c r="X462" s="10">
        <v>8</v>
      </c>
      <c r="Y462" s="10"/>
      <c r="Z462" t="str">
        <f>"RUNNING_COST_"&amp;IF(PROPERTIES[[#This Row],[ENGINE_CLASS]]="MAGLEV","ELECTRIC",PROPERTIES[[#This Row],[ENGINE_CLASS]])</f>
        <v>RUNNING_COST_DIESEL</v>
      </c>
      <c r="AA462" s="10" t="s">
        <v>1006</v>
      </c>
      <c r="AB462" s="10" t="s">
        <v>1007</v>
      </c>
      <c r="AC462" s="10" t="str">
        <f>SUBSTITUTE(SUBSTITUTE(PROPERTIES[[#This Row],[PURCHASECOST_VALUE]], "PURCHASECOST_", ""), "_VALUE", "")</f>
        <v>DMU</v>
      </c>
      <c r="AD462" s="2" t="b">
        <v>0</v>
      </c>
      <c r="AV462"/>
      <c r="AW462"/>
      <c r="AX462"/>
    </row>
    <row r="463" spans="1:50">
      <c r="A463" s="2" t="s">
        <v>489</v>
      </c>
      <c r="B463">
        <v>1980</v>
      </c>
      <c r="C463">
        <v>1</v>
      </c>
      <c r="D463" t="s">
        <v>1835</v>
      </c>
      <c r="E463" t="str">
        <f>_xlfn.XLOOKUP(PROPERTIES[[#This Row],[COUNTRY]],COUNTRIES[COUNTRY_DESCRIPTION],COUNTRIES[COUNTRY_LABEL],"")</f>
        <v>CA</v>
      </c>
      <c r="F463" t="s">
        <v>35</v>
      </c>
      <c r="G463" t="s">
        <v>18</v>
      </c>
      <c r="H463">
        <v>0</v>
      </c>
      <c r="I463">
        <v>8</v>
      </c>
      <c r="J463">
        <v>8</v>
      </c>
      <c r="K463" s="2" t="s">
        <v>479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4">
        <f>113/2</f>
        <v>56.5</v>
      </c>
      <c r="P463">
        <f>2700*2</f>
        <v>5400</v>
      </c>
      <c r="Q463">
        <v>153</v>
      </c>
      <c r="R463" s="31">
        <f>245/2</f>
        <v>122.5</v>
      </c>
      <c r="S463" s="30">
        <f>IFERROR(PROPERTIES[[#This Row],[TE_STARTING_KN]]/(PROPERTIES[[#This Row],[WEIGHT]]*9.81),0)</f>
        <v>0.22101341416109624</v>
      </c>
      <c r="T463" s="30">
        <v>0.2</v>
      </c>
      <c r="U463" s="27">
        <f>ROUND(IF(IFERROR(PROPERTIES[[#This Row],[TE_COEFFICIENT_CALC]],0)=0,PROPERTIES[[#This Row],[TE_COEFFICIENT_MANUAL]],PROPERTIES[[#This Row],[TE_COEFFICIENT_CALC]]),3)</f>
        <v>0.221</v>
      </c>
      <c r="V463" s="6">
        <v>25</v>
      </c>
      <c r="W463" s="10">
        <v>68</v>
      </c>
      <c r="X463" s="10">
        <v>8</v>
      </c>
      <c r="Y463" s="10">
        <v>55</v>
      </c>
      <c r="Z463" t="str">
        <f>"RUNNING_COST_"&amp;IF(PROPERTIES[[#This Row],[ENGINE_CLASS]]="MAGLEV","ELECTRIC",PROPERTIES[[#This Row],[ENGINE_CLASS]])</f>
        <v>RUNNING_COST_DIESEL</v>
      </c>
      <c r="AA463" s="10" t="s">
        <v>1006</v>
      </c>
      <c r="AB463" s="10" t="s">
        <v>1007</v>
      </c>
      <c r="AC463" s="10" t="str">
        <f>SUBSTITUTE(SUBSTITUTE(PROPERTIES[[#This Row],[PURCHASECOST_VALUE]], "PURCHASECOST_", ""), "_VALUE", "")</f>
        <v>DMU</v>
      </c>
      <c r="AD463" s="2" t="b">
        <v>0</v>
      </c>
      <c r="AV463"/>
      <c r="AW463"/>
      <c r="AX463"/>
    </row>
    <row r="464" spans="1:50">
      <c r="A464" s="2" t="s">
        <v>490</v>
      </c>
      <c r="B464">
        <v>1990</v>
      </c>
      <c r="C464">
        <v>1</v>
      </c>
      <c r="D464" t="s">
        <v>1993</v>
      </c>
      <c r="E464" t="str">
        <f>_xlfn.XLOOKUP(PROPERTIES[[#This Row],[COUNTRY]],COUNTRIES[COUNTRY_DESCRIPTION],COUNTRIES[COUNTRY_LABEL],"")</f>
        <v>SE</v>
      </c>
      <c r="F464" t="s">
        <v>35</v>
      </c>
      <c r="G464" t="s">
        <v>18</v>
      </c>
      <c r="H464">
        <v>48</v>
      </c>
      <c r="I464">
        <v>8</v>
      </c>
      <c r="J464">
        <v>8</v>
      </c>
      <c r="K464" s="2" t="s">
        <v>479</v>
      </c>
      <c r="L464">
        <f>_xlfn.XLOOKUP("LOADINGSPEEDDEF_"&amp;PROPERTIES[[#This Row],[LOADINGSPEED]],LOADINGSPEEDDEF[TYPE],LOADINGSPEEDDEF[SPEED])</f>
        <v>16</v>
      </c>
      <c r="M464" t="s">
        <v>21</v>
      </c>
      <c r="N464">
        <v>1</v>
      </c>
      <c r="O464" s="34">
        <f>INT(97/2)</f>
        <v>48</v>
      </c>
      <c r="P464">
        <f>1600*2</f>
        <v>3200</v>
      </c>
      <c r="Q464">
        <v>180</v>
      </c>
      <c r="R464" s="31">
        <f>115/2</f>
        <v>57.5</v>
      </c>
      <c r="S464" s="30">
        <f>IFERROR(PROPERTIES[[#This Row],[TE_STARTING_KN]]/(PROPERTIES[[#This Row],[WEIGHT]]*9.81),0)</f>
        <v>0.12211179068977235</v>
      </c>
      <c r="T464" s="30">
        <v>0.25</v>
      </c>
      <c r="U464" s="27">
        <f>ROUND(IF(IFERROR(PROPERTIES[[#This Row],[TE_COEFFICIENT_CALC]],0)=0,PROPERTIES[[#This Row],[TE_COEFFICIENT_MANUAL]],PROPERTIES[[#This Row],[TE_COEFFICIENT_CALC]]),3)</f>
        <v>0.122</v>
      </c>
      <c r="V464" s="6">
        <v>25</v>
      </c>
      <c r="W464" s="10">
        <v>48</v>
      </c>
      <c r="X464" s="10">
        <v>8</v>
      </c>
      <c r="Y464" s="10"/>
      <c r="Z464" t="str">
        <f>"RUNNING_COST_"&amp;IF(PROPERTIES[[#This Row],[ENGINE_CLASS]]="MAGLEV","ELECTRIC",PROPERTIES[[#This Row],[ENGINE_CLASS]])</f>
        <v>RUNNING_COST_DIESEL</v>
      </c>
      <c r="AA464" s="10" t="s">
        <v>1006</v>
      </c>
      <c r="AB464" s="10" t="s">
        <v>1007</v>
      </c>
      <c r="AC464" s="10" t="str">
        <f>SUBSTITUTE(SUBSTITUTE(PROPERTIES[[#This Row],[PURCHASECOST_VALUE]], "PURCHASECOST_", ""), "_VALUE", "")</f>
        <v>DMU</v>
      </c>
      <c r="AD464" s="2" t="b">
        <v>0</v>
      </c>
      <c r="AV464"/>
      <c r="AW464"/>
      <c r="AX464"/>
    </row>
    <row r="465" spans="1:50">
      <c r="A465" s="2" t="s">
        <v>491</v>
      </c>
      <c r="B465">
        <v>1997</v>
      </c>
      <c r="C465">
        <v>1</v>
      </c>
      <c r="D465" t="s">
        <v>1865</v>
      </c>
      <c r="E465" t="str">
        <f>_xlfn.XLOOKUP(PROPERTIES[[#This Row],[COUNTRY]],COUNTRIES[COUNTRY_DESCRIPTION],COUNTRIES[COUNTRY_LABEL],"")</f>
        <v>ES</v>
      </c>
      <c r="F465" t="s">
        <v>35</v>
      </c>
      <c r="G465" t="s">
        <v>18</v>
      </c>
      <c r="H465">
        <v>42</v>
      </c>
      <c r="I465">
        <v>8</v>
      </c>
      <c r="J465">
        <v>8</v>
      </c>
      <c r="K465" s="2" t="s">
        <v>24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4">
        <v>49</v>
      </c>
      <c r="P465">
        <v>3200</v>
      </c>
      <c r="Q465">
        <v>160</v>
      </c>
      <c r="R465" s="31">
        <f>120/2</f>
        <v>60</v>
      </c>
      <c r="S465" s="30">
        <f>IFERROR(PROPERTIES[[#This Row],[TE_STARTING_KN]]/(PROPERTIES[[#This Row],[WEIGHT]]*9.81),0)</f>
        <v>0.12482057043000687</v>
      </c>
      <c r="T465" s="30">
        <v>0.24</v>
      </c>
      <c r="U465" s="27">
        <f>ROUND(IF(IFERROR(PROPERTIES[[#This Row],[TE_COEFFICIENT_CALC]],0)=0,PROPERTIES[[#This Row],[TE_COEFFICIENT_MANUAL]],PROPERTIES[[#This Row],[TE_COEFFICIENT_CALC]]),3)</f>
        <v>0.125</v>
      </c>
      <c r="V465" s="6">
        <v>20</v>
      </c>
      <c r="W465" s="10">
        <f>126/3</f>
        <v>42</v>
      </c>
      <c r="X465" s="10">
        <v>8</v>
      </c>
      <c r="Y465" s="10"/>
      <c r="Z465" t="str">
        <f>"RUNNING_COST_"&amp;IF(PROPERTIES[[#This Row],[ENGINE_CLASS]]="MAGLEV","ELECTRIC",PROPERTIES[[#This Row],[ENGINE_CLASS]])</f>
        <v>RUNNING_COST_DIESEL</v>
      </c>
      <c r="AA465" s="10" t="s">
        <v>1006</v>
      </c>
      <c r="AB465" s="10" t="s">
        <v>1007</v>
      </c>
      <c r="AC465" s="10" t="str">
        <f>SUBSTITUTE(SUBSTITUTE(PROPERTIES[[#This Row],[PURCHASECOST_VALUE]], "PURCHASECOST_", ""), "_VALUE", "")</f>
        <v>DMU</v>
      </c>
      <c r="AD465" s="2" t="b">
        <v>0</v>
      </c>
      <c r="AV465"/>
      <c r="AW465"/>
      <c r="AX465"/>
    </row>
    <row r="466" spans="1:50">
      <c r="A466" s="2" t="s">
        <v>492</v>
      </c>
      <c r="B466">
        <v>1997</v>
      </c>
      <c r="C466">
        <v>1</v>
      </c>
      <c r="D466" t="s">
        <v>1873</v>
      </c>
      <c r="E466" t="str">
        <f>_xlfn.XLOOKUP(PROPERTIES[[#This Row],[COUNTRY]],COUNTRIES[COUNTRY_DESCRIPTION],COUNTRIES[COUNTRY_LABEL],"")</f>
        <v>GB</v>
      </c>
      <c r="F466" t="s">
        <v>35</v>
      </c>
      <c r="G466" t="s">
        <v>18</v>
      </c>
      <c r="H466">
        <f>INT(204/3)</f>
        <v>68</v>
      </c>
      <c r="I466">
        <v>8</v>
      </c>
      <c r="J466">
        <v>8</v>
      </c>
      <c r="K466" s="2" t="s">
        <v>24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4">
        <v>50</v>
      </c>
      <c r="P466">
        <f>422*2</f>
        <v>844</v>
      </c>
      <c r="Q466">
        <v>160</v>
      </c>
      <c r="R466" s="31">
        <f>112/2</f>
        <v>56</v>
      </c>
      <c r="S466" s="30">
        <f>IFERROR(PROPERTIES[[#This Row],[TE_STARTING_KN]]/(PROPERTIES[[#This Row],[WEIGHT]]*9.81),0)</f>
        <v>0.11416921508664628</v>
      </c>
      <c r="T466" s="30">
        <v>0.39</v>
      </c>
      <c r="U466" s="27">
        <f>ROUND(IF(IFERROR(PROPERTIES[[#This Row],[TE_COEFFICIENT_CALC]],0)=0,PROPERTIES[[#This Row],[TE_COEFFICIENT_MANUAL]],PROPERTIES[[#This Row],[TE_COEFFICIENT_CALC]]),3)</f>
        <v>0.114</v>
      </c>
      <c r="V466" s="6">
        <v>20</v>
      </c>
      <c r="W466" s="10">
        <f>INT(204/3)</f>
        <v>68</v>
      </c>
      <c r="X466" s="10">
        <v>8</v>
      </c>
      <c r="Y466" s="10">
        <v>52</v>
      </c>
      <c r="Z466" t="str">
        <f>"RUNNING_COST_"&amp;IF(PROPERTIES[[#This Row],[ENGINE_CLASS]]="MAGLEV","ELECTRIC",PROPERTIES[[#This Row],[ENGINE_CLASS]])</f>
        <v>RUNNING_COST_DIESEL</v>
      </c>
      <c r="AA466" s="10" t="s">
        <v>1006</v>
      </c>
      <c r="AB466" s="10" t="s">
        <v>1007</v>
      </c>
      <c r="AC466" s="10" t="str">
        <f>SUBSTITUTE(SUBSTITUTE(PROPERTIES[[#This Row],[PURCHASECOST_VALUE]], "PURCHASECOST_", ""), "_VALUE", "")</f>
        <v>DMU</v>
      </c>
      <c r="AD466" s="2" t="b">
        <v>0</v>
      </c>
      <c r="AV466"/>
      <c r="AW466"/>
      <c r="AX466"/>
    </row>
    <row r="467" spans="1:50">
      <c r="A467" s="2" t="s">
        <v>493</v>
      </c>
      <c r="B467">
        <v>1998</v>
      </c>
      <c r="C467">
        <v>1</v>
      </c>
      <c r="D467" t="s">
        <v>1854</v>
      </c>
      <c r="E467" t="str">
        <f>_xlfn.XLOOKUP(PROPERTIES[[#This Row],[COUNTRY]],COUNTRIES[COUNTRY_DESCRIPTION],COUNTRIES[COUNTRY_LABEL],"")</f>
        <v>DE</v>
      </c>
      <c r="F467" t="s">
        <v>35</v>
      </c>
      <c r="G467" t="s">
        <v>18</v>
      </c>
      <c r="H467">
        <v>73</v>
      </c>
      <c r="I467">
        <v>8</v>
      </c>
      <c r="J467">
        <v>8</v>
      </c>
      <c r="K467" s="2" t="s">
        <v>24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4">
        <v>58</v>
      </c>
      <c r="P467">
        <v>1520</v>
      </c>
      <c r="Q467">
        <v>160</v>
      </c>
      <c r="R467" s="31">
        <f>145/2</f>
        <v>72.5</v>
      </c>
      <c r="S467" s="30">
        <f>IFERROR(PROPERTIES[[#This Row],[TE_STARTING_KN]]/(PROPERTIES[[#This Row],[WEIGHT]]*9.81),0)</f>
        <v>0.127420998980632</v>
      </c>
      <c r="T467" s="30">
        <v>0.38</v>
      </c>
      <c r="U467" s="27">
        <f>ROUND(IF(IFERROR(PROPERTIES[[#This Row],[TE_COEFFICIENT_CALC]],0)=0,PROPERTIES[[#This Row],[TE_COEFFICIENT_MANUAL]],PROPERTIES[[#This Row],[TE_COEFFICIENT_CALC]]),3)</f>
        <v>0.127</v>
      </c>
      <c r="V467" s="6">
        <v>20</v>
      </c>
      <c r="W467" s="10">
        <v>73</v>
      </c>
      <c r="X467" s="10">
        <v>8</v>
      </c>
      <c r="Y467" s="10"/>
      <c r="Z467" t="str">
        <f>"RUNNING_COST_"&amp;IF(PROPERTIES[[#This Row],[ENGINE_CLASS]]="MAGLEV","ELECTRIC",PROPERTIES[[#This Row],[ENGINE_CLASS]])</f>
        <v>RUNNING_COST_DIESEL</v>
      </c>
      <c r="AA467" s="10" t="s">
        <v>1006</v>
      </c>
      <c r="AB467" s="10" t="s">
        <v>1007</v>
      </c>
      <c r="AC467" s="10" t="str">
        <f>SUBSTITUTE(SUBSTITUTE(PROPERTIES[[#This Row],[PURCHASECOST_VALUE]], "PURCHASECOST_", ""), "_VALUE", "")</f>
        <v>DMU</v>
      </c>
      <c r="AD467" s="2" t="b">
        <v>0</v>
      </c>
      <c r="AV467"/>
      <c r="AW467"/>
      <c r="AX467"/>
    </row>
    <row r="468" spans="1:50">
      <c r="A468" s="2" t="s">
        <v>494</v>
      </c>
      <c r="B468">
        <v>2000</v>
      </c>
      <c r="C468">
        <v>1</v>
      </c>
      <c r="D468" t="s">
        <v>1854</v>
      </c>
      <c r="E468" t="str">
        <f>_xlfn.XLOOKUP(PROPERTIES[[#This Row],[COUNTRY]],COUNTRIES[COUNTRY_DESCRIPTION],COUNTRIES[COUNTRY_LABEL],"")</f>
        <v>DE</v>
      </c>
      <c r="F468" t="s">
        <v>35</v>
      </c>
      <c r="G468" t="s">
        <v>18</v>
      </c>
      <c r="H468">
        <f>(98+110)/2</f>
        <v>104</v>
      </c>
      <c r="I468">
        <v>8</v>
      </c>
      <c r="J468">
        <v>8</v>
      </c>
      <c r="K468" s="2" t="s">
        <v>24</v>
      </c>
      <c r="L468">
        <f>_xlfn.XLOOKUP("LOADINGSPEEDDEF_"&amp;PROPERTIES[[#This Row],[LOADINGSPEED]],LOADINGSPEEDDEF[TYPE],LOADINGSPEEDDEF[SPEED])</f>
        <v>40</v>
      </c>
      <c r="M468" t="s">
        <v>21</v>
      </c>
      <c r="N468">
        <v>1</v>
      </c>
      <c r="O468" s="34">
        <f>88/2</f>
        <v>44</v>
      </c>
      <c r="P468">
        <f>490*2</f>
        <v>980</v>
      </c>
      <c r="Q468">
        <v>120</v>
      </c>
      <c r="R468" s="31">
        <f>85/2</f>
        <v>42.5</v>
      </c>
      <c r="S468" s="30">
        <f>IFERROR(PROPERTIES[[#This Row],[TE_STARTING_KN]]/(PROPERTIES[[#This Row],[WEIGHT]]*9.81),0)</f>
        <v>9.8461681030488357E-2</v>
      </c>
      <c r="T468" s="30">
        <v>0.18</v>
      </c>
      <c r="U468" s="27">
        <f>ROUND(IF(IFERROR(PROPERTIES[[#This Row],[TE_COEFFICIENT_CALC]],0)=0,PROPERTIES[[#This Row],[TE_COEFFICIENT_MANUAL]],PROPERTIES[[#This Row],[TE_COEFFICIENT_CALC]]),3)</f>
        <v>9.8000000000000004E-2</v>
      </c>
      <c r="V468" s="6">
        <v>25</v>
      </c>
      <c r="W468" s="10">
        <f>PROPERTIES[[#This Row],[HEAD_CAPACITY]]</f>
        <v>104</v>
      </c>
      <c r="X468" s="10">
        <v>8</v>
      </c>
      <c r="Y468" s="10"/>
      <c r="Z468" t="str">
        <f>"RUNNING_COST_"&amp;IF(PROPERTIES[[#This Row],[ENGINE_CLASS]]="MAGLEV","ELECTRIC",PROPERTIES[[#This Row],[ENGINE_CLASS]])</f>
        <v>RUNNING_COST_DIESEL</v>
      </c>
      <c r="AA468" s="10" t="s">
        <v>1006</v>
      </c>
      <c r="AB468" s="10" t="s">
        <v>1007</v>
      </c>
      <c r="AC468" s="10" t="str">
        <f>SUBSTITUTE(SUBSTITUTE(PROPERTIES[[#This Row],[PURCHASECOST_VALUE]], "PURCHASECOST_", ""), "_VALUE", "")</f>
        <v>DMU</v>
      </c>
      <c r="AD468" s="2" t="b">
        <v>0</v>
      </c>
      <c r="AV468"/>
      <c r="AW468"/>
      <c r="AX468"/>
    </row>
    <row r="469" spans="1:50">
      <c r="A469" s="2" t="s">
        <v>495</v>
      </c>
      <c r="B469">
        <v>2001</v>
      </c>
      <c r="C469">
        <v>1</v>
      </c>
      <c r="D469" t="s">
        <v>1856</v>
      </c>
      <c r="E469" t="str">
        <f>_xlfn.XLOOKUP(PROPERTIES[[#This Row],[COUNTRY]],COUNTRIES[COUNTRY_DESCRIPTION],COUNTRIES[COUNTRY_LABEL],"")</f>
        <v>DK</v>
      </c>
      <c r="F469" t="s">
        <v>35</v>
      </c>
      <c r="G469" t="s">
        <v>18</v>
      </c>
      <c r="H469">
        <f>52+85</f>
        <v>137</v>
      </c>
      <c r="I469">
        <v>8</v>
      </c>
      <c r="J469">
        <v>8</v>
      </c>
      <c r="K469" s="2" t="s">
        <v>24</v>
      </c>
      <c r="L469">
        <f>_xlfn.XLOOKUP("LOADINGSPEEDDEF_"&amp;PROPERTIES[[#This Row],[LOADINGSPEED]],LOADINGSPEEDDEF[TYPE],LOADINGSPEEDDEF[SPEED])</f>
        <v>40</v>
      </c>
      <c r="M469" t="s">
        <v>21</v>
      </c>
      <c r="N469">
        <v>1</v>
      </c>
      <c r="O469" s="34">
        <v>31</v>
      </c>
      <c r="P469">
        <v>422</v>
      </c>
      <c r="Q469">
        <v>120</v>
      </c>
      <c r="R469" s="31">
        <f>75/2</f>
        <v>37.5</v>
      </c>
      <c r="S469" s="30">
        <f>IFERROR(PROPERTIES[[#This Row],[TE_STARTING_KN]]/(PROPERTIES[[#This Row],[WEIGHT]]*9.81),0)</f>
        <v>0.12331064417480517</v>
      </c>
      <c r="T469" s="30">
        <v>0.39</v>
      </c>
      <c r="U469" s="27">
        <f>ROUND(IF(IFERROR(PROPERTIES[[#This Row],[TE_COEFFICIENT_CALC]],0)=0,PROPERTIES[[#This Row],[TE_COEFFICIENT_MANUAL]],PROPERTIES[[#This Row],[TE_COEFFICIENT_CALC]]),3)</f>
        <v>0.123</v>
      </c>
      <c r="V469" s="6">
        <v>20</v>
      </c>
      <c r="W469" s="10">
        <f>PROPERTIES[[#This Row],[HEAD_CAPACITY]]</f>
        <v>137</v>
      </c>
      <c r="X469" s="10">
        <v>8</v>
      </c>
      <c r="Y469" s="10"/>
      <c r="Z469" t="str">
        <f>"RUNNING_COST_"&amp;IF(PROPERTIES[[#This Row],[ENGINE_CLASS]]="MAGLEV","ELECTRIC",PROPERTIES[[#This Row],[ENGINE_CLASS]])</f>
        <v>RUNNING_COST_DIESEL</v>
      </c>
      <c r="AA469" s="10" t="s">
        <v>1006</v>
      </c>
      <c r="AB469" s="10" t="s">
        <v>1007</v>
      </c>
      <c r="AC469" s="10" t="str">
        <f>SUBSTITUTE(SUBSTITUTE(PROPERTIES[[#This Row],[PURCHASECOST_VALUE]], "PURCHASECOST_", ""), "_VALUE", "")</f>
        <v>DMU</v>
      </c>
      <c r="AD469" s="2" t="b">
        <v>0</v>
      </c>
      <c r="AV469"/>
      <c r="AW469"/>
      <c r="AX469"/>
    </row>
    <row r="470" spans="1:50">
      <c r="A470" s="2" t="s">
        <v>496</v>
      </c>
      <c r="B470">
        <v>2001</v>
      </c>
      <c r="C470">
        <v>1</v>
      </c>
      <c r="D470" t="s">
        <v>1963</v>
      </c>
      <c r="E470" t="str">
        <f>_xlfn.XLOOKUP(PROPERTIES[[#This Row],[COUNTRY]],COUNTRIES[COUNTRY_DESCRIPTION],COUNTRIES[COUNTRY_LABEL],"")</f>
        <v>NO</v>
      </c>
      <c r="F470" t="s">
        <v>35</v>
      </c>
      <c r="G470" t="s">
        <v>18</v>
      </c>
      <c r="H470">
        <f>76/2</f>
        <v>38</v>
      </c>
      <c r="I470">
        <v>8</v>
      </c>
      <c r="J470">
        <v>8</v>
      </c>
      <c r="K470" s="2" t="s">
        <v>24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4">
        <f>77/2</f>
        <v>38.5</v>
      </c>
      <c r="P470">
        <v>810</v>
      </c>
      <c r="Q470">
        <v>140</v>
      </c>
      <c r="R470" s="31">
        <f>100/2</f>
        <v>50</v>
      </c>
      <c r="S470" s="30">
        <f>IFERROR(PROPERTIES[[#This Row],[TE_STARTING_KN]]/(PROPERTIES[[#This Row],[WEIGHT]]*9.81),0)</f>
        <v>0.13238545348637093</v>
      </c>
      <c r="T470" s="30">
        <v>0.21</v>
      </c>
      <c r="U470" s="27">
        <f>ROUND(IF(IFERROR(PROPERTIES[[#This Row],[TE_COEFFICIENT_CALC]],0)=0,PROPERTIES[[#This Row],[TE_COEFFICIENT_MANUAL]],PROPERTIES[[#This Row],[TE_COEFFICIENT_CALC]]),3)</f>
        <v>0.13200000000000001</v>
      </c>
      <c r="V470" s="6">
        <v>20</v>
      </c>
      <c r="W470" s="10">
        <f>76/2</f>
        <v>38</v>
      </c>
      <c r="X470" s="10">
        <v>8</v>
      </c>
      <c r="Y470" s="10"/>
      <c r="Z470" t="str">
        <f>"RUNNING_COST_"&amp;IF(PROPERTIES[[#This Row],[ENGINE_CLASS]]="MAGLEV","ELECTRIC",PROPERTIES[[#This Row],[ENGINE_CLASS]])</f>
        <v>RUNNING_COST_DIESEL</v>
      </c>
      <c r="AA470" s="10" t="s">
        <v>1006</v>
      </c>
      <c r="AB470" s="10" t="s">
        <v>1007</v>
      </c>
      <c r="AC470" s="10" t="str">
        <f>SUBSTITUTE(SUBSTITUTE(PROPERTIES[[#This Row],[PURCHASECOST_VALUE]], "PURCHASECOST_", ""), "_VALUE", "")</f>
        <v>DMU</v>
      </c>
      <c r="AD470" s="2" t="b">
        <v>0</v>
      </c>
      <c r="AV470"/>
      <c r="AW470"/>
      <c r="AX470"/>
    </row>
    <row r="471" spans="1:50">
      <c r="A471" s="2" t="s">
        <v>497</v>
      </c>
      <c r="B471">
        <v>2004</v>
      </c>
      <c r="C471">
        <v>1</v>
      </c>
      <c r="D471" t="s">
        <v>1810</v>
      </c>
      <c r="E471" t="str">
        <f>_xlfn.XLOOKUP(PROPERTIES[[#This Row],[COUNTRY]],COUNTRIES[COUNTRY_DESCRIPTION],COUNTRIES[COUNTRY_LABEL],"")</f>
        <v>AU</v>
      </c>
      <c r="F471" t="s">
        <v>35</v>
      </c>
      <c r="G471" t="s">
        <v>18</v>
      </c>
      <c r="H471">
        <v>68</v>
      </c>
      <c r="I471">
        <v>8</v>
      </c>
      <c r="J471">
        <v>8</v>
      </c>
      <c r="K471" s="2" t="s">
        <v>479</v>
      </c>
      <c r="L471">
        <f>_xlfn.XLOOKUP("LOADINGSPEEDDEF_"&amp;PROPERTIES[[#This Row],[LOADINGSPEED]],LOADINGSPEEDDEF[TYPE],LOADINGSPEEDDEF[SPEED])</f>
        <v>16</v>
      </c>
      <c r="M471" t="s">
        <v>21</v>
      </c>
      <c r="N471">
        <v>1</v>
      </c>
      <c r="O471" s="34">
        <v>33</v>
      </c>
      <c r="P471">
        <f>520*2</f>
        <v>1040</v>
      </c>
      <c r="Q471">
        <v>200</v>
      </c>
      <c r="R471" s="31">
        <f>160/2</f>
        <v>80</v>
      </c>
      <c r="S471" s="30">
        <f>IFERROR(PROPERTIES[[#This Row],[TE_STARTING_KN]]/(PROPERTIES[[#This Row],[WEIGHT]]*9.81),0)</f>
        <v>0.24711951317455902</v>
      </c>
      <c r="T471" s="30">
        <v>0.33</v>
      </c>
      <c r="U471" s="27">
        <f>ROUND(IF(IFERROR(PROPERTIES[[#This Row],[TE_COEFFICIENT_CALC]],0)=0,PROPERTIES[[#This Row],[TE_COEFFICIENT_MANUAL]],PROPERTIES[[#This Row],[TE_COEFFICIENT_CALC]]),3)</f>
        <v>0.247</v>
      </c>
      <c r="V471" s="6">
        <v>25</v>
      </c>
      <c r="W471" s="10">
        <v>68</v>
      </c>
      <c r="X471" s="10">
        <v>8</v>
      </c>
      <c r="Y471" s="10"/>
      <c r="Z471" t="str">
        <f>"RUNNING_COST_"&amp;IF(PROPERTIES[[#This Row],[ENGINE_CLASS]]="MAGLEV","ELECTRIC",PROPERTIES[[#This Row],[ENGINE_CLASS]])</f>
        <v>RUNNING_COST_DIESEL</v>
      </c>
      <c r="AA471" s="10" t="s">
        <v>1006</v>
      </c>
      <c r="AB471" s="10" t="s">
        <v>1007</v>
      </c>
      <c r="AC471" s="10" t="str">
        <f>SUBSTITUTE(SUBSTITUTE(PROPERTIES[[#This Row],[PURCHASECOST_VALUE]], "PURCHASECOST_", ""), "_VALUE", "")</f>
        <v>DMU</v>
      </c>
      <c r="AD471" s="2" t="b">
        <v>0</v>
      </c>
      <c r="AV471"/>
      <c r="AW471"/>
      <c r="AX471"/>
    </row>
    <row r="472" spans="1:50">
      <c r="A472" s="2" t="s">
        <v>498</v>
      </c>
      <c r="B472">
        <v>2006</v>
      </c>
      <c r="C472">
        <v>1</v>
      </c>
      <c r="D472" t="s">
        <v>1810</v>
      </c>
      <c r="E472" t="str">
        <f>_xlfn.XLOOKUP(PROPERTIES[[#This Row],[COUNTRY]],COUNTRIES[COUNTRY_DESCRIPTION],COUNTRIES[COUNTRY_LABEL],"")</f>
        <v>AU</v>
      </c>
      <c r="F472" t="s">
        <v>35</v>
      </c>
      <c r="G472" t="s">
        <v>18</v>
      </c>
      <c r="H472">
        <v>70</v>
      </c>
      <c r="I472">
        <v>8</v>
      </c>
      <c r="J472">
        <v>8</v>
      </c>
      <c r="K472" s="2" t="s">
        <v>24</v>
      </c>
      <c r="L472">
        <f>_xlfn.XLOOKUP("LOADINGSPEEDDEF_"&amp;PROPERTIES[[#This Row],[LOADINGSPEED]],LOADINGSPEEDDEF[TYPE],LOADINGSPEEDDEF[SPEED])</f>
        <v>40</v>
      </c>
      <c r="M472" t="s">
        <v>21</v>
      </c>
      <c r="N472">
        <v>1</v>
      </c>
      <c r="O472" s="34">
        <v>30</v>
      </c>
      <c r="P472">
        <v>750</v>
      </c>
      <c r="Q472">
        <v>160</v>
      </c>
      <c r="R472" s="31">
        <f>140/2</f>
        <v>70</v>
      </c>
      <c r="S472" s="30">
        <f>IFERROR(PROPERTIES[[#This Row],[TE_STARTING_KN]]/(PROPERTIES[[#This Row],[WEIGHT]]*9.81),0)</f>
        <v>0.23785253143051308</v>
      </c>
      <c r="T472" s="30">
        <v>0.33</v>
      </c>
      <c r="U472" s="27">
        <f>ROUND(IF(IFERROR(PROPERTIES[[#This Row],[TE_COEFFICIENT_CALC]],0)=0,PROPERTIES[[#This Row],[TE_COEFFICIENT_MANUAL]],PROPERTIES[[#This Row],[TE_COEFFICIENT_CALC]]),3)</f>
        <v>0.23799999999999999</v>
      </c>
      <c r="V472" s="6">
        <v>25</v>
      </c>
      <c r="W472" s="10">
        <v>70</v>
      </c>
      <c r="X472" s="10">
        <v>8</v>
      </c>
      <c r="Y472" s="10"/>
      <c r="Z472" t="str">
        <f>"RUNNING_COST_"&amp;IF(PROPERTIES[[#This Row],[ENGINE_CLASS]]="MAGLEV","ELECTRIC",PROPERTIES[[#This Row],[ENGINE_CLASS]])</f>
        <v>RUNNING_COST_DIESEL</v>
      </c>
      <c r="AA472" s="10" t="s">
        <v>1006</v>
      </c>
      <c r="AB472" s="10" t="s">
        <v>1007</v>
      </c>
      <c r="AC472" s="10" t="str">
        <f>SUBSTITUTE(SUBSTITUTE(PROPERTIES[[#This Row],[PURCHASECOST_VALUE]], "PURCHASECOST_", ""), "_VALUE", "")</f>
        <v>DMU</v>
      </c>
      <c r="AD472" s="2" t="b">
        <v>0</v>
      </c>
      <c r="AV472"/>
      <c r="AW472"/>
      <c r="AX472"/>
    </row>
    <row r="473" spans="1:50">
      <c r="A473" s="2" t="s">
        <v>499</v>
      </c>
      <c r="B473">
        <v>2006</v>
      </c>
      <c r="C473">
        <v>1</v>
      </c>
      <c r="D473" t="s">
        <v>1987</v>
      </c>
      <c r="E473" t="str">
        <f>_xlfn.XLOOKUP(PROPERTIES[[#This Row],[COUNTRY]],COUNTRIES[COUNTRY_DESCRIPTION],COUNTRIES[COUNTRY_LABEL],"")</f>
        <v>RU</v>
      </c>
      <c r="F473" t="s">
        <v>35</v>
      </c>
      <c r="G473" t="s">
        <v>18</v>
      </c>
      <c r="H473">
        <v>68</v>
      </c>
      <c r="I473">
        <v>8</v>
      </c>
      <c r="J473">
        <v>8</v>
      </c>
      <c r="K473" s="2" t="s">
        <v>24</v>
      </c>
      <c r="L473">
        <f>_xlfn.XLOOKUP("LOADINGSPEEDDEF_"&amp;PROPERTIES[[#This Row],[LOADINGSPEED]],LOADINGSPEEDDEF[TYPE],LOADINGSPEEDDEF[SPEED])</f>
        <v>40</v>
      </c>
      <c r="M473" t="s">
        <v>21</v>
      </c>
      <c r="N473">
        <v>1</v>
      </c>
      <c r="O473" s="34">
        <v>44</v>
      </c>
      <c r="P473">
        <v>840</v>
      </c>
      <c r="Q473">
        <v>100</v>
      </c>
      <c r="R473" s="31">
        <f>105/2</f>
        <v>52.5</v>
      </c>
      <c r="S473" s="30">
        <f>IFERROR(PROPERTIES[[#This Row],[TE_STARTING_KN]]/(PROPERTIES[[#This Row],[WEIGHT]]*9.81),0)</f>
        <v>0.12162913539060327</v>
      </c>
      <c r="T473" s="30">
        <v>0.28000000000000003</v>
      </c>
      <c r="U473" s="27">
        <f>ROUND(IF(IFERROR(PROPERTIES[[#This Row],[TE_COEFFICIENT_CALC]],0)=0,PROPERTIES[[#This Row],[TE_COEFFICIENT_MANUAL]],PROPERTIES[[#This Row],[TE_COEFFICIENT_CALC]]),3)</f>
        <v>0.122</v>
      </c>
      <c r="V473" s="6">
        <v>25</v>
      </c>
      <c r="W473" s="10">
        <v>86</v>
      </c>
      <c r="X473" s="10">
        <v>8</v>
      </c>
      <c r="Y473" s="10"/>
      <c r="Z473" t="str">
        <f>"RUNNING_COST_"&amp;IF(PROPERTIES[[#This Row],[ENGINE_CLASS]]="MAGLEV","ELECTRIC",PROPERTIES[[#This Row],[ENGINE_CLASS]])</f>
        <v>RUNNING_COST_DIESEL</v>
      </c>
      <c r="AA473" s="10" t="s">
        <v>1006</v>
      </c>
      <c r="AB473" s="10" t="s">
        <v>1007</v>
      </c>
      <c r="AC473" s="10" t="str">
        <f>SUBSTITUTE(SUBSTITUTE(PROPERTIES[[#This Row],[PURCHASECOST_VALUE]], "PURCHASECOST_", ""), "_VALUE", "")</f>
        <v>DMU</v>
      </c>
      <c r="AD473" s="2" t="b">
        <v>0</v>
      </c>
      <c r="AV473"/>
      <c r="AW473"/>
      <c r="AX473"/>
    </row>
    <row r="474" spans="1:50">
      <c r="A474" s="2" t="s">
        <v>500</v>
      </c>
      <c r="B474">
        <v>2007</v>
      </c>
      <c r="C474">
        <v>1</v>
      </c>
      <c r="D474" t="s">
        <v>1856</v>
      </c>
      <c r="E474" t="str">
        <f>_xlfn.XLOOKUP(PROPERTIES[[#This Row],[COUNTRY]],COUNTRIES[COUNTRY_DESCRIPTION],COUNTRIES[COUNTRY_LABEL],"")</f>
        <v>DK</v>
      </c>
      <c r="F474" t="s">
        <v>35</v>
      </c>
      <c r="G474" t="s">
        <v>18</v>
      </c>
      <c r="H474">
        <v>52</v>
      </c>
      <c r="I474">
        <v>8</v>
      </c>
      <c r="J474">
        <v>8</v>
      </c>
      <c r="K474" s="2" t="s">
        <v>479</v>
      </c>
      <c r="L474">
        <f>_xlfn.XLOOKUP("LOADINGSPEEDDEF_"&amp;PROPERTIES[[#This Row],[LOADINGSPEED]],LOADINGSPEEDDEF[TYPE],LOADINGSPEEDDEF[SPEED])</f>
        <v>16</v>
      </c>
      <c r="M474" t="s">
        <v>21</v>
      </c>
      <c r="N474">
        <v>1</v>
      </c>
      <c r="O474" s="34">
        <v>36</v>
      </c>
      <c r="P474">
        <v>750</v>
      </c>
      <c r="Q474">
        <v>180</v>
      </c>
      <c r="R474" s="31">
        <f>100/2</f>
        <v>50</v>
      </c>
      <c r="S474" s="30">
        <f>IFERROR(PROPERTIES[[#This Row],[TE_STARTING_KN]]/(PROPERTIES[[#This Row],[WEIGHT]]*9.81),0)</f>
        <v>0.14157888775625777</v>
      </c>
      <c r="T474" s="30">
        <v>0.62</v>
      </c>
      <c r="U474" s="27">
        <f>ROUND(IF(IFERROR(PROPERTIES[[#This Row],[TE_COEFFICIENT_CALC]],0)=0,PROPERTIES[[#This Row],[TE_COEFFICIENT_MANUAL]],PROPERTIES[[#This Row],[TE_COEFFICIENT_CALC]]),3)</f>
        <v>0.14199999999999999</v>
      </c>
      <c r="V474" s="6">
        <v>25</v>
      </c>
      <c r="W474" s="10">
        <v>52</v>
      </c>
      <c r="X474" s="10">
        <v>8</v>
      </c>
      <c r="Y474" s="10"/>
      <c r="Z474" t="str">
        <f>"RUNNING_COST_"&amp;IF(PROPERTIES[[#This Row],[ENGINE_CLASS]]="MAGLEV","ELECTRIC",PROPERTIES[[#This Row],[ENGINE_CLASS]])</f>
        <v>RUNNING_COST_DIESEL</v>
      </c>
      <c r="AA474" s="10" t="s">
        <v>1006</v>
      </c>
      <c r="AB474" s="10" t="s">
        <v>1007</v>
      </c>
      <c r="AC474" s="10" t="str">
        <f>SUBSTITUTE(SUBSTITUTE(PROPERTIES[[#This Row],[PURCHASECOST_VALUE]], "PURCHASECOST_", ""), "_VALUE", "")</f>
        <v>DMU</v>
      </c>
      <c r="AD474" s="2" t="b">
        <v>0</v>
      </c>
      <c r="AV474"/>
      <c r="AW474"/>
      <c r="AX474"/>
    </row>
    <row r="475" spans="1:50">
      <c r="A475" s="2" t="s">
        <v>501</v>
      </c>
      <c r="B475">
        <v>2011</v>
      </c>
      <c r="C475">
        <v>1</v>
      </c>
      <c r="D475" t="s">
        <v>1894</v>
      </c>
      <c r="E475" t="str">
        <f>_xlfn.XLOOKUP(PROPERTIES[[#This Row],[COUNTRY]],COUNTRIES[COUNTRY_DESCRIPTION],COUNTRIES[COUNTRY_LABEL],"")</f>
        <v>HR</v>
      </c>
      <c r="F475" t="s">
        <v>35</v>
      </c>
      <c r="G475" t="s">
        <v>18</v>
      </c>
      <c r="H475">
        <f>INT(410/3)</f>
        <v>136</v>
      </c>
      <c r="I475">
        <v>8</v>
      </c>
      <c r="J475">
        <v>8</v>
      </c>
      <c r="K475" s="2" t="s">
        <v>479</v>
      </c>
      <c r="L475">
        <f>_xlfn.XLOOKUP("LOADINGSPEEDDEF_"&amp;PROPERTIES[[#This Row],[LOADINGSPEED]],LOADINGSPEEDDEF[TYPE],LOADINGSPEEDDEF[SPEED])</f>
        <v>16</v>
      </c>
      <c r="M475" t="s">
        <v>21</v>
      </c>
      <c r="N475">
        <v>1</v>
      </c>
      <c r="O475" s="34">
        <v>45</v>
      </c>
      <c r="P475">
        <v>520</v>
      </c>
      <c r="Q475">
        <v>160</v>
      </c>
      <c r="R475" s="31">
        <f>125/2</f>
        <v>62.5</v>
      </c>
      <c r="S475" s="30">
        <f>IFERROR(PROPERTIES[[#This Row],[TE_STARTING_KN]]/(PROPERTIES[[#This Row],[WEIGHT]]*9.81),0)</f>
        <v>0.14157888775625777</v>
      </c>
      <c r="T475" s="30">
        <v>0.53</v>
      </c>
      <c r="U475" s="27">
        <f>ROUND(IF(IFERROR(PROPERTIES[[#This Row],[TE_COEFFICIENT_CALC]],0)=0,PROPERTIES[[#This Row],[TE_COEFFICIENT_MANUAL]],PROPERTIES[[#This Row],[TE_COEFFICIENT_CALC]]),3)</f>
        <v>0.14199999999999999</v>
      </c>
      <c r="V475" s="6">
        <v>25</v>
      </c>
      <c r="W475" s="10">
        <v>66</v>
      </c>
      <c r="X475" s="10">
        <v>8</v>
      </c>
      <c r="Y475" s="10"/>
      <c r="Z475" t="str">
        <f>"RUNNING_COST_"&amp;IF(PROPERTIES[[#This Row],[ENGINE_CLASS]]="MAGLEV","ELECTRIC",PROPERTIES[[#This Row],[ENGINE_CLASS]])</f>
        <v>RUNNING_COST_DIESEL</v>
      </c>
      <c r="AA475" s="10" t="s">
        <v>1006</v>
      </c>
      <c r="AB475" s="10" t="s">
        <v>1007</v>
      </c>
      <c r="AC475" s="10" t="str">
        <f>SUBSTITUTE(SUBSTITUTE(PROPERTIES[[#This Row],[PURCHASECOST_VALUE]], "PURCHASECOST_", ""), "_VALUE", "")</f>
        <v>DMU</v>
      </c>
      <c r="AD475" s="2" t="b">
        <v>0</v>
      </c>
      <c r="AV475"/>
      <c r="AW475"/>
      <c r="AX475"/>
    </row>
    <row r="476" spans="1:50">
      <c r="A476" s="2" t="s">
        <v>502</v>
      </c>
      <c r="B476">
        <v>1961</v>
      </c>
      <c r="C476">
        <v>1</v>
      </c>
      <c r="D476" t="s">
        <v>2300</v>
      </c>
      <c r="E476" t="str">
        <f>_xlfn.XLOOKUP(PROPERTIES[[#This Row],[COUNTRY]],COUNTRIES[COUNTRY_DESCRIPTION],COUNTRIES[COUNTRY_LABEL],"")</f>
        <v>TR</v>
      </c>
      <c r="F476" t="s">
        <v>35</v>
      </c>
      <c r="G476" t="s">
        <v>18</v>
      </c>
      <c r="H476">
        <f>INT(199/3)</f>
        <v>66</v>
      </c>
      <c r="I476">
        <v>8</v>
      </c>
      <c r="J476">
        <v>8</v>
      </c>
      <c r="K476" s="2" t="s">
        <v>24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4">
        <v>35</v>
      </c>
      <c r="P476">
        <v>800</v>
      </c>
      <c r="Q476">
        <v>90</v>
      </c>
      <c r="R476" s="31">
        <f>115/2</f>
        <v>57.5</v>
      </c>
      <c r="S476" s="30">
        <f>IFERROR(PROPERTIES[[#This Row],[TE_STARTING_KN]]/(PROPERTIES[[#This Row],[WEIGHT]]*9.81),0)</f>
        <v>0.1674675986602592</v>
      </c>
      <c r="T476" s="30">
        <v>0.23</v>
      </c>
      <c r="U476" s="27">
        <f>ROUND(IF(IFERROR(PROPERTIES[[#This Row],[TE_COEFFICIENT_CALC]],0)=0,PROPERTIES[[#This Row],[TE_COEFFICIENT_MANUAL]],PROPERTIES[[#This Row],[TE_COEFFICIENT_CALC]]),3)</f>
        <v>0.16700000000000001</v>
      </c>
      <c r="V476" s="6">
        <v>20</v>
      </c>
      <c r="W476" s="10">
        <v>66</v>
      </c>
      <c r="X476" s="10">
        <v>8</v>
      </c>
      <c r="Y476" s="10"/>
      <c r="Z476" t="str">
        <f>"RUNNING_COST_"&amp;IF(PROPERTIES[[#This Row],[ENGINE_CLASS]]="MAGLEV","ELECTRIC",PROPERTIES[[#This Row],[ENGINE_CLASS]])</f>
        <v>RUNNING_COST_DIESEL</v>
      </c>
      <c r="AA476" s="10" t="s">
        <v>1006</v>
      </c>
      <c r="AB476" s="10" t="s">
        <v>1007</v>
      </c>
      <c r="AC476" s="10" t="str">
        <f>SUBSTITUTE(SUBSTITUTE(PROPERTIES[[#This Row],[PURCHASECOST_VALUE]], "PURCHASECOST_", ""), "_VALUE", "")</f>
        <v>DMU</v>
      </c>
      <c r="AD476" s="2" t="b">
        <v>0</v>
      </c>
      <c r="AV476"/>
      <c r="AW476"/>
      <c r="AX476"/>
    </row>
    <row r="477" spans="1:50">
      <c r="A477" s="2" t="s">
        <v>503</v>
      </c>
      <c r="B477">
        <v>1968</v>
      </c>
      <c r="C477">
        <v>1</v>
      </c>
      <c r="D477" t="s">
        <v>1910</v>
      </c>
      <c r="E477" t="str">
        <f>_xlfn.XLOOKUP(PROPERTIES[[#This Row],[COUNTRY]],COUNTRIES[COUNTRY_DESCRIPTION],COUNTRIES[COUNTRY_LABEL],"")</f>
        <v>JP</v>
      </c>
      <c r="F477" t="s">
        <v>35</v>
      </c>
      <c r="G477" t="s">
        <v>18</v>
      </c>
      <c r="H477">
        <v>52</v>
      </c>
      <c r="I477">
        <v>8</v>
      </c>
      <c r="J477">
        <v>8</v>
      </c>
      <c r="K477" s="2" t="s">
        <v>24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4">
        <v>44</v>
      </c>
      <c r="P477">
        <v>500</v>
      </c>
      <c r="Q477">
        <v>120</v>
      </c>
      <c r="R477" s="31">
        <f>108/2</f>
        <v>54</v>
      </c>
      <c r="S477" s="30">
        <f>IFERROR(PROPERTIES[[#This Row],[TE_STARTING_KN]]/(PROPERTIES[[#This Row],[WEIGHT]]*9.81),0)</f>
        <v>0.12510425354462051</v>
      </c>
      <c r="T477" s="30">
        <v>0.34</v>
      </c>
      <c r="U477" s="27">
        <f>ROUND(IF(IFERROR(PROPERTIES[[#This Row],[TE_COEFFICIENT_CALC]],0)=0,PROPERTIES[[#This Row],[TE_COEFFICIENT_MANUAL]],PROPERTIES[[#This Row],[TE_COEFFICIENT_CALC]]),3)</f>
        <v>0.125</v>
      </c>
      <c r="V477" s="6">
        <v>20</v>
      </c>
      <c r="W477" s="10">
        <v>76</v>
      </c>
      <c r="X477" s="10">
        <v>8</v>
      </c>
      <c r="Y477" s="10"/>
      <c r="Z477" t="str">
        <f>"RUNNING_COST_"&amp;IF(PROPERTIES[[#This Row],[ENGINE_CLASS]]="MAGLEV","ELECTRIC",PROPERTIES[[#This Row],[ENGINE_CLASS]])</f>
        <v>RUNNING_COST_DIESEL</v>
      </c>
      <c r="AA477" s="10" t="s">
        <v>1006</v>
      </c>
      <c r="AB477" s="10" t="s">
        <v>1007</v>
      </c>
      <c r="AC477" s="10" t="str">
        <f>SUBSTITUTE(SUBSTITUTE(PROPERTIES[[#This Row],[PURCHASECOST_VALUE]], "PURCHASECOST_", ""), "_VALUE", "")</f>
        <v>DMU</v>
      </c>
      <c r="AD477" s="2" t="b">
        <v>0</v>
      </c>
      <c r="AV477"/>
      <c r="AW477"/>
      <c r="AX477"/>
    </row>
    <row r="478" spans="1:50">
      <c r="A478" s="2" t="s">
        <v>504</v>
      </c>
      <c r="B478">
        <v>1973</v>
      </c>
      <c r="C478">
        <v>1</v>
      </c>
      <c r="D478" t="s">
        <v>1853</v>
      </c>
      <c r="E478" t="str">
        <f>_xlfn.XLOOKUP(PROPERTIES[[#This Row],[COUNTRY]],COUNTRIES[COUNTRY_DESCRIPTION],COUNTRIES[COUNTRY_LABEL],"")</f>
        <v>CZ</v>
      </c>
      <c r="F478" t="s">
        <v>35</v>
      </c>
      <c r="G478" t="s">
        <v>18</v>
      </c>
      <c r="H478" s="10">
        <f>INT((135+151)/3)</f>
        <v>95</v>
      </c>
      <c r="I478">
        <v>6</v>
      </c>
      <c r="J478">
        <v>6</v>
      </c>
      <c r="K478" s="2" t="s">
        <v>24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4">
        <v>22</v>
      </c>
      <c r="P478">
        <v>325</v>
      </c>
      <c r="Q478">
        <v>80</v>
      </c>
      <c r="R478" s="31">
        <f>54/2</f>
        <v>27</v>
      </c>
      <c r="S478" s="30">
        <f>IFERROR(PROPERTIES[[#This Row],[TE_STARTING_KN]]/(PROPERTIES[[#This Row],[WEIGHT]]*9.81),0)</f>
        <v>0.12510425354462051</v>
      </c>
      <c r="T478" s="30">
        <v>0.25</v>
      </c>
      <c r="U478" s="27">
        <f>ROUND(IF(IFERROR(PROPERTIES[[#This Row],[TE_COEFFICIENT_CALC]],0)=0,PROPERTIES[[#This Row],[TE_COEFFICIENT_MANUAL]],PROPERTIES[[#This Row],[TE_COEFFICIENT_CALC]]),3)</f>
        <v>0.125</v>
      </c>
      <c r="V478" s="6">
        <v>20</v>
      </c>
      <c r="W478" s="10">
        <f>INT((135+151)/3)</f>
        <v>95</v>
      </c>
      <c r="X478" s="10">
        <v>6</v>
      </c>
      <c r="Y478" s="10"/>
      <c r="Z478" t="str">
        <f>"RUNNING_COST_"&amp;IF(PROPERTIES[[#This Row],[ENGINE_CLASS]]="MAGLEV","ELECTRIC",PROPERTIES[[#This Row],[ENGINE_CLASS]])</f>
        <v>RUNNING_COST_DIESEL</v>
      </c>
      <c r="AA478" s="10" t="s">
        <v>1006</v>
      </c>
      <c r="AB478" s="10" t="s">
        <v>1007</v>
      </c>
      <c r="AC478" s="10" t="str">
        <f>SUBSTITUTE(SUBSTITUTE(PROPERTIES[[#This Row],[PURCHASECOST_VALUE]], "PURCHASECOST_", ""), "_VALUE", "")</f>
        <v>DMU</v>
      </c>
      <c r="AD478" s="2" t="b">
        <v>0</v>
      </c>
      <c r="AV478"/>
      <c r="AW478"/>
      <c r="AX478"/>
    </row>
    <row r="479" spans="1:50">
      <c r="A479" s="2" t="s">
        <v>505</v>
      </c>
      <c r="B479">
        <v>1984</v>
      </c>
      <c r="C479">
        <v>1</v>
      </c>
      <c r="D479" t="s">
        <v>1873</v>
      </c>
      <c r="E479" t="str">
        <f>_xlfn.XLOOKUP(PROPERTIES[[#This Row],[COUNTRY]],COUNTRIES[COUNTRY_DESCRIPTION],COUNTRIES[COUNTRY_LABEL],"")</f>
        <v>GB</v>
      </c>
      <c r="F479" t="s">
        <v>35</v>
      </c>
      <c r="G479" t="s">
        <v>18</v>
      </c>
      <c r="H479">
        <v>80</v>
      </c>
      <c r="I479">
        <v>7</v>
      </c>
      <c r="J479">
        <v>7</v>
      </c>
      <c r="K479" s="2" t="s">
        <v>24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4">
        <v>36</v>
      </c>
      <c r="P479">
        <v>389</v>
      </c>
      <c r="Q479">
        <v>121</v>
      </c>
      <c r="R479" s="31">
        <f>65/2</f>
        <v>32.5</v>
      </c>
      <c r="S479" s="30">
        <f>IFERROR(PROPERTIES[[#This Row],[TE_STARTING_KN]]/(PROPERTIES[[#This Row],[WEIGHT]]*9.81),0)</f>
        <v>9.2026277041567559E-2</v>
      </c>
      <c r="T479" s="30">
        <v>0.26</v>
      </c>
      <c r="U479" s="27">
        <f>ROUND(IF(IFERROR(PROPERTIES[[#This Row],[TE_COEFFICIENT_CALC]],0)=0,PROPERTIES[[#This Row],[TE_COEFFICIENT_MANUAL]],PROPERTIES[[#This Row],[TE_COEFFICIENT_CALC]]),3)</f>
        <v>9.1999999999999998E-2</v>
      </c>
      <c r="V479" s="6">
        <v>20</v>
      </c>
      <c r="W479" s="10">
        <v>80</v>
      </c>
      <c r="X479" s="10">
        <v>7</v>
      </c>
      <c r="Y479" s="10"/>
      <c r="Z479" t="str">
        <f>"RUNNING_COST_"&amp;IF(PROPERTIES[[#This Row],[ENGINE_CLASS]]="MAGLEV","ELECTRIC",PROPERTIES[[#This Row],[ENGINE_CLASS]])</f>
        <v>RUNNING_COST_DIESEL</v>
      </c>
      <c r="AA479" s="10" t="s">
        <v>1006</v>
      </c>
      <c r="AB479" s="10" t="s">
        <v>1007</v>
      </c>
      <c r="AC479" s="10" t="str">
        <f>SUBSTITUTE(SUBSTITUTE(PROPERTIES[[#This Row],[PURCHASECOST_VALUE]], "PURCHASECOST_", ""), "_VALUE", "")</f>
        <v>DMU</v>
      </c>
      <c r="AD479" s="2" t="b">
        <v>0</v>
      </c>
      <c r="AV479"/>
      <c r="AW479"/>
      <c r="AX479"/>
    </row>
    <row r="480" spans="1:50">
      <c r="A480" s="2" t="s">
        <v>506</v>
      </c>
      <c r="B480">
        <v>1984</v>
      </c>
      <c r="C480">
        <v>1</v>
      </c>
      <c r="D480" t="s">
        <v>1904</v>
      </c>
      <c r="E480" t="str">
        <f>_xlfn.XLOOKUP(PROPERTIES[[#This Row],[COUNTRY]],COUNTRIES[COUNTRY_DESCRIPTION],COUNTRIES[COUNTRY_LABEL],"")</f>
        <v>IR</v>
      </c>
      <c r="F480" t="s">
        <v>35</v>
      </c>
      <c r="G480" t="s">
        <v>18</v>
      </c>
      <c r="H480">
        <v>47</v>
      </c>
      <c r="I480">
        <v>6</v>
      </c>
      <c r="J480">
        <v>6</v>
      </c>
      <c r="K480" s="2" t="s">
        <v>24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4">
        <v>26</v>
      </c>
      <c r="P480">
        <v>200</v>
      </c>
      <c r="Q480">
        <v>121</v>
      </c>
      <c r="R480" s="31">
        <f>42/2</f>
        <v>21</v>
      </c>
      <c r="S480" s="30">
        <f>IFERROR(PROPERTIES[[#This Row],[TE_STARTING_KN]]/(PROPERTIES[[#This Row],[WEIGHT]]*9.81),0)</f>
        <v>8.2333568572100682E-2</v>
      </c>
      <c r="T480" s="30">
        <v>0.21</v>
      </c>
      <c r="U480" s="27">
        <f>ROUND(IF(IFERROR(PROPERTIES[[#This Row],[TE_COEFFICIENT_CALC]],0)=0,PROPERTIES[[#This Row],[TE_COEFFICIENT_MANUAL]],PROPERTIES[[#This Row],[TE_COEFFICIENT_CALC]]),3)</f>
        <v>8.2000000000000003E-2</v>
      </c>
      <c r="V480" s="6">
        <v>20</v>
      </c>
      <c r="W480" s="10">
        <v>47</v>
      </c>
      <c r="X480" s="10">
        <v>6</v>
      </c>
      <c r="Y480" s="10"/>
      <c r="Z480" t="str">
        <f>"RUNNING_COST_"&amp;IF(PROPERTIES[[#This Row],[ENGINE_CLASS]]="MAGLEV","ELECTRIC",PROPERTIES[[#This Row],[ENGINE_CLASS]])</f>
        <v>RUNNING_COST_DIESEL</v>
      </c>
      <c r="AA480" s="10" t="s">
        <v>1006</v>
      </c>
      <c r="AB480" s="10" t="s">
        <v>1007</v>
      </c>
      <c r="AC480" s="10" t="str">
        <f>SUBSTITUTE(SUBSTITUTE(PROPERTIES[[#This Row],[PURCHASECOST_VALUE]], "PURCHASECOST_", ""), "_VALUE", "")</f>
        <v>DMU</v>
      </c>
      <c r="AD480" s="2" t="b">
        <v>0</v>
      </c>
      <c r="AV480"/>
      <c r="AW480"/>
      <c r="AX480"/>
    </row>
    <row r="481" spans="1:50">
      <c r="A481" s="2" t="s">
        <v>507</v>
      </c>
      <c r="B481">
        <v>1986</v>
      </c>
      <c r="C481">
        <v>1</v>
      </c>
      <c r="D481" t="s">
        <v>1899</v>
      </c>
      <c r="E481" t="str">
        <f>_xlfn.XLOOKUP(PROPERTIES[[#This Row],[COUNTRY]],COUNTRIES[COUNTRY_DESCRIPTION],COUNTRIES[COUNTRY_LABEL],"")</f>
        <v>IL</v>
      </c>
      <c r="F481" t="s">
        <v>35</v>
      </c>
      <c r="G481" t="s">
        <v>18</v>
      </c>
      <c r="H481">
        <v>48</v>
      </c>
      <c r="I481">
        <v>8</v>
      </c>
      <c r="J481">
        <v>8</v>
      </c>
      <c r="K481" s="2" t="s">
        <v>479</v>
      </c>
      <c r="L481">
        <f>_xlfn.XLOOKUP("LOADINGSPEEDDEF_"&amp;PROPERTIES[[#This Row],[LOADINGSPEED]],LOADINGSPEEDDEF[TYPE],LOADINGSPEEDDEF[SPEED])</f>
        <v>16</v>
      </c>
      <c r="M481" t="s">
        <v>21</v>
      </c>
      <c r="N481">
        <v>1</v>
      </c>
      <c r="O481" s="34">
        <f>INT(97/2)</f>
        <v>48</v>
      </c>
      <c r="P481">
        <f>1600*2</f>
        <v>3200</v>
      </c>
      <c r="Q481">
        <v>180</v>
      </c>
      <c r="R481" s="31">
        <f>115/2</f>
        <v>57.5</v>
      </c>
      <c r="S481" s="30">
        <f>IFERROR(PROPERTIES[[#This Row],[TE_STARTING_KN]]/(PROPERTIES[[#This Row],[WEIGHT]]*9.81),0)</f>
        <v>0.12211179068977235</v>
      </c>
      <c r="T481" s="30">
        <v>0.25</v>
      </c>
      <c r="U481" s="27">
        <f>ROUND(IF(IFERROR(PROPERTIES[[#This Row],[TE_COEFFICIENT_CALC]],0)=0,PROPERTIES[[#This Row],[TE_COEFFICIENT_MANUAL]],PROPERTIES[[#This Row],[TE_COEFFICIENT_CALC]]),3)</f>
        <v>0.122</v>
      </c>
      <c r="V481" s="6">
        <v>25</v>
      </c>
      <c r="W481" s="10">
        <v>48</v>
      </c>
      <c r="X481" s="10">
        <v>8</v>
      </c>
      <c r="Y481" s="10"/>
      <c r="Z481" t="str">
        <f>"RUNNING_COST_"&amp;IF(PROPERTIES[[#This Row],[ENGINE_CLASS]]="MAGLEV","ELECTRIC",PROPERTIES[[#This Row],[ENGINE_CLASS]])</f>
        <v>RUNNING_COST_DIESEL</v>
      </c>
      <c r="AA481" s="10" t="s">
        <v>1006</v>
      </c>
      <c r="AB481" s="10" t="s">
        <v>1007</v>
      </c>
      <c r="AC481" s="10" t="str">
        <f>SUBSTITUTE(SUBSTITUTE(PROPERTIES[[#This Row],[PURCHASECOST_VALUE]], "PURCHASECOST_", ""), "_VALUE", "")</f>
        <v>DMU</v>
      </c>
      <c r="AD481" s="2" t="b">
        <v>0</v>
      </c>
      <c r="AV481"/>
      <c r="AW481"/>
      <c r="AX481"/>
    </row>
    <row r="482" spans="1:50">
      <c r="A482" s="2" t="s">
        <v>508</v>
      </c>
      <c r="B482">
        <v>1987</v>
      </c>
      <c r="C482">
        <v>1</v>
      </c>
      <c r="D482" t="s">
        <v>1810</v>
      </c>
      <c r="E482" t="str">
        <f>_xlfn.XLOOKUP(PROPERTIES[[#This Row],[COUNTRY]],COUNTRIES[COUNTRY_DESCRIPTION],COUNTRIES[COUNTRY_LABEL],"")</f>
        <v>AU</v>
      </c>
      <c r="F482" t="s">
        <v>35</v>
      </c>
      <c r="G482" t="s">
        <v>18</v>
      </c>
      <c r="H482">
        <v>46</v>
      </c>
      <c r="I482">
        <v>7</v>
      </c>
      <c r="J482">
        <v>7</v>
      </c>
      <c r="K482" s="2" t="s">
        <v>24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4">
        <v>48</v>
      </c>
      <c r="P482">
        <v>2092</v>
      </c>
      <c r="Q482">
        <v>90</v>
      </c>
      <c r="R482" s="31">
        <f>110/2</f>
        <v>55</v>
      </c>
      <c r="S482" s="30">
        <f>IFERROR(PROPERTIES[[#This Row],[TE_STARTING_KN]]/(PROPERTIES[[#This Row],[WEIGHT]]*9.81),0)</f>
        <v>0.11680258239891267</v>
      </c>
      <c r="T482" s="30">
        <v>0.22</v>
      </c>
      <c r="U482" s="27">
        <f>ROUND(IF(IFERROR(PROPERTIES[[#This Row],[TE_COEFFICIENT_CALC]],0)=0,PROPERTIES[[#This Row],[TE_COEFFICIENT_MANUAL]],PROPERTIES[[#This Row],[TE_COEFFICIENT_CALC]]),3)</f>
        <v>0.11700000000000001</v>
      </c>
      <c r="V482" s="6">
        <v>20</v>
      </c>
      <c r="W482" s="10">
        <v>53</v>
      </c>
      <c r="X482" s="10">
        <v>7</v>
      </c>
      <c r="Y482" s="10"/>
      <c r="Z482" t="str">
        <f>"RUNNING_COST_"&amp;IF(PROPERTIES[[#This Row],[ENGINE_CLASS]]="MAGLEV","ELECTRIC",PROPERTIES[[#This Row],[ENGINE_CLASS]])</f>
        <v>RUNNING_COST_DIESEL</v>
      </c>
      <c r="AA482" s="10" t="s">
        <v>1006</v>
      </c>
      <c r="AB482" s="10" t="s">
        <v>1007</v>
      </c>
      <c r="AC482" s="10" t="str">
        <f>SUBSTITUTE(SUBSTITUTE(PROPERTIES[[#This Row],[PURCHASECOST_VALUE]], "PURCHASECOST_", ""), "_VALUE", "")</f>
        <v>DMU</v>
      </c>
      <c r="AD482" s="2" t="b">
        <v>0</v>
      </c>
      <c r="AV482"/>
      <c r="AW482"/>
      <c r="AX482"/>
    </row>
    <row r="483" spans="1:50">
      <c r="A483" s="2" t="s">
        <v>509</v>
      </c>
      <c r="B483">
        <v>1993</v>
      </c>
      <c r="C483">
        <v>1</v>
      </c>
      <c r="D483" t="s">
        <v>1810</v>
      </c>
      <c r="E483" t="str">
        <f>_xlfn.XLOOKUP(PROPERTIES[[#This Row],[COUNTRY]],COUNTRIES[COUNTRY_DESCRIPTION],COUNTRIES[COUNTRY_LABEL],"")</f>
        <v>AU</v>
      </c>
      <c r="F483" t="s">
        <v>35</v>
      </c>
      <c r="G483" t="s">
        <v>18</v>
      </c>
      <c r="H483">
        <v>38</v>
      </c>
      <c r="I483">
        <v>8</v>
      </c>
      <c r="J483">
        <v>8</v>
      </c>
      <c r="K483" s="2" t="s">
        <v>24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4">
        <v>57</v>
      </c>
      <c r="P483">
        <f>514*2</f>
        <v>1028</v>
      </c>
      <c r="Q483">
        <v>145</v>
      </c>
      <c r="R483" s="31">
        <f>125/2</f>
        <v>62.5</v>
      </c>
      <c r="S483" s="30">
        <f>IFERROR(PROPERTIES[[#This Row],[TE_STARTING_KN]]/(PROPERTIES[[#This Row],[WEIGHT]]*9.81),0)</f>
        <v>0.11177280612336139</v>
      </c>
      <c r="T483" s="30">
        <v>0.13</v>
      </c>
      <c r="U483" s="27">
        <f>ROUND(IF(IFERROR(PROPERTIES[[#This Row],[TE_COEFFICIENT_CALC]],0)=0,PROPERTIES[[#This Row],[TE_COEFFICIENT_MANUAL]],PROPERTIES[[#This Row],[TE_COEFFICIENT_CALC]]),3)</f>
        <v>0.112</v>
      </c>
      <c r="V483" s="6">
        <v>20</v>
      </c>
      <c r="W483" s="10">
        <v>66</v>
      </c>
      <c r="X483" s="10">
        <v>8</v>
      </c>
      <c r="Y483" s="10"/>
      <c r="Z483" t="str">
        <f>"RUNNING_COST_"&amp;IF(PROPERTIES[[#This Row],[ENGINE_CLASS]]="MAGLEV","ELECTRIC",PROPERTIES[[#This Row],[ENGINE_CLASS]])</f>
        <v>RUNNING_COST_DIESEL</v>
      </c>
      <c r="AA483" s="10" t="s">
        <v>1006</v>
      </c>
      <c r="AB483" s="10" t="s">
        <v>1007</v>
      </c>
      <c r="AC483" s="10" t="str">
        <f>SUBSTITUTE(SUBSTITUTE(PROPERTIES[[#This Row],[PURCHASECOST_VALUE]], "PURCHASECOST_", ""), "_VALUE", "")</f>
        <v>DMU</v>
      </c>
      <c r="AD483" s="2" t="b">
        <v>0</v>
      </c>
      <c r="AV483"/>
      <c r="AW483"/>
      <c r="AX483"/>
    </row>
    <row r="484" spans="1:50">
      <c r="A484" s="2" t="s">
        <v>510</v>
      </c>
      <c r="B484">
        <v>2010</v>
      </c>
      <c r="C484">
        <v>1</v>
      </c>
      <c r="D484" t="s">
        <v>1910</v>
      </c>
      <c r="E484" t="str">
        <f>_xlfn.XLOOKUP(PROPERTIES[[#This Row],[COUNTRY]],COUNTRIES[COUNTRY_DESCRIPTION],COUNTRIES[COUNTRY_LABEL],"")</f>
        <v>JP</v>
      </c>
      <c r="F484" t="s">
        <v>35</v>
      </c>
      <c r="G484" t="s">
        <v>18</v>
      </c>
      <c r="H484">
        <v>56</v>
      </c>
      <c r="I484">
        <v>7</v>
      </c>
      <c r="J484">
        <v>7</v>
      </c>
      <c r="K484" s="2" t="s">
        <v>24</v>
      </c>
      <c r="L484">
        <f>_xlfn.XLOOKUP("LOADINGSPEEDDEF_"&amp;PROPERTIES[[#This Row],[LOADINGSPEED]],LOADINGSPEEDDEF[TYPE],LOADINGSPEEDDEF[SPEED])</f>
        <v>40</v>
      </c>
      <c r="M484" t="s">
        <v>21</v>
      </c>
      <c r="N484">
        <v>1</v>
      </c>
      <c r="O484" s="34">
        <v>49</v>
      </c>
      <c r="P484">
        <v>900</v>
      </c>
      <c r="Q484">
        <v>130</v>
      </c>
      <c r="R484" s="31">
        <f>110/2</f>
        <v>55</v>
      </c>
      <c r="S484" s="30">
        <f>IFERROR(PROPERTIES[[#This Row],[TE_STARTING_KN]]/(PROPERTIES[[#This Row],[WEIGHT]]*9.81),0)</f>
        <v>0.11441885622750629</v>
      </c>
      <c r="T484" s="30">
        <v>0.21</v>
      </c>
      <c r="U484" s="27">
        <f>ROUND(IF(IFERROR(PROPERTIES[[#This Row],[TE_COEFFICIENT_CALC]],0)=0,PROPERTIES[[#This Row],[TE_COEFFICIENT_MANUAL]],PROPERTIES[[#This Row],[TE_COEFFICIENT_CALC]]),3)</f>
        <v>0.114</v>
      </c>
      <c r="V484" s="6">
        <v>20</v>
      </c>
      <c r="W484" s="10">
        <v>56</v>
      </c>
      <c r="X484" s="10">
        <v>7</v>
      </c>
      <c r="Y484" s="10"/>
      <c r="Z484" t="str">
        <f>"RUNNING_COST_"&amp;IF(PROPERTIES[[#This Row],[ENGINE_CLASS]]="MAGLEV","ELECTRIC",PROPERTIES[[#This Row],[ENGINE_CLASS]])</f>
        <v>RUNNING_COST_DIESEL</v>
      </c>
      <c r="AA484" s="10" t="s">
        <v>1006</v>
      </c>
      <c r="AB484" s="10" t="s">
        <v>1007</v>
      </c>
      <c r="AC484" s="10" t="str">
        <f>SUBSTITUTE(SUBSTITUTE(PROPERTIES[[#This Row],[PURCHASECOST_VALUE]], "PURCHASECOST_", ""), "_VALUE", "")</f>
        <v>DMU</v>
      </c>
      <c r="AD484" s="2" t="b">
        <v>0</v>
      </c>
      <c r="AV484"/>
      <c r="AW484"/>
      <c r="AX484"/>
    </row>
    <row r="485" spans="1:50">
      <c r="A485" s="2" t="s">
        <v>511</v>
      </c>
      <c r="B485">
        <v>2011</v>
      </c>
      <c r="C485">
        <v>1</v>
      </c>
      <c r="D485" t="s">
        <v>1926</v>
      </c>
      <c r="E485" t="str">
        <f>_xlfn.XLOOKUP(PROPERTIES[[#This Row],[COUNTRY]],COUNTRIES[COUNTRY_DESCRIPTION],COUNTRIES[COUNTRY_LABEL],"")</f>
        <v>LK</v>
      </c>
      <c r="F485" t="s">
        <v>35</v>
      </c>
      <c r="G485" t="s">
        <v>18</v>
      </c>
      <c r="H485">
        <v>20</v>
      </c>
      <c r="I485">
        <v>8</v>
      </c>
      <c r="J485">
        <v>8</v>
      </c>
      <c r="K485" s="2" t="s">
        <v>24</v>
      </c>
      <c r="L485">
        <f>_xlfn.XLOOKUP("LOADINGSPEEDDEF_"&amp;PROPERTIES[[#This Row],[LOADINGSPEED]],LOADINGSPEEDDEF[TYPE],LOADINGSPEEDDEF[SPEED])</f>
        <v>40</v>
      </c>
      <c r="M485" t="s">
        <v>21</v>
      </c>
      <c r="N485">
        <v>1</v>
      </c>
      <c r="O485" s="34">
        <v>20</v>
      </c>
      <c r="P485">
        <v>1360</v>
      </c>
      <c r="Q485">
        <v>110</v>
      </c>
      <c r="R485" s="31">
        <f>140/2</f>
        <v>70</v>
      </c>
      <c r="S485" s="30">
        <f>IFERROR(PROPERTIES[[#This Row],[TE_STARTING_KN]]/(PROPERTIES[[#This Row],[WEIGHT]]*9.81),0)</f>
        <v>0.3567787971457696</v>
      </c>
      <c r="T485" s="30">
        <v>0.57999999999999996</v>
      </c>
      <c r="U485" s="27">
        <f>ROUND(IF(IFERROR(PROPERTIES[[#This Row],[TE_COEFFICIENT_CALC]],0)=0,PROPERTIES[[#This Row],[TE_COEFFICIENT_MANUAL]],PROPERTIES[[#This Row],[TE_COEFFICIENT_CALC]]),3)</f>
        <v>0.35699999999999998</v>
      </c>
      <c r="V485" s="6">
        <v>20</v>
      </c>
      <c r="W485" s="10">
        <f>INT(429/6)</f>
        <v>71</v>
      </c>
      <c r="X485" s="10">
        <v>8</v>
      </c>
      <c r="Y485" s="10"/>
      <c r="Z485" t="str">
        <f>"RUNNING_COST_"&amp;IF(PROPERTIES[[#This Row],[ENGINE_CLASS]]="MAGLEV","ELECTRIC",PROPERTIES[[#This Row],[ENGINE_CLASS]])</f>
        <v>RUNNING_COST_DIESEL</v>
      </c>
      <c r="AA485" s="10" t="s">
        <v>1006</v>
      </c>
      <c r="AB485" s="10" t="s">
        <v>1007</v>
      </c>
      <c r="AC485" s="10" t="str">
        <f>SUBSTITUTE(SUBSTITUTE(PROPERTIES[[#This Row],[PURCHASECOST_VALUE]], "PURCHASECOST_", ""), "_VALUE", "")</f>
        <v>DMU</v>
      </c>
      <c r="AD485" s="2" t="b">
        <v>0</v>
      </c>
      <c r="AV485"/>
      <c r="AW485"/>
      <c r="AX485"/>
    </row>
    <row r="486" spans="1:50">
      <c r="A486" s="2" t="s">
        <v>512</v>
      </c>
      <c r="B486">
        <v>2011</v>
      </c>
      <c r="C486">
        <v>1</v>
      </c>
      <c r="D486" t="s">
        <v>1998</v>
      </c>
      <c r="E486" t="str">
        <f>_xlfn.XLOOKUP(PROPERTIES[[#This Row],[COUNTRY]],COUNTRIES[COUNTRY_DESCRIPTION],COUNTRIES[COUNTRY_LABEL],"")</f>
        <v>SK</v>
      </c>
      <c r="F486" t="s">
        <v>35</v>
      </c>
      <c r="G486" t="s">
        <v>18</v>
      </c>
      <c r="H486" s="10">
        <f>INT(195/2)</f>
        <v>97</v>
      </c>
      <c r="I486">
        <v>8</v>
      </c>
      <c r="J486">
        <v>8</v>
      </c>
      <c r="K486" s="2" t="s">
        <v>24</v>
      </c>
      <c r="L486">
        <f>_xlfn.XLOOKUP("LOADINGSPEEDDEF_"&amp;PROPERTIES[[#This Row],[LOADINGSPEED]],LOADINGSPEEDDEF[TYPE],LOADINGSPEEDDEF[SPEED])</f>
        <v>40</v>
      </c>
      <c r="M486" t="s">
        <v>21</v>
      </c>
      <c r="N486">
        <v>1</v>
      </c>
      <c r="O486" s="34">
        <v>60</v>
      </c>
      <c r="P486">
        <v>1580</v>
      </c>
      <c r="Q486">
        <v>140</v>
      </c>
      <c r="R486" s="31">
        <f>125/2</f>
        <v>62.5</v>
      </c>
      <c r="S486" s="30">
        <f>IFERROR(PROPERTIES[[#This Row],[TE_STARTING_KN]]/(PROPERTIES[[#This Row],[WEIGHT]]*9.81),0)</f>
        <v>0.10618416581719334</v>
      </c>
      <c r="T486" s="30">
        <v>0.34</v>
      </c>
      <c r="U486" s="27">
        <f>ROUND(IF(IFERROR(PROPERTIES[[#This Row],[TE_COEFFICIENT_CALC]],0)=0,PROPERTIES[[#This Row],[TE_COEFFICIENT_MANUAL]],PROPERTIES[[#This Row],[TE_COEFFICIENT_CALC]]),3)</f>
        <v>0.106</v>
      </c>
      <c r="V486" s="6">
        <v>20</v>
      </c>
      <c r="W486" s="10">
        <f>INT(195/2)</f>
        <v>97</v>
      </c>
      <c r="X486" s="10">
        <v>7</v>
      </c>
      <c r="Y486" s="10"/>
      <c r="Z486" t="str">
        <f>"RUNNING_COST_"&amp;IF(PROPERTIES[[#This Row],[ENGINE_CLASS]]="MAGLEV","ELECTRIC",PROPERTIES[[#This Row],[ENGINE_CLASS]])</f>
        <v>RUNNING_COST_DIESEL</v>
      </c>
      <c r="AA486" s="10" t="s">
        <v>1006</v>
      </c>
      <c r="AB486" s="10" t="s">
        <v>1007</v>
      </c>
      <c r="AC486" s="10" t="str">
        <f>SUBSTITUTE(SUBSTITUTE(PROPERTIES[[#This Row],[PURCHASECOST_VALUE]], "PURCHASECOST_", ""), "_VALUE", "")</f>
        <v>DMU</v>
      </c>
      <c r="AD486" s="2" t="b">
        <v>0</v>
      </c>
      <c r="AV486"/>
      <c r="AW486"/>
      <c r="AX486"/>
    </row>
    <row r="487" spans="1:50">
      <c r="A487" s="2" t="s">
        <v>513</v>
      </c>
      <c r="B487">
        <v>1982</v>
      </c>
      <c r="C487">
        <v>1</v>
      </c>
      <c r="D487" t="s">
        <v>1843</v>
      </c>
      <c r="E487" t="str">
        <f>_xlfn.XLOOKUP(PROPERTIES[[#This Row],[COUNTRY]],COUNTRIES[COUNTRY_DESCRIPTION],COUNTRIES[COUNTRY_LABEL],"")</f>
        <v>CL</v>
      </c>
      <c r="F487" t="s">
        <v>35</v>
      </c>
      <c r="G487" t="s">
        <v>18</v>
      </c>
      <c r="H487">
        <f>144/2</f>
        <v>72</v>
      </c>
      <c r="I487">
        <v>8</v>
      </c>
      <c r="J487">
        <v>8</v>
      </c>
      <c r="K487" s="2" t="s">
        <v>24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4">
        <v>68</v>
      </c>
      <c r="P487">
        <f>460*2</f>
        <v>920</v>
      </c>
      <c r="Q487">
        <v>120</v>
      </c>
      <c r="R487" s="31">
        <f>90/2</f>
        <v>45</v>
      </c>
      <c r="S487" s="30">
        <f>IFERROR(PROPERTIES[[#This Row],[TE_STARTING_KN]]/(PROPERTIES[[#This Row],[WEIGHT]]*9.81),0)</f>
        <v>6.745817593092282E-2</v>
      </c>
      <c r="T487" s="30">
        <v>0.13</v>
      </c>
      <c r="U487" s="27">
        <f>ROUND(IF(IFERROR(PROPERTIES[[#This Row],[TE_COEFFICIENT_CALC]],0)=0,PROPERTIES[[#This Row],[TE_COEFFICIENT_MANUAL]],PROPERTIES[[#This Row],[TE_COEFFICIENT_CALC]]),3)</f>
        <v>6.7000000000000004E-2</v>
      </c>
      <c r="V487" s="6">
        <v>40</v>
      </c>
      <c r="W487" s="10">
        <f>144/2</f>
        <v>72</v>
      </c>
      <c r="X487" s="10">
        <v>8</v>
      </c>
      <c r="Y487" s="10"/>
      <c r="Z487" t="str">
        <f>"RUNNING_COST_"&amp;IF(PROPERTIES[[#This Row],[ENGINE_CLASS]]="MAGLEV","ELECTRIC",PROPERTIES[[#This Row],[ENGINE_CLASS]])</f>
        <v>RUNNING_COST_DIESEL</v>
      </c>
      <c r="AA487" s="10" t="s">
        <v>1006</v>
      </c>
      <c r="AB487" s="10" t="s">
        <v>1007</v>
      </c>
      <c r="AC487" s="10" t="str">
        <f>SUBSTITUTE(SUBSTITUTE(PROPERTIES[[#This Row],[PURCHASECOST_VALUE]], "PURCHASECOST_", ""), "_VALUE", "")</f>
        <v>DMU</v>
      </c>
      <c r="AD487" s="2" t="b">
        <v>0</v>
      </c>
      <c r="AV487"/>
      <c r="AW487"/>
      <c r="AX487"/>
    </row>
    <row r="488" spans="1:50">
      <c r="A488" s="2" t="s">
        <v>514</v>
      </c>
      <c r="B488">
        <v>1976</v>
      </c>
      <c r="C488">
        <v>1</v>
      </c>
      <c r="D488" t="s">
        <v>1844</v>
      </c>
      <c r="E488" t="str">
        <f>_xlfn.XLOOKUP(PROPERTIES[[#This Row],[COUNTRY]],COUNTRIES[COUNTRY_DESCRIPTION],COUNTRIES[COUNTRY_LABEL],"")</f>
        <v>CM</v>
      </c>
      <c r="F488" t="s">
        <v>35</v>
      </c>
      <c r="G488" t="s">
        <v>18</v>
      </c>
      <c r="H488">
        <v>62</v>
      </c>
      <c r="I488">
        <v>8</v>
      </c>
      <c r="J488">
        <v>8</v>
      </c>
      <c r="K488" s="2" t="s">
        <v>24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4">
        <v>38</v>
      </c>
      <c r="P488">
        <v>376</v>
      </c>
      <c r="Q488">
        <v>90</v>
      </c>
      <c r="R488" s="31">
        <f>95/2</f>
        <v>47.5</v>
      </c>
      <c r="S488" s="30">
        <f>IFERROR(PROPERTIES[[#This Row],[TE_STARTING_KN]]/(PROPERTIES[[#This Row],[WEIGHT]]*9.81),0)</f>
        <v>0.127420998980632</v>
      </c>
      <c r="T488" s="30">
        <v>0.12</v>
      </c>
      <c r="U488" s="27">
        <f>ROUND(IF(IFERROR(PROPERTIES[[#This Row],[TE_COEFFICIENT_CALC]],0)=0,PROPERTIES[[#This Row],[TE_COEFFICIENT_MANUAL]],PROPERTIES[[#This Row],[TE_COEFFICIENT_CALC]]),3)</f>
        <v>0.127</v>
      </c>
      <c r="V488" s="6">
        <v>40</v>
      </c>
      <c r="W488" s="10">
        <v>62</v>
      </c>
      <c r="X488" s="10">
        <v>8</v>
      </c>
      <c r="Y488" s="10"/>
      <c r="Z488" t="str">
        <f>"RUNNING_COST_"&amp;IF(PROPERTIES[[#This Row],[ENGINE_CLASS]]="MAGLEV","ELECTRIC",PROPERTIES[[#This Row],[ENGINE_CLASS]])</f>
        <v>RUNNING_COST_DIESEL</v>
      </c>
      <c r="AA488" s="10" t="s">
        <v>1006</v>
      </c>
      <c r="AB488" s="10" t="s">
        <v>1007</v>
      </c>
      <c r="AC488" s="10" t="str">
        <f>SUBSTITUTE(SUBSTITUTE(PROPERTIES[[#This Row],[PURCHASECOST_VALUE]], "PURCHASECOST_", ""), "_VALUE", "")</f>
        <v>DMU</v>
      </c>
      <c r="AD488" s="2" t="b">
        <v>0</v>
      </c>
      <c r="AV488"/>
      <c r="AW488"/>
      <c r="AX488"/>
    </row>
    <row r="489" spans="1:50">
      <c r="A489" s="2" t="s">
        <v>515</v>
      </c>
      <c r="B489">
        <v>1960</v>
      </c>
      <c r="C489">
        <v>1</v>
      </c>
      <c r="D489" t="s">
        <v>1873</v>
      </c>
      <c r="E489" t="str">
        <f>_xlfn.XLOOKUP(PROPERTIES[[#This Row],[COUNTRY]],COUNTRIES[COUNTRY_DESCRIPTION],COUNTRIES[COUNTRY_LABEL],"")</f>
        <v>GB</v>
      </c>
      <c r="F489" t="s">
        <v>35</v>
      </c>
      <c r="G489" t="s">
        <v>18</v>
      </c>
      <c r="H489">
        <v>27</v>
      </c>
      <c r="I489">
        <v>7</v>
      </c>
      <c r="J489">
        <v>7</v>
      </c>
      <c r="K489" s="2" t="s">
        <v>24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4">
        <v>67</v>
      </c>
      <c r="P489">
        <v>2000</v>
      </c>
      <c r="Q489">
        <v>145</v>
      </c>
      <c r="R489" s="31">
        <f>125/2</f>
        <v>62.5</v>
      </c>
      <c r="S489" s="30">
        <f>IFERROR(PROPERTIES[[#This Row],[TE_STARTING_KN]]/(PROPERTIES[[#This Row],[WEIGHT]]*9.81),0)</f>
        <v>9.5090297746740313E-2</v>
      </c>
      <c r="T489" s="30">
        <v>0.24</v>
      </c>
      <c r="U489" s="27">
        <f>ROUND(IF(IFERROR(PROPERTIES[[#This Row],[TE_COEFFICIENT_CALC]],0)=0,PROPERTIES[[#This Row],[TE_COEFFICIENT_MANUAL]],PROPERTIES[[#This Row],[TE_COEFFICIENT_CALC]]),3)</f>
        <v>9.5000000000000001E-2</v>
      </c>
      <c r="V489" s="6">
        <v>40</v>
      </c>
      <c r="W489" s="10">
        <v>42</v>
      </c>
      <c r="X489" s="10">
        <v>7</v>
      </c>
      <c r="Y489" s="10"/>
      <c r="Z489" t="str">
        <f>"RUNNING_COST_"&amp;IF(PROPERTIES[[#This Row],[ENGINE_CLASS]]="MAGLEV","ELECTRIC",PROPERTIES[[#This Row],[ENGINE_CLASS]])</f>
        <v>RUNNING_COST_DIESEL</v>
      </c>
      <c r="AA489" s="10" t="s">
        <v>1006</v>
      </c>
      <c r="AB489" s="10" t="s">
        <v>1007</v>
      </c>
      <c r="AC489" s="10" t="str">
        <f>SUBSTITUTE(SUBSTITUTE(PROPERTIES[[#This Row],[PURCHASECOST_VALUE]], "PURCHASECOST_", ""), "_VALUE", "")</f>
        <v>DMU</v>
      </c>
      <c r="AD489" s="2" t="b">
        <v>0</v>
      </c>
      <c r="AV489"/>
      <c r="AW489"/>
      <c r="AX489"/>
    </row>
    <row r="490" spans="1:50">
      <c r="A490" s="2" t="s">
        <v>516</v>
      </c>
      <c r="B490">
        <v>1967</v>
      </c>
      <c r="C490">
        <v>1</v>
      </c>
      <c r="D490" t="s">
        <v>1810</v>
      </c>
      <c r="E490" t="str">
        <f>_xlfn.XLOOKUP(PROPERTIES[[#This Row],[COUNTRY]],COUNTRIES[COUNTRY_DESCRIPTION],COUNTRIES[COUNTRY_LABEL],"")</f>
        <v>AU</v>
      </c>
      <c r="F490" t="s">
        <v>35</v>
      </c>
      <c r="G490" t="s">
        <v>18</v>
      </c>
      <c r="H490">
        <v>74</v>
      </c>
      <c r="I490">
        <v>8</v>
      </c>
      <c r="J490">
        <v>8</v>
      </c>
      <c r="K490" s="2" t="s">
        <v>24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4">
        <v>33</v>
      </c>
      <c r="P490">
        <v>416</v>
      </c>
      <c r="Q490">
        <v>90</v>
      </c>
      <c r="R490" s="31">
        <f>58/2</f>
        <v>29</v>
      </c>
      <c r="S490" s="30">
        <f>IFERROR(PROPERTIES[[#This Row],[TE_STARTING_KN]]/(PROPERTIES[[#This Row],[WEIGHT]]*9.81),0)</f>
        <v>8.9580823525777648E-2</v>
      </c>
      <c r="T490" s="30">
        <v>0.44</v>
      </c>
      <c r="U490" s="27">
        <f>ROUND(IF(IFERROR(PROPERTIES[[#This Row],[TE_COEFFICIENT_CALC]],0)=0,PROPERTIES[[#This Row],[TE_COEFFICIENT_MANUAL]],PROPERTIES[[#This Row],[TE_COEFFICIENT_CALC]]),3)</f>
        <v>0.09</v>
      </c>
      <c r="V490" s="6">
        <v>40</v>
      </c>
      <c r="W490" s="10">
        <v>74</v>
      </c>
      <c r="X490" s="10">
        <v>7</v>
      </c>
      <c r="Y490" s="10"/>
      <c r="Z490" t="str">
        <f>"RUNNING_COST_"&amp;IF(PROPERTIES[[#This Row],[ENGINE_CLASS]]="MAGLEV","ELECTRIC",PROPERTIES[[#This Row],[ENGINE_CLASS]])</f>
        <v>RUNNING_COST_DIESEL</v>
      </c>
      <c r="AA490" s="10" t="s">
        <v>1006</v>
      </c>
      <c r="AB490" s="10" t="s">
        <v>1007</v>
      </c>
      <c r="AC490" s="10" t="str">
        <f>SUBSTITUTE(SUBSTITUTE(PROPERTIES[[#This Row],[PURCHASECOST_VALUE]], "PURCHASECOST_", ""), "_VALUE", "")</f>
        <v>DMU</v>
      </c>
      <c r="AD490" s="2" t="b">
        <v>0</v>
      </c>
      <c r="AV490"/>
      <c r="AW490"/>
      <c r="AX490"/>
    </row>
    <row r="491" spans="1:50">
      <c r="A491" s="2" t="s">
        <v>517</v>
      </c>
      <c r="B491">
        <v>1971</v>
      </c>
      <c r="C491">
        <v>1</v>
      </c>
      <c r="D491" t="s">
        <v>1872</v>
      </c>
      <c r="E491" t="str">
        <f>_xlfn.XLOOKUP(PROPERTIES[[#This Row],[COUNTRY]],COUNTRIES[COUNTRY_DESCRIPTION],COUNTRIES[COUNTRY_LABEL],"")</f>
        <v>FR</v>
      </c>
      <c r="F491" t="s">
        <v>35</v>
      </c>
      <c r="G491" t="s">
        <v>18</v>
      </c>
      <c r="H491">
        <v>133</v>
      </c>
      <c r="I491">
        <v>8</v>
      </c>
      <c r="J491">
        <v>8</v>
      </c>
      <c r="K491" s="2" t="s">
        <v>24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4">
        <v>31</v>
      </c>
      <c r="P491">
        <v>396</v>
      </c>
      <c r="Q491">
        <v>120</v>
      </c>
      <c r="R491" s="31">
        <f>85/2</f>
        <v>42.5</v>
      </c>
      <c r="S491" s="30">
        <f>IFERROR(PROPERTIES[[#This Row],[TE_STARTING_KN]]/(PROPERTIES[[#This Row],[WEIGHT]]*9.81),0)</f>
        <v>0.13975206339811252</v>
      </c>
      <c r="T491" s="30">
        <v>0.2</v>
      </c>
      <c r="U491" s="27">
        <f>ROUND(IF(IFERROR(PROPERTIES[[#This Row],[TE_COEFFICIENT_CALC]],0)=0,PROPERTIES[[#This Row],[TE_COEFFICIENT_MANUAL]],PROPERTIES[[#This Row],[TE_COEFFICIENT_CALC]]),3)</f>
        <v>0.14000000000000001</v>
      </c>
      <c r="V491" s="6">
        <v>40</v>
      </c>
      <c r="W491" s="10">
        <v>133</v>
      </c>
      <c r="X491" s="10">
        <v>8</v>
      </c>
      <c r="Y491" s="10"/>
      <c r="Z491" t="str">
        <f>"RUNNING_COST_"&amp;IF(PROPERTIES[[#This Row],[ENGINE_CLASS]]="MAGLEV","ELECTRIC",PROPERTIES[[#This Row],[ENGINE_CLASS]])</f>
        <v>RUNNING_COST_DIESEL</v>
      </c>
      <c r="AA491" s="10" t="s">
        <v>1006</v>
      </c>
      <c r="AB491" s="10" t="s">
        <v>1007</v>
      </c>
      <c r="AC491" s="10" t="str">
        <f>SUBSTITUTE(SUBSTITUTE(PROPERTIES[[#This Row],[PURCHASECOST_VALUE]], "PURCHASECOST_", ""), "_VALUE", "")</f>
        <v>DMU</v>
      </c>
      <c r="AD491" s="2" t="b">
        <v>0</v>
      </c>
      <c r="AV491"/>
      <c r="AW491"/>
      <c r="AX491"/>
    </row>
    <row r="492" spans="1:50">
      <c r="A492" s="2" t="s">
        <v>518</v>
      </c>
      <c r="B492">
        <v>1972</v>
      </c>
      <c r="C492">
        <v>1</v>
      </c>
      <c r="D492" t="s">
        <v>1872</v>
      </c>
      <c r="E492" t="str">
        <f>_xlfn.XLOOKUP(PROPERTIES[[#This Row],[COUNTRY]],COUNTRIES[COUNTRY_DESCRIPTION],COUNTRIES[COUNTRY_LABEL],"")</f>
        <v>FR</v>
      </c>
      <c r="F492" t="s">
        <v>35</v>
      </c>
      <c r="G492" t="s">
        <v>18</v>
      </c>
      <c r="H492">
        <v>60</v>
      </c>
      <c r="I492">
        <v>8</v>
      </c>
      <c r="J492">
        <v>8</v>
      </c>
      <c r="K492" s="2" t="s">
        <v>24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4">
        <f>225/2</f>
        <v>112.5</v>
      </c>
      <c r="P492">
        <v>1036</v>
      </c>
      <c r="Q492">
        <v>160</v>
      </c>
      <c r="R492" s="31">
        <f>90/2</f>
        <v>45</v>
      </c>
      <c r="S492" s="30">
        <f>IFERROR(PROPERTIES[[#This Row],[TE_STARTING_KN]]/(PROPERTIES[[#This Row],[WEIGHT]]*9.81),0)</f>
        <v>4.0774719673802244E-2</v>
      </c>
      <c r="T492" s="30">
        <v>0.38</v>
      </c>
      <c r="U492" s="27">
        <f>ROUND(IF(IFERROR(PROPERTIES[[#This Row],[TE_COEFFICIENT_CALC]],0)=0,PROPERTIES[[#This Row],[TE_COEFFICIENT_MANUAL]],PROPERTIES[[#This Row],[TE_COEFFICIENT_CALC]]),3)</f>
        <v>4.1000000000000002E-2</v>
      </c>
      <c r="V492" s="6">
        <v>40</v>
      </c>
      <c r="W492" s="10">
        <f>400/5</f>
        <v>80</v>
      </c>
      <c r="X492" s="10">
        <v>8</v>
      </c>
      <c r="Y492" s="10"/>
      <c r="Z492" t="str">
        <f>"RUNNING_COST_"&amp;IF(PROPERTIES[[#This Row],[ENGINE_CLASS]]="MAGLEV","ELECTRIC",PROPERTIES[[#This Row],[ENGINE_CLASS]])</f>
        <v>RUNNING_COST_DIESEL</v>
      </c>
      <c r="AA492" s="10" t="s">
        <v>1006</v>
      </c>
      <c r="AB492" s="10" t="s">
        <v>1007</v>
      </c>
      <c r="AC492" s="10" t="str">
        <f>SUBSTITUTE(SUBSTITUTE(PROPERTIES[[#This Row],[PURCHASECOST_VALUE]], "PURCHASECOST_", ""), "_VALUE", "")</f>
        <v>DMU</v>
      </c>
      <c r="AD492" s="2" t="b">
        <v>1</v>
      </c>
      <c r="AV492"/>
      <c r="AW492"/>
      <c r="AX492"/>
    </row>
    <row r="493" spans="1:50">
      <c r="A493" s="2" t="s">
        <v>519</v>
      </c>
      <c r="B493">
        <v>1981</v>
      </c>
      <c r="C493">
        <v>1</v>
      </c>
      <c r="D493" t="s">
        <v>1962</v>
      </c>
      <c r="E493" t="str">
        <f>_xlfn.XLOOKUP(PROPERTIES[[#This Row],[COUNTRY]],COUNTRIES[COUNTRY_DESCRIPTION],COUNTRIES[COUNTRY_LABEL],"")</f>
        <v>NL</v>
      </c>
      <c r="F493" t="s">
        <v>35</v>
      </c>
      <c r="G493" t="s">
        <v>18</v>
      </c>
      <c r="H493">
        <v>80</v>
      </c>
      <c r="I493">
        <v>8</v>
      </c>
      <c r="J493">
        <v>8</v>
      </c>
      <c r="K493" s="2" t="s">
        <v>24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4">
        <v>34</v>
      </c>
      <c r="P493">
        <v>562</v>
      </c>
      <c r="Q493">
        <v>101</v>
      </c>
      <c r="R493" s="31">
        <f>68/2</f>
        <v>34</v>
      </c>
      <c r="S493" s="30">
        <f>IFERROR(PROPERTIES[[#This Row],[TE_STARTING_KN]]/(PROPERTIES[[#This Row],[WEIGHT]]*9.81),0)</f>
        <v>0.1019367991845056</v>
      </c>
      <c r="T493" s="30">
        <v>0.3</v>
      </c>
      <c r="U493" s="27">
        <f>ROUND(IF(IFERROR(PROPERTIES[[#This Row],[TE_COEFFICIENT_CALC]],0)=0,PROPERTIES[[#This Row],[TE_COEFFICIENT_MANUAL]],PROPERTIES[[#This Row],[TE_COEFFICIENT_CALC]]),3)</f>
        <v>0.10199999999999999</v>
      </c>
      <c r="V493" s="6">
        <v>40</v>
      </c>
      <c r="W493" s="10">
        <v>80</v>
      </c>
      <c r="X493" s="10">
        <v>8</v>
      </c>
      <c r="Y493" s="10"/>
      <c r="Z493" t="str">
        <f>"RUNNING_COST_"&amp;IF(PROPERTIES[[#This Row],[ENGINE_CLASS]]="MAGLEV","ELECTRIC",PROPERTIES[[#This Row],[ENGINE_CLASS]])</f>
        <v>RUNNING_COST_DIESEL</v>
      </c>
      <c r="AA493" s="10" t="s">
        <v>1006</v>
      </c>
      <c r="AB493" s="10" t="s">
        <v>1007</v>
      </c>
      <c r="AC493" s="10" t="str">
        <f>SUBSTITUTE(SUBSTITUTE(PROPERTIES[[#This Row],[PURCHASECOST_VALUE]], "PURCHASECOST_", ""), "_VALUE", "")</f>
        <v>DMU</v>
      </c>
      <c r="AD493" s="2" t="b">
        <v>0</v>
      </c>
      <c r="AV493"/>
      <c r="AW493"/>
      <c r="AX493"/>
    </row>
    <row r="494" spans="1:50">
      <c r="A494" s="2" t="s">
        <v>520</v>
      </c>
      <c r="B494">
        <v>1986</v>
      </c>
      <c r="C494">
        <v>1</v>
      </c>
      <c r="D494" t="s">
        <v>2046</v>
      </c>
      <c r="E494" t="str">
        <f>_xlfn.XLOOKUP(PROPERTIES[[#This Row],[COUNTRY]],COUNTRIES[COUNTRY_DESCRIPTION],COUNTRIES[COUNTRY_LABEL],"")</f>
        <v>GDR</v>
      </c>
      <c r="F494" t="s">
        <v>35</v>
      </c>
      <c r="G494" t="s">
        <v>18</v>
      </c>
      <c r="H494">
        <f>INT(136/2)</f>
        <v>68</v>
      </c>
      <c r="I494">
        <v>8</v>
      </c>
      <c r="J494">
        <v>8</v>
      </c>
      <c r="K494" s="2" t="s">
        <v>24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4">
        <v>42</v>
      </c>
      <c r="P494">
        <v>650</v>
      </c>
      <c r="Q494">
        <v>120</v>
      </c>
      <c r="R494" s="31">
        <f>95/2</f>
        <v>47.5</v>
      </c>
      <c r="S494" s="30">
        <f>IFERROR(PROPERTIES[[#This Row],[TE_STARTING_KN]]/(PROPERTIES[[#This Row],[WEIGHT]]*9.81),0)</f>
        <v>0.11528566574438133</v>
      </c>
      <c r="T494" s="30">
        <v>0.27</v>
      </c>
      <c r="U494" s="27">
        <f>ROUND(IF(IFERROR(PROPERTIES[[#This Row],[TE_COEFFICIENT_CALC]],0)=0,PROPERTIES[[#This Row],[TE_COEFFICIENT_MANUAL]],PROPERTIES[[#This Row],[TE_COEFFICIENT_CALC]]),3)</f>
        <v>0.115</v>
      </c>
      <c r="V494" s="6">
        <v>40</v>
      </c>
      <c r="W494" s="10">
        <f>INT(136/2)</f>
        <v>68</v>
      </c>
      <c r="X494" s="10">
        <v>8</v>
      </c>
      <c r="Y494" s="10"/>
      <c r="Z494" t="str">
        <f>"RUNNING_COST_"&amp;IF(PROPERTIES[[#This Row],[ENGINE_CLASS]]="MAGLEV","ELECTRIC",PROPERTIES[[#This Row],[ENGINE_CLASS]])</f>
        <v>RUNNING_COST_DIESEL</v>
      </c>
      <c r="AA494" s="10" t="s">
        <v>1006</v>
      </c>
      <c r="AB494" s="10" t="s">
        <v>1007</v>
      </c>
      <c r="AC494" s="10" t="str">
        <f>SUBSTITUTE(SUBSTITUTE(PROPERTIES[[#This Row],[PURCHASECOST_VALUE]], "PURCHASECOST_", ""), "_VALUE", "")</f>
        <v>DMU</v>
      </c>
      <c r="AD494" s="2" t="b">
        <v>0</v>
      </c>
      <c r="AV494"/>
      <c r="AW494"/>
      <c r="AX494"/>
    </row>
    <row r="495" spans="1:50">
      <c r="A495" s="2" t="s">
        <v>521</v>
      </c>
      <c r="B495">
        <v>2007</v>
      </c>
      <c r="C495">
        <v>1</v>
      </c>
      <c r="D495" t="s">
        <v>1859</v>
      </c>
      <c r="E495" t="str">
        <f>_xlfn.XLOOKUP(PROPERTIES[[#This Row],[COUNTRY]],COUNTRIES[COUNTRY_DESCRIPTION],COUNTRIES[COUNTRY_LABEL],"")</f>
        <v>DZ</v>
      </c>
      <c r="F495" t="s">
        <v>35</v>
      </c>
      <c r="G495" t="s">
        <v>18</v>
      </c>
      <c r="H495">
        <f>INT(199/2)</f>
        <v>99</v>
      </c>
      <c r="I495">
        <v>8</v>
      </c>
      <c r="J495">
        <v>8</v>
      </c>
      <c r="K495" s="2" t="s">
        <v>24</v>
      </c>
      <c r="L495">
        <f>_xlfn.XLOOKUP("LOADINGSPEEDDEF_"&amp;PROPERTIES[[#This Row],[LOADINGSPEED]],LOADINGSPEEDDEF[TYPE],LOADINGSPEEDDEF[SPEED])</f>
        <v>40</v>
      </c>
      <c r="M495" t="s">
        <v>21</v>
      </c>
      <c r="N495">
        <v>1</v>
      </c>
      <c r="O495" s="34">
        <v>55</v>
      </c>
      <c r="P495">
        <v>1352</v>
      </c>
      <c r="Q495">
        <v>160</v>
      </c>
      <c r="R495" s="31">
        <f>140/2</f>
        <v>70</v>
      </c>
      <c r="S495" s="30">
        <f>IFERROR(PROPERTIES[[#This Row],[TE_STARTING_KN]]/(PROPERTIES[[#This Row],[WEIGHT]]*9.81),0)</f>
        <v>0.12973774441664349</v>
      </c>
      <c r="T495" s="30">
        <v>0.37</v>
      </c>
      <c r="U495" s="27">
        <f>ROUND(IF(IFERROR(PROPERTIES[[#This Row],[TE_COEFFICIENT_CALC]],0)=0,PROPERTIES[[#This Row],[TE_COEFFICIENT_MANUAL]],PROPERTIES[[#This Row],[TE_COEFFICIENT_CALC]]),3)</f>
        <v>0.13</v>
      </c>
      <c r="V495" s="6">
        <v>40</v>
      </c>
      <c r="W495" s="10">
        <f>INT(199/2)</f>
        <v>99</v>
      </c>
      <c r="X495" s="10">
        <v>8</v>
      </c>
      <c r="Y495" s="10"/>
      <c r="Z495" t="str">
        <f>"RUNNING_COST_"&amp;IF(PROPERTIES[[#This Row],[ENGINE_CLASS]]="MAGLEV","ELECTRIC",PROPERTIES[[#This Row],[ENGINE_CLASS]])</f>
        <v>RUNNING_COST_DIESEL</v>
      </c>
      <c r="AA495" s="10" t="s">
        <v>1006</v>
      </c>
      <c r="AB495" s="10" t="s">
        <v>1007</v>
      </c>
      <c r="AC495" s="10" t="str">
        <f>SUBSTITUTE(SUBSTITUTE(PROPERTIES[[#This Row],[PURCHASECOST_VALUE]], "PURCHASECOST_", ""), "_VALUE", "")</f>
        <v>DMU</v>
      </c>
      <c r="AD495" s="2" t="b">
        <v>0</v>
      </c>
      <c r="AV495"/>
      <c r="AW495"/>
      <c r="AX495"/>
    </row>
    <row r="496" spans="1:50">
      <c r="A496" s="2" t="s">
        <v>522</v>
      </c>
      <c r="B496">
        <v>2008</v>
      </c>
      <c r="C496">
        <v>1</v>
      </c>
      <c r="D496" t="s">
        <v>2019</v>
      </c>
      <c r="E496" t="str">
        <f>_xlfn.XLOOKUP(PROPERTIES[[#This Row],[COUNTRY]],COUNTRIES[COUNTRY_DESCRIPTION],COUNTRIES[COUNTRY_LABEL],"")</f>
        <v>TN</v>
      </c>
      <c r="F496" t="s">
        <v>35</v>
      </c>
      <c r="G496" t="s">
        <v>18</v>
      </c>
      <c r="H496">
        <v>55</v>
      </c>
      <c r="I496">
        <v>8</v>
      </c>
      <c r="J496">
        <v>8</v>
      </c>
      <c r="K496" s="2" t="s">
        <v>24</v>
      </c>
      <c r="L496">
        <f>_xlfn.XLOOKUP("LOADINGSPEEDDEF_"&amp;PROPERTIES[[#This Row],[LOADINGSPEED]],LOADINGSPEEDDEF[TYPE],LOADINGSPEEDDEF[SPEED])</f>
        <v>40</v>
      </c>
      <c r="M496" t="s">
        <v>21</v>
      </c>
      <c r="N496">
        <v>1</v>
      </c>
      <c r="O496" s="34">
        <v>35</v>
      </c>
      <c r="P496">
        <v>1232</v>
      </c>
      <c r="Q496">
        <v>100</v>
      </c>
      <c r="R496" s="31">
        <f>135/2</f>
        <v>67.5</v>
      </c>
      <c r="S496" s="30">
        <f>IFERROR(PROPERTIES[[#This Row],[TE_STARTING_KN]]/(PROPERTIES[[#This Row],[WEIGHT]]*9.81),0)</f>
        <v>0.19659239842726081</v>
      </c>
      <c r="T496" s="30">
        <v>0.52</v>
      </c>
      <c r="U496" s="27">
        <f>ROUND(IF(IFERROR(PROPERTIES[[#This Row],[TE_COEFFICIENT_CALC]],0)=0,PROPERTIES[[#This Row],[TE_COEFFICIENT_MANUAL]],PROPERTIES[[#This Row],[TE_COEFFICIENT_CALC]]),3)</f>
        <v>0.19700000000000001</v>
      </c>
      <c r="V496" s="6">
        <v>40</v>
      </c>
      <c r="W496" s="10">
        <v>55</v>
      </c>
      <c r="X496" s="10">
        <v>8</v>
      </c>
      <c r="Y496" s="10"/>
      <c r="Z496" t="str">
        <f>"RUNNING_COST_"&amp;IF(PROPERTIES[[#This Row],[ENGINE_CLASS]]="MAGLEV","ELECTRIC",PROPERTIES[[#This Row],[ENGINE_CLASS]])</f>
        <v>RUNNING_COST_DIESEL</v>
      </c>
      <c r="AA496" s="10" t="s">
        <v>1006</v>
      </c>
      <c r="AB496" s="10" t="s">
        <v>1007</v>
      </c>
      <c r="AC496" s="10" t="str">
        <f>SUBSTITUTE(SUBSTITUTE(PROPERTIES[[#This Row],[PURCHASECOST_VALUE]], "PURCHASECOST_", ""), "_VALUE", "")</f>
        <v>DMU</v>
      </c>
      <c r="AD496" s="2" t="b">
        <v>0</v>
      </c>
      <c r="AV496"/>
      <c r="AW496"/>
      <c r="AX496"/>
    </row>
    <row r="497" spans="1:50">
      <c r="A497" s="2" t="s">
        <v>523</v>
      </c>
      <c r="B497">
        <v>2009</v>
      </c>
      <c r="C497">
        <v>1</v>
      </c>
      <c r="D497" t="s">
        <v>1878</v>
      </c>
      <c r="E497" t="str">
        <f>_xlfn.XLOOKUP(PROPERTIES[[#This Row],[COUNTRY]],COUNTRIES[COUNTRY_DESCRIPTION],COUNTRIES[COUNTRY_LABEL],"")</f>
        <v>GH</v>
      </c>
      <c r="F497" t="s">
        <v>35</v>
      </c>
      <c r="G497" t="s">
        <v>18</v>
      </c>
      <c r="H497">
        <v>102</v>
      </c>
      <c r="I497">
        <v>7</v>
      </c>
      <c r="J497">
        <v>7</v>
      </c>
      <c r="K497" s="2" t="s">
        <v>24</v>
      </c>
      <c r="L497">
        <f>_xlfn.XLOOKUP("LOADINGSPEEDDEF_"&amp;PROPERTIES[[#This Row],[LOADINGSPEED]],LOADINGSPEEDDEF[TYPE],LOADINGSPEEDDEF[SPEED])</f>
        <v>40</v>
      </c>
      <c r="M497" t="s">
        <v>21</v>
      </c>
      <c r="N497">
        <v>1</v>
      </c>
      <c r="O497" s="34">
        <v>48</v>
      </c>
      <c r="P497">
        <v>1656</v>
      </c>
      <c r="Q497">
        <v>90</v>
      </c>
      <c r="R497" s="31">
        <f>145/2</f>
        <v>72.5</v>
      </c>
      <c r="S497" s="30">
        <f>IFERROR(PROPERTIES[[#This Row],[TE_STARTING_KN]]/(PROPERTIES[[#This Row],[WEIGHT]]*9.81),0)</f>
        <v>0.15396704043493034</v>
      </c>
      <c r="T497" s="30">
        <v>0.3</v>
      </c>
      <c r="U497" s="27">
        <f>ROUND(IF(IFERROR(PROPERTIES[[#This Row],[TE_COEFFICIENT_CALC]],0)=0,PROPERTIES[[#This Row],[TE_COEFFICIENT_MANUAL]],PROPERTIES[[#This Row],[TE_COEFFICIENT_CALC]]),3)</f>
        <v>0.154</v>
      </c>
      <c r="V497" s="6">
        <v>40</v>
      </c>
      <c r="W497" s="10">
        <v>102</v>
      </c>
      <c r="X497" s="10">
        <v>7</v>
      </c>
      <c r="Y497" s="10"/>
      <c r="Z497" t="str">
        <f>"RUNNING_COST_"&amp;IF(PROPERTIES[[#This Row],[ENGINE_CLASS]]="MAGLEV","ELECTRIC",PROPERTIES[[#This Row],[ENGINE_CLASS]])</f>
        <v>RUNNING_COST_DIESEL</v>
      </c>
      <c r="AA497" s="10" t="s">
        <v>1006</v>
      </c>
      <c r="AB497" s="10" t="s">
        <v>1007</v>
      </c>
      <c r="AC497" s="10" t="str">
        <f>SUBSTITUTE(SUBSTITUTE(PROPERTIES[[#This Row],[PURCHASECOST_VALUE]], "PURCHASECOST_", ""), "_VALUE", "")</f>
        <v>DMU</v>
      </c>
      <c r="AD497" s="2" t="b">
        <v>0</v>
      </c>
      <c r="AV497"/>
      <c r="AW497"/>
      <c r="AX497"/>
    </row>
    <row r="498" spans="1:50">
      <c r="A498" s="2" t="s">
        <v>524</v>
      </c>
      <c r="B498">
        <v>2003</v>
      </c>
      <c r="C498">
        <v>1</v>
      </c>
      <c r="D498" t="s">
        <v>1810</v>
      </c>
      <c r="E498" t="str">
        <f>_xlfn.XLOOKUP(PROPERTIES[[#This Row],[COUNTRY]],COUNTRIES[COUNTRY_DESCRIPTION],COUNTRIES[COUNTRY_LABEL],"")</f>
        <v>AU</v>
      </c>
      <c r="F498" t="s">
        <v>35</v>
      </c>
      <c r="G498" t="s">
        <v>18</v>
      </c>
      <c r="H498">
        <v>0</v>
      </c>
      <c r="I498">
        <v>8</v>
      </c>
      <c r="J498">
        <v>8</v>
      </c>
      <c r="K498" s="2" t="s">
        <v>24</v>
      </c>
      <c r="L498">
        <f>_xlfn.XLOOKUP("LOADINGSPEEDDEF_"&amp;PROPERTIES[[#This Row],[LOADINGSPEED]],LOADINGSPEEDDEF[TYPE],LOADINGSPEEDDEF[SPEED])</f>
        <v>40</v>
      </c>
      <c r="M498" t="s">
        <v>21</v>
      </c>
      <c r="N498">
        <v>1</v>
      </c>
      <c r="O498" s="34">
        <v>60</v>
      </c>
      <c r="P498">
        <v>7240</v>
      </c>
      <c r="Q498">
        <v>160</v>
      </c>
      <c r="R498" s="31">
        <f>185/2</f>
        <v>92.5</v>
      </c>
      <c r="S498" s="30">
        <f>IFERROR(PROPERTIES[[#This Row],[TE_STARTING_KN]]/(PROPERTIES[[#This Row],[WEIGHT]]*9.81),0)</f>
        <v>0.15715256540944614</v>
      </c>
      <c r="T498" s="30">
        <v>0.21</v>
      </c>
      <c r="U498" s="27">
        <f>ROUND(IF(IFERROR(PROPERTIES[[#This Row],[TE_COEFFICIENT_CALC]],0)=0,PROPERTIES[[#This Row],[TE_COEFFICIENT_MANUAL]],PROPERTIES[[#This Row],[TE_COEFFICIENT_CALC]]),3)</f>
        <v>0.157</v>
      </c>
      <c r="V498" s="6">
        <v>40</v>
      </c>
      <c r="W498" s="10">
        <v>39</v>
      </c>
      <c r="X498" s="10">
        <v>8</v>
      </c>
      <c r="Y498" s="10"/>
      <c r="Z498" t="str">
        <f>"RUNNING_COST_"&amp;IF(PROPERTIES[[#This Row],[ENGINE_CLASS]]="MAGLEV","ELECTRIC",PROPERTIES[[#This Row],[ENGINE_CLASS]])</f>
        <v>RUNNING_COST_DIESEL</v>
      </c>
      <c r="AA498" s="10" t="s">
        <v>1006</v>
      </c>
      <c r="AB498" s="10" t="s">
        <v>1007</v>
      </c>
      <c r="AC498" s="10" t="str">
        <f>SUBSTITUTE(SUBSTITUTE(PROPERTIES[[#This Row],[PURCHASECOST_VALUE]], "PURCHASECOST_", ""), "_VALUE", "")</f>
        <v>DMU</v>
      </c>
      <c r="AD498" s="2" t="b">
        <v>0</v>
      </c>
      <c r="AV498"/>
      <c r="AW498"/>
      <c r="AX498"/>
    </row>
    <row r="499" spans="1:50">
      <c r="A499" s="2" t="s">
        <v>525</v>
      </c>
      <c r="B499">
        <v>2013</v>
      </c>
      <c r="C499">
        <v>1</v>
      </c>
      <c r="D499" t="s">
        <v>1835</v>
      </c>
      <c r="E499" t="str">
        <f>_xlfn.XLOOKUP(PROPERTIES[[#This Row],[COUNTRY]],COUNTRIES[COUNTRY_DESCRIPTION],COUNTRIES[COUNTRY_LABEL],"")</f>
        <v>CA</v>
      </c>
      <c r="F499" t="s">
        <v>35</v>
      </c>
      <c r="G499" t="s">
        <v>18</v>
      </c>
      <c r="H499">
        <v>80</v>
      </c>
      <c r="I499">
        <v>8</v>
      </c>
      <c r="J499">
        <v>8</v>
      </c>
      <c r="K499" s="2" t="s">
        <v>24</v>
      </c>
      <c r="L499">
        <f>_xlfn.XLOOKUP("LOADINGSPEEDDEF_"&amp;PROPERTIES[[#This Row],[LOADINGSPEED]],LOADINGSPEEDDEF[TYPE],LOADINGSPEEDDEF[SPEED])</f>
        <v>40</v>
      </c>
      <c r="M499" t="s">
        <v>21</v>
      </c>
      <c r="N499">
        <v>1</v>
      </c>
      <c r="O499" s="34">
        <v>67.5</v>
      </c>
      <c r="P499">
        <v>1520</v>
      </c>
      <c r="Q499">
        <v>128</v>
      </c>
      <c r="R499" s="31">
        <f>130/2</f>
        <v>65</v>
      </c>
      <c r="S499" s="30">
        <f>IFERROR(PROPERTIES[[#This Row],[TE_STARTING_KN]]/(PROPERTIES[[#This Row],[WEIGHT]]*9.81),0)</f>
        <v>9.816136217767206E-2</v>
      </c>
      <c r="T499" s="30">
        <v>0.28999999999999998</v>
      </c>
      <c r="U499" s="27">
        <f>ROUND(IF(IFERROR(PROPERTIES[[#This Row],[TE_COEFFICIENT_CALC]],0)=0,PROPERTIES[[#This Row],[TE_COEFFICIENT_MANUAL]],PROPERTIES[[#This Row],[TE_COEFFICIENT_CALC]]),3)</f>
        <v>9.8000000000000004E-2</v>
      </c>
      <c r="V499" s="6">
        <v>40</v>
      </c>
      <c r="W499" s="10">
        <v>80</v>
      </c>
      <c r="X499" s="10">
        <v>8</v>
      </c>
      <c r="Y499" s="10"/>
      <c r="Z499" t="str">
        <f>"RUNNING_COST_"&amp;IF(PROPERTIES[[#This Row],[ENGINE_CLASS]]="MAGLEV","ELECTRIC",PROPERTIES[[#This Row],[ENGINE_CLASS]])</f>
        <v>RUNNING_COST_DIESEL</v>
      </c>
      <c r="AA499" s="10" t="s">
        <v>1006</v>
      </c>
      <c r="AB499" s="10" t="s">
        <v>1007</v>
      </c>
      <c r="AC499" s="10" t="str">
        <f>SUBSTITUTE(SUBSTITUTE(PROPERTIES[[#This Row],[PURCHASECOST_VALUE]], "PURCHASECOST_", ""), "_VALUE", "")</f>
        <v>DMU</v>
      </c>
      <c r="AD499" s="2" t="b">
        <v>0</v>
      </c>
      <c r="AV499"/>
      <c r="AW499"/>
      <c r="AX499"/>
    </row>
    <row r="500" spans="1:50">
      <c r="A500" s="2" t="s">
        <v>526</v>
      </c>
      <c r="B500">
        <v>2015</v>
      </c>
      <c r="C500">
        <v>1</v>
      </c>
      <c r="D500" t="s">
        <v>1807</v>
      </c>
      <c r="E500" t="str">
        <f>_xlfn.XLOOKUP(PROPERTIES[[#This Row],[COUNTRY]],COUNTRIES[COUNTRY_DESCRIPTION],COUNTRIES[COUNTRY_LABEL],"")</f>
        <v>AR</v>
      </c>
      <c r="F500" t="s">
        <v>35</v>
      </c>
      <c r="G500" t="s">
        <v>18</v>
      </c>
      <c r="H500">
        <v>70</v>
      </c>
      <c r="I500">
        <v>8</v>
      </c>
      <c r="J500">
        <v>8</v>
      </c>
      <c r="K500" s="2" t="s">
        <v>24</v>
      </c>
      <c r="L500">
        <f>_xlfn.XLOOKUP("LOADINGSPEEDDEF_"&amp;PROPERTIES[[#This Row],[LOADINGSPEED]],LOADINGSPEEDDEF[TYPE],LOADINGSPEEDDEF[SPEED])</f>
        <v>40</v>
      </c>
      <c r="M500" t="s">
        <v>21</v>
      </c>
      <c r="N500">
        <v>1</v>
      </c>
      <c r="O500" s="34">
        <v>48</v>
      </c>
      <c r="P500">
        <v>800</v>
      </c>
      <c r="Q500">
        <v>120</v>
      </c>
      <c r="R500" s="31">
        <f>85/2</f>
        <v>42.5</v>
      </c>
      <c r="S500" s="30">
        <f>IFERROR(PROPERTIES[[#This Row],[TE_STARTING_KN]]/(PROPERTIES[[#This Row],[WEIGHT]]*9.81),0)</f>
        <v>9.0256540944614341E-2</v>
      </c>
      <c r="T500" s="30">
        <v>0.39</v>
      </c>
      <c r="U500" s="27">
        <f>ROUND(IF(IFERROR(PROPERTIES[[#This Row],[TE_COEFFICIENT_CALC]],0)=0,PROPERTIES[[#This Row],[TE_COEFFICIENT_MANUAL]],PROPERTIES[[#This Row],[TE_COEFFICIENT_CALC]]),3)</f>
        <v>0.09</v>
      </c>
      <c r="V500" s="6">
        <v>40</v>
      </c>
      <c r="W500" s="10">
        <v>70</v>
      </c>
      <c r="X500" s="10">
        <v>8</v>
      </c>
      <c r="Y500" s="10"/>
      <c r="Z500" t="str">
        <f>"RUNNING_COST_"&amp;IF(PROPERTIES[[#This Row],[ENGINE_CLASS]]="MAGLEV","ELECTRIC",PROPERTIES[[#This Row],[ENGINE_CLASS]])</f>
        <v>RUNNING_COST_DIESEL</v>
      </c>
      <c r="AA500" s="10" t="s">
        <v>1006</v>
      </c>
      <c r="AB500" s="10" t="s">
        <v>1007</v>
      </c>
      <c r="AC500" s="10" t="str">
        <f>SUBSTITUTE(SUBSTITUTE(PROPERTIES[[#This Row],[PURCHASECOST_VALUE]], "PURCHASECOST_", ""), "_VALUE", "")</f>
        <v>DMU</v>
      </c>
      <c r="AD500" s="2" t="b">
        <v>0</v>
      </c>
      <c r="AV500"/>
      <c r="AW500"/>
      <c r="AX500"/>
    </row>
    <row r="501" spans="1:50">
      <c r="A501" s="2" t="s">
        <v>527</v>
      </c>
      <c r="B501">
        <v>1955</v>
      </c>
      <c r="C501">
        <v>1</v>
      </c>
      <c r="D501" t="s">
        <v>1906</v>
      </c>
      <c r="E501" t="str">
        <f>_xlfn.XLOOKUP(PROPERTIES[[#This Row],[COUNTRY]],COUNTRIES[COUNTRY_DESCRIPTION],COUNTRIES[COUNTRY_LABEL],"")</f>
        <v>IT</v>
      </c>
      <c r="F501" t="s">
        <v>35</v>
      </c>
      <c r="G501" t="s">
        <v>18</v>
      </c>
      <c r="H501">
        <v>60</v>
      </c>
      <c r="I501">
        <v>8</v>
      </c>
      <c r="J501">
        <v>8</v>
      </c>
      <c r="K501" s="2" t="s">
        <v>24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4">
        <v>52</v>
      </c>
      <c r="P501">
        <v>1250</v>
      </c>
      <c r="Q501">
        <v>140</v>
      </c>
      <c r="R501" s="31">
        <f>98/2</f>
        <v>49</v>
      </c>
      <c r="S501" s="30">
        <f>IFERROR(PROPERTIES[[#This Row],[TE_STARTING_KN]]/(PROPERTIES[[#This Row],[WEIGHT]]*9.81),0)</f>
        <v>9.6055830000784131E-2</v>
      </c>
      <c r="T501" s="30">
        <v>0.13</v>
      </c>
      <c r="U501" s="27">
        <f>ROUND(IF(IFERROR(PROPERTIES[[#This Row],[TE_COEFFICIENT_CALC]],0)=0,PROPERTIES[[#This Row],[TE_COEFFICIENT_MANUAL]],PROPERTIES[[#This Row],[TE_COEFFICIENT_CALC]]),3)</f>
        <v>9.6000000000000002E-2</v>
      </c>
      <c r="V501" s="6">
        <v>40</v>
      </c>
      <c r="W501" s="10">
        <v>60</v>
      </c>
      <c r="X501" s="10">
        <v>8</v>
      </c>
      <c r="Y501" s="10"/>
      <c r="Z501" t="str">
        <f>"RUNNING_COST_"&amp;IF(PROPERTIES[[#This Row],[ENGINE_CLASS]]="MAGLEV","ELECTRIC",PROPERTIES[[#This Row],[ENGINE_CLASS]])</f>
        <v>RUNNING_COST_DIESEL</v>
      </c>
      <c r="AA501" s="10" t="s">
        <v>1006</v>
      </c>
      <c r="AB501" s="10" t="s">
        <v>1007</v>
      </c>
      <c r="AC501" s="10" t="str">
        <f>SUBSTITUTE(SUBSTITUTE(PROPERTIES[[#This Row],[PURCHASECOST_VALUE]], "PURCHASECOST_", ""), "_VALUE", "")</f>
        <v>DMU</v>
      </c>
      <c r="AD501" s="2" t="b">
        <v>0</v>
      </c>
      <c r="AV501"/>
      <c r="AW501"/>
      <c r="AX501"/>
    </row>
    <row r="502" spans="1:50">
      <c r="A502" s="2" t="s">
        <v>528</v>
      </c>
      <c r="B502">
        <v>1965</v>
      </c>
      <c r="C502">
        <v>1</v>
      </c>
      <c r="D502" t="s">
        <v>1980</v>
      </c>
      <c r="E502" t="str">
        <f>_xlfn.XLOOKUP(PROPERTIES[[#This Row],[COUNTRY]],COUNTRIES[COUNTRY_DESCRIPTION],COUNTRIES[COUNTRY_LABEL],"")</f>
        <v>PT</v>
      </c>
      <c r="F502" t="s">
        <v>35</v>
      </c>
      <c r="G502" t="s">
        <v>18</v>
      </c>
      <c r="H502">
        <f>INT(185/2)</f>
        <v>92</v>
      </c>
      <c r="I502">
        <v>8</v>
      </c>
      <c r="J502">
        <v>8</v>
      </c>
      <c r="K502" s="2" t="s">
        <v>24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4">
        <v>49</v>
      </c>
      <c r="P502">
        <f>520*2</f>
        <v>1040</v>
      </c>
      <c r="Q502">
        <v>110</v>
      </c>
      <c r="R502" s="31">
        <f>66/2</f>
        <v>33</v>
      </c>
      <c r="S502" s="30">
        <f>IFERROR(PROPERTIES[[#This Row],[TE_STARTING_KN]]/(PROPERTIES[[#This Row],[WEIGHT]]*9.81),0)</f>
        <v>6.865131373650378E-2</v>
      </c>
      <c r="T502" s="30">
        <v>0.13</v>
      </c>
      <c r="U502" s="27">
        <f>ROUND(IF(IFERROR(PROPERTIES[[#This Row],[TE_COEFFICIENT_CALC]],0)=0,PROPERTIES[[#This Row],[TE_COEFFICIENT_MANUAL]],PROPERTIES[[#This Row],[TE_COEFFICIENT_CALC]]),3)</f>
        <v>6.9000000000000006E-2</v>
      </c>
      <c r="V502" s="6">
        <v>40</v>
      </c>
      <c r="W502">
        <f>INT(185/2)</f>
        <v>92</v>
      </c>
      <c r="X502" s="10">
        <v>8</v>
      </c>
      <c r="Y502" s="10"/>
      <c r="Z502" t="str">
        <f>"RUNNING_COST_"&amp;IF(PROPERTIES[[#This Row],[ENGINE_CLASS]]="MAGLEV","ELECTRIC",PROPERTIES[[#This Row],[ENGINE_CLASS]])</f>
        <v>RUNNING_COST_DIESEL</v>
      </c>
      <c r="AA502" s="10" t="s">
        <v>1006</v>
      </c>
      <c r="AB502" s="10" t="s">
        <v>1007</v>
      </c>
      <c r="AC502" s="10" t="str">
        <f>SUBSTITUTE(SUBSTITUTE(PROPERTIES[[#This Row],[PURCHASECOST_VALUE]], "PURCHASECOST_", ""), "_VALUE", "")</f>
        <v>DMU</v>
      </c>
      <c r="AD502" s="2" t="b">
        <v>0</v>
      </c>
      <c r="AV502"/>
      <c r="AW502"/>
      <c r="AX502"/>
    </row>
    <row r="503" spans="1:50">
      <c r="A503" s="2" t="s">
        <v>529</v>
      </c>
      <c r="B503">
        <v>1979</v>
      </c>
      <c r="C503">
        <v>1</v>
      </c>
      <c r="D503" t="s">
        <v>1980</v>
      </c>
      <c r="E503" t="str">
        <f>_xlfn.XLOOKUP(PROPERTIES[[#This Row],[COUNTRY]],COUNTRIES[COUNTRY_DESCRIPTION],COUNTRIES[COUNTRY_LABEL],"")</f>
        <v>PT</v>
      </c>
      <c r="F503" t="s">
        <v>35</v>
      </c>
      <c r="G503" t="s">
        <v>18</v>
      </c>
      <c r="H503">
        <f>INT(194/2)</f>
        <v>97</v>
      </c>
      <c r="I503">
        <v>8</v>
      </c>
      <c r="J503">
        <v>8</v>
      </c>
      <c r="K503" s="2" t="s">
        <v>24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4">
        <v>53</v>
      </c>
      <c r="P503">
        <f>776*2</f>
        <v>1552</v>
      </c>
      <c r="Q503">
        <v>120</v>
      </c>
      <c r="R503" s="31">
        <f>114/2</f>
        <v>57</v>
      </c>
      <c r="S503" s="30">
        <f>IFERROR(PROPERTIES[[#This Row],[TE_STARTING_KN]]/(PROPERTIES[[#This Row],[WEIGHT]]*9.81),0)</f>
        <v>0.10963014251918526</v>
      </c>
      <c r="T503" s="30">
        <v>0.21</v>
      </c>
      <c r="U503" s="27">
        <f>ROUND(IF(IFERROR(PROPERTIES[[#This Row],[TE_COEFFICIENT_CALC]],0)=0,PROPERTIES[[#This Row],[TE_COEFFICIENT_MANUAL]],PROPERTIES[[#This Row],[TE_COEFFICIENT_CALC]]),3)</f>
        <v>0.11</v>
      </c>
      <c r="V503" s="6">
        <v>40</v>
      </c>
      <c r="W503" s="10">
        <f>INT(194/2)</f>
        <v>97</v>
      </c>
      <c r="X503" s="10">
        <v>8</v>
      </c>
      <c r="Y503" s="10"/>
      <c r="Z503" t="str">
        <f>"RUNNING_COST_"&amp;IF(PROPERTIES[[#This Row],[ENGINE_CLASS]]="MAGLEV","ELECTRIC",PROPERTIES[[#This Row],[ENGINE_CLASS]])</f>
        <v>RUNNING_COST_DIESEL</v>
      </c>
      <c r="AA503" s="10" t="s">
        <v>1006</v>
      </c>
      <c r="AB503" s="10" t="s">
        <v>1007</v>
      </c>
      <c r="AC503" s="10" t="str">
        <f>SUBSTITUTE(SUBSTITUTE(PROPERTIES[[#This Row],[PURCHASECOST_VALUE]], "PURCHASECOST_", ""), "_VALUE", "")</f>
        <v>DMU</v>
      </c>
      <c r="AD503" s="2" t="b">
        <v>0</v>
      </c>
      <c r="AV503"/>
      <c r="AW503"/>
      <c r="AX503"/>
    </row>
    <row r="504" spans="1:50">
      <c r="A504" s="2" t="s">
        <v>530</v>
      </c>
      <c r="B504">
        <v>1983</v>
      </c>
      <c r="C504">
        <v>1</v>
      </c>
      <c r="D504" t="s">
        <v>1865</v>
      </c>
      <c r="E504" t="str">
        <f>_xlfn.XLOOKUP(PROPERTIES[[#This Row],[COUNTRY]],COUNTRIES[COUNTRY_DESCRIPTION],COUNTRIES[COUNTRY_LABEL],"")</f>
        <v>ES</v>
      </c>
      <c r="F504" t="s">
        <v>35</v>
      </c>
      <c r="G504" t="s">
        <v>18</v>
      </c>
      <c r="H504">
        <f>INT(350/3)</f>
        <v>116</v>
      </c>
      <c r="I504">
        <v>7</v>
      </c>
      <c r="J504">
        <v>7</v>
      </c>
      <c r="K504" s="2" t="s">
        <v>24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4">
        <v>44</v>
      </c>
      <c r="P504">
        <v>720</v>
      </c>
      <c r="Q504">
        <v>100</v>
      </c>
      <c r="R504" s="31">
        <v>0</v>
      </c>
      <c r="S504" s="30">
        <f>IFERROR(PROPERTIES[[#This Row],[TE_STARTING_KN]]/(PROPERTIES[[#This Row],[WEIGHT]]*9.81),0)</f>
        <v>0</v>
      </c>
      <c r="T504" s="30">
        <v>0.2</v>
      </c>
      <c r="U504" s="27">
        <f>ROUND(IF(IFERROR(PROPERTIES[[#This Row],[TE_COEFFICIENT_CALC]],0)=0,PROPERTIES[[#This Row],[TE_COEFFICIENT_MANUAL]],PROPERTIES[[#This Row],[TE_COEFFICIENT_CALC]]),3)</f>
        <v>0.2</v>
      </c>
      <c r="V504" s="6">
        <v>40</v>
      </c>
      <c r="W504" s="10">
        <f>INT(350/3)</f>
        <v>116</v>
      </c>
      <c r="X504" s="10">
        <v>7</v>
      </c>
      <c r="Y504" s="10"/>
      <c r="Z504" t="str">
        <f>"RUNNING_COST_"&amp;IF(PROPERTIES[[#This Row],[ENGINE_CLASS]]="MAGLEV","ELECTRIC",PROPERTIES[[#This Row],[ENGINE_CLASS]])</f>
        <v>RUNNING_COST_DIESEL</v>
      </c>
      <c r="AA504" s="10" t="s">
        <v>1006</v>
      </c>
      <c r="AB504" s="10" t="s">
        <v>1007</v>
      </c>
      <c r="AC504" s="10" t="str">
        <f>SUBSTITUTE(SUBSTITUTE(PROPERTIES[[#This Row],[PURCHASECOST_VALUE]], "PURCHASECOST_", ""), "_VALUE", "")</f>
        <v>DMU</v>
      </c>
      <c r="AD504" s="2" t="b">
        <v>0</v>
      </c>
      <c r="AV504"/>
      <c r="AW504"/>
      <c r="AX504"/>
    </row>
    <row r="505" spans="1:50">
      <c r="A505" s="2" t="s">
        <v>531</v>
      </c>
      <c r="B505">
        <v>1996</v>
      </c>
      <c r="C505">
        <v>1</v>
      </c>
      <c r="D505" t="s">
        <v>1854</v>
      </c>
      <c r="E505" t="str">
        <f>_xlfn.XLOOKUP(PROPERTIES[[#This Row],[COUNTRY]],COUNTRIES[COUNTRY_DESCRIPTION],COUNTRIES[COUNTRY_LABEL],"")</f>
        <v>DE</v>
      </c>
      <c r="F505" t="s">
        <v>35</v>
      </c>
      <c r="G505" t="s">
        <v>532</v>
      </c>
      <c r="H505">
        <v>40</v>
      </c>
      <c r="I505">
        <v>8</v>
      </c>
      <c r="J505">
        <v>8</v>
      </c>
      <c r="K505" s="2" t="s">
        <v>33</v>
      </c>
      <c r="L505">
        <f>_xlfn.XLOOKUP("LOADINGSPEEDDEF_"&amp;PROPERTIES[[#This Row],[LOADINGSPEED]],LOADINGSPEEDDEF[TYPE],LOADINGSPEEDDEF[SPEED])</f>
        <v>20</v>
      </c>
      <c r="M505" t="s">
        <v>21</v>
      </c>
      <c r="N505">
        <v>0</v>
      </c>
      <c r="O505" s="34">
        <f>111/2</f>
        <v>55.5</v>
      </c>
      <c r="P505">
        <f>355*2</f>
        <v>710</v>
      </c>
      <c r="Q505">
        <v>120</v>
      </c>
      <c r="R505" s="31">
        <v>0</v>
      </c>
      <c r="S505" s="30">
        <f>IFERROR(PROPERTIES[[#This Row],[TE_STARTING_KN]]/(PROPERTIES[[#This Row],[WEIGHT]]*9.81),0)</f>
        <v>0</v>
      </c>
      <c r="T505" s="30">
        <v>0.17</v>
      </c>
      <c r="U505" s="27">
        <f>ROUND(IF(IFERROR(PROPERTIES[[#This Row],[TE_COEFFICIENT_CALC]],0)=0,PROPERTIES[[#This Row],[TE_COEFFICIENT_MANUAL]],PROPERTIES[[#This Row],[TE_COEFFICIENT_CALC]]),3)</f>
        <v>0.17</v>
      </c>
      <c r="V505" s="6">
        <v>25</v>
      </c>
      <c r="W505" s="10">
        <v>40</v>
      </c>
      <c r="X505" s="10">
        <v>7</v>
      </c>
      <c r="Y505" s="10"/>
      <c r="Z505" t="str">
        <f>"RUNNING_COST_"&amp;IF(PROPERTIES[[#This Row],[ENGINE_CLASS]]="MAGLEV","ELECTRIC",PROPERTIES[[#This Row],[ENGINE_CLASS]])</f>
        <v>RUNNING_COST_DIESEL</v>
      </c>
      <c r="AA505" s="10" t="s">
        <v>1006</v>
      </c>
      <c r="AB505" s="10" t="s">
        <v>1007</v>
      </c>
      <c r="AC505" s="10" t="str">
        <f>SUBSTITUTE(SUBSTITUTE(PROPERTIES[[#This Row],[PURCHASECOST_VALUE]], "PURCHASECOST_", ""), "_VALUE", "")</f>
        <v>DMU</v>
      </c>
      <c r="AD505" s="2" t="b">
        <v>0</v>
      </c>
      <c r="AV505"/>
      <c r="AW505"/>
      <c r="AX505"/>
    </row>
    <row r="506" spans="1:50">
      <c r="A506" s="2" t="s">
        <v>533</v>
      </c>
      <c r="B506">
        <v>2011</v>
      </c>
      <c r="C506">
        <v>1</v>
      </c>
      <c r="D506" t="s">
        <v>1810</v>
      </c>
      <c r="E506" t="str">
        <f>_xlfn.XLOOKUP(PROPERTIES[[#This Row],[COUNTRY]],COUNTRIES[COUNTRY_DESCRIPTION],COUNTRIES[COUNTRY_LABEL],"")</f>
        <v>AU</v>
      </c>
      <c r="F506" t="s">
        <v>74</v>
      </c>
      <c r="G506" t="s">
        <v>18</v>
      </c>
      <c r="H506">
        <v>110</v>
      </c>
      <c r="I506">
        <v>8</v>
      </c>
      <c r="J506">
        <v>8</v>
      </c>
      <c r="K506" s="2" t="s">
        <v>24</v>
      </c>
      <c r="L506">
        <f>_xlfn.XLOOKUP("LOADINGSPEEDDEF_"&amp;PROPERTIES[[#This Row],[LOADINGSPEED]],LOADINGSPEEDDEF[TYPE],LOADINGSPEEDDEF[SPEED])</f>
        <v>40</v>
      </c>
      <c r="M506" t="s">
        <v>21</v>
      </c>
      <c r="N506">
        <v>1</v>
      </c>
      <c r="O506" s="34">
        <v>51</v>
      </c>
      <c r="P506">
        <f>INT(16*245)</f>
        <v>3920</v>
      </c>
      <c r="Q506">
        <v>130</v>
      </c>
      <c r="R506" s="31">
        <f>110/2</f>
        <v>55</v>
      </c>
      <c r="S506" s="30">
        <f>IFERROR(PROPERTIES[[#This Row],[TE_STARTING_KN]]/(PROPERTIES[[#This Row],[WEIGHT]]*9.81),0)</f>
        <v>0.10993184225780016</v>
      </c>
      <c r="T506" s="30">
        <v>0.25</v>
      </c>
      <c r="U506" s="27">
        <f>ROUND(IF(IFERROR(PROPERTIES[[#This Row],[TE_COEFFICIENT_CALC]],0)=0,PROPERTIES[[#This Row],[TE_COEFFICIENT_MANUAL]],PROPERTIES[[#This Row],[TE_COEFFICIENT_CALC]]),3)</f>
        <v>0.11</v>
      </c>
      <c r="V506" s="6">
        <v>25</v>
      </c>
      <c r="W506" s="10">
        <v>110</v>
      </c>
      <c r="X506" s="10">
        <v>8</v>
      </c>
      <c r="Y506" s="10"/>
      <c r="Z506" t="str">
        <f>"RUNNING_COST_"&amp;IF(PROPERTIES[[#This Row],[ENGINE_CLASS]]="MAGLEV","ELECTRIC",PROPERTIES[[#This Row],[ENGINE_CLASS]])</f>
        <v>RUNNING_COST_ELECTRIC</v>
      </c>
      <c r="AA506" s="10" t="s">
        <v>1008</v>
      </c>
      <c r="AB506" s="10" t="s">
        <v>1009</v>
      </c>
      <c r="AC506" s="10" t="str">
        <f>SUBSTITUTE(SUBSTITUTE(PROPERTIES[[#This Row],[PURCHASECOST_VALUE]], "PURCHASECOST_", ""), "_VALUE", "")</f>
        <v>EMU</v>
      </c>
      <c r="AD506" s="2" t="b">
        <v>0</v>
      </c>
      <c r="AV506"/>
      <c r="AW506"/>
      <c r="AX506"/>
    </row>
    <row r="507" spans="1:50">
      <c r="A507" s="2" t="s">
        <v>534</v>
      </c>
      <c r="B507">
        <v>1966</v>
      </c>
      <c r="C507">
        <v>1</v>
      </c>
      <c r="D507" t="s">
        <v>1856</v>
      </c>
      <c r="E507" t="str">
        <f>_xlfn.XLOOKUP(PROPERTIES[[#This Row],[COUNTRY]],COUNTRIES[COUNTRY_DESCRIPTION],COUNTRIES[COUNTRY_LABEL],"")</f>
        <v>DK</v>
      </c>
      <c r="F507" t="s">
        <v>74</v>
      </c>
      <c r="G507" t="s">
        <v>18</v>
      </c>
      <c r="H507">
        <v>56</v>
      </c>
      <c r="I507">
        <v>8</v>
      </c>
      <c r="J507">
        <v>8</v>
      </c>
      <c r="K507" s="2" t="s">
        <v>24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4">
        <v>43</v>
      </c>
      <c r="P507">
        <v>400</v>
      </c>
      <c r="Q507">
        <v>100</v>
      </c>
      <c r="R507" s="31">
        <f>60/2</f>
        <v>30</v>
      </c>
      <c r="S507" s="30">
        <f>IFERROR(PROPERTIES[[#This Row],[TE_STARTING_KN]]/(PROPERTIES[[#This Row],[WEIGHT]]*9.81),0)</f>
        <v>7.1118697105469017E-2</v>
      </c>
      <c r="T507" s="30">
        <v>0.14000000000000001</v>
      </c>
      <c r="U507" s="27">
        <f>ROUND(IF(IFERROR(PROPERTIES[[#This Row],[TE_COEFFICIENT_CALC]],0)=0,PROPERTIES[[#This Row],[TE_COEFFICIENT_MANUAL]],PROPERTIES[[#This Row],[TE_COEFFICIENT_CALC]]),3)</f>
        <v>7.0999999999999994E-2</v>
      </c>
      <c r="V507" s="6">
        <v>25</v>
      </c>
      <c r="W507" s="10">
        <v>56</v>
      </c>
      <c r="X507" s="10">
        <v>8</v>
      </c>
      <c r="Y507" s="10"/>
      <c r="Z507" t="str">
        <f>"RUNNING_COST_"&amp;IF(PROPERTIES[[#This Row],[ENGINE_CLASS]]="MAGLEV","ELECTRIC",PROPERTIES[[#This Row],[ENGINE_CLASS]])</f>
        <v>RUNNING_COST_ELECTRIC</v>
      </c>
      <c r="AA507" s="10" t="s">
        <v>1008</v>
      </c>
      <c r="AB507" s="10" t="s">
        <v>1009</v>
      </c>
      <c r="AC507" s="10" t="str">
        <f>SUBSTITUTE(SUBSTITUTE(PROPERTIES[[#This Row],[PURCHASECOST_VALUE]], "PURCHASECOST_", ""), "_VALUE", "")</f>
        <v>EMU</v>
      </c>
      <c r="AD507" s="2" t="b">
        <v>0</v>
      </c>
      <c r="AV507"/>
      <c r="AW507"/>
      <c r="AX507"/>
    </row>
    <row r="508" spans="1:50">
      <c r="A508" s="2" t="s">
        <v>535</v>
      </c>
      <c r="B508">
        <v>1996</v>
      </c>
      <c r="C508">
        <v>1</v>
      </c>
      <c r="D508" t="s">
        <v>1856</v>
      </c>
      <c r="E508" t="str">
        <f>_xlfn.XLOOKUP(PROPERTIES[[#This Row],[COUNTRY]],COUNTRIES[COUNTRY_DESCRIPTION],COUNTRIES[COUNTRY_LABEL],"")</f>
        <v>DK</v>
      </c>
      <c r="F508" t="s">
        <v>74</v>
      </c>
      <c r="G508" t="s">
        <v>18</v>
      </c>
      <c r="H508">
        <v>90</v>
      </c>
      <c r="I508">
        <v>5</v>
      </c>
      <c r="J508">
        <v>5</v>
      </c>
      <c r="K508" s="2" t="s">
        <v>24</v>
      </c>
      <c r="L508">
        <f>_xlfn.XLOOKUP("LOADINGSPEEDDEF_"&amp;PROPERTIES[[#This Row],[LOADINGSPEED]],LOADINGSPEEDDEF[TYPE],LOADINGSPEEDDEF[SPEED])</f>
        <v>40</v>
      </c>
      <c r="M508" t="s">
        <v>21</v>
      </c>
      <c r="N508">
        <v>1</v>
      </c>
      <c r="O508" s="34">
        <f>63/2</f>
        <v>31.5</v>
      </c>
      <c r="P508">
        <v>1150</v>
      </c>
      <c r="Q508">
        <v>120</v>
      </c>
      <c r="R508" s="31">
        <f>75/2</f>
        <v>37.5</v>
      </c>
      <c r="S508" s="30">
        <f>IFERROR(PROPERTIES[[#This Row],[TE_STARTING_KN]]/(PROPERTIES[[#This Row],[WEIGHT]]*9.81),0)</f>
        <v>0.12135333236250666</v>
      </c>
      <c r="T508" s="30">
        <v>0.47</v>
      </c>
      <c r="U508" s="27">
        <f>ROUND(IF(IFERROR(PROPERTIES[[#This Row],[TE_COEFFICIENT_CALC]],0)=0,PROPERTIES[[#This Row],[TE_COEFFICIENT_MANUAL]],PROPERTIES[[#This Row],[TE_COEFFICIENT_CALC]]),3)</f>
        <v>0.121</v>
      </c>
      <c r="V508" s="6">
        <v>25</v>
      </c>
      <c r="W508" s="10">
        <v>90</v>
      </c>
      <c r="X508" s="10">
        <v>5</v>
      </c>
      <c r="Y508" s="10"/>
      <c r="Z508" t="str">
        <f>"RUNNING_COST_"&amp;IF(PROPERTIES[[#This Row],[ENGINE_CLASS]]="MAGLEV","ELECTRIC",PROPERTIES[[#This Row],[ENGINE_CLASS]])</f>
        <v>RUNNING_COST_ELECTRIC</v>
      </c>
      <c r="AA508" s="10" t="s">
        <v>1008</v>
      </c>
      <c r="AB508" s="10" t="s">
        <v>1009</v>
      </c>
      <c r="AC508" s="10" t="str">
        <f>SUBSTITUTE(SUBSTITUTE(PROPERTIES[[#This Row],[PURCHASECOST_VALUE]], "PURCHASECOST_", ""), "_VALUE", "")</f>
        <v>EMU</v>
      </c>
      <c r="AD508" s="2" t="b">
        <v>0</v>
      </c>
      <c r="AV508"/>
      <c r="AW508"/>
      <c r="AX508"/>
    </row>
    <row r="509" spans="1:50">
      <c r="A509" s="2" t="s">
        <v>536</v>
      </c>
      <c r="B509">
        <v>1932</v>
      </c>
      <c r="C509">
        <v>1</v>
      </c>
      <c r="D509" t="s">
        <v>1906</v>
      </c>
      <c r="E509" t="str">
        <f>_xlfn.XLOOKUP(PROPERTIES[[#This Row],[COUNTRY]],COUNTRIES[COUNTRY_DESCRIPTION],COUNTRIES[COUNTRY_LABEL],"")</f>
        <v>IT</v>
      </c>
      <c r="F509" t="s">
        <v>74</v>
      </c>
      <c r="G509" t="s">
        <v>18</v>
      </c>
      <c r="H509">
        <v>34</v>
      </c>
      <c r="I509">
        <v>8</v>
      </c>
      <c r="J509">
        <v>8</v>
      </c>
      <c r="K509" s="2" t="s">
        <v>24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4">
        <f>74/2</f>
        <v>37</v>
      </c>
      <c r="P509">
        <v>650</v>
      </c>
      <c r="Q509">
        <v>72</v>
      </c>
      <c r="R509" s="31">
        <f>60/2</f>
        <v>30</v>
      </c>
      <c r="S509" s="30">
        <f>IFERROR(PROPERTIES[[#This Row],[TE_STARTING_KN]]/(PROPERTIES[[#This Row],[WEIGHT]]*9.81),0)</f>
        <v>8.2651458798247784E-2</v>
      </c>
      <c r="T509" s="30">
        <v>0.34</v>
      </c>
      <c r="U509" s="27">
        <f>ROUND(IF(IFERROR(PROPERTIES[[#This Row],[TE_COEFFICIENT_CALC]],0)=0,PROPERTIES[[#This Row],[TE_COEFFICIENT_MANUAL]],PROPERTIES[[#This Row],[TE_COEFFICIENT_CALC]]),3)</f>
        <v>8.3000000000000004E-2</v>
      </c>
      <c r="V509" s="6">
        <v>25</v>
      </c>
      <c r="W509" s="10">
        <v>50</v>
      </c>
      <c r="X509" s="10">
        <v>8</v>
      </c>
      <c r="Y509" s="10"/>
      <c r="Z509" t="str">
        <f>"RUNNING_COST_"&amp;IF(PROPERTIES[[#This Row],[ENGINE_CLASS]]="MAGLEV","ELECTRIC",PROPERTIES[[#This Row],[ENGINE_CLASS]])</f>
        <v>RUNNING_COST_ELECTRIC</v>
      </c>
      <c r="AA509" s="10" t="s">
        <v>1008</v>
      </c>
      <c r="AB509" s="10" t="s">
        <v>1009</v>
      </c>
      <c r="AC509" s="10" t="str">
        <f>SUBSTITUTE(SUBSTITUTE(PROPERTIES[[#This Row],[PURCHASECOST_VALUE]], "PURCHASECOST_", ""), "_VALUE", "")</f>
        <v>EMU</v>
      </c>
      <c r="AD509" s="2" t="b">
        <v>0</v>
      </c>
      <c r="AV509"/>
      <c r="AW509"/>
      <c r="AX509"/>
    </row>
    <row r="510" spans="1:50">
      <c r="A510" s="2" t="s">
        <v>537</v>
      </c>
      <c r="B510">
        <v>1924</v>
      </c>
      <c r="C510">
        <v>1</v>
      </c>
      <c r="D510" t="s">
        <v>1962</v>
      </c>
      <c r="E510" t="str">
        <f>_xlfn.XLOOKUP(PROPERTIES[[#This Row],[COUNTRY]],COUNTRIES[COUNTRY_DESCRIPTION],COUNTRIES[COUNTRY_LABEL],"")</f>
        <v>NL</v>
      </c>
      <c r="F510" t="s">
        <v>74</v>
      </c>
      <c r="G510" t="s">
        <v>18</v>
      </c>
      <c r="H510">
        <v>44</v>
      </c>
      <c r="I510">
        <v>8</v>
      </c>
      <c r="J510">
        <v>8</v>
      </c>
      <c r="K510" s="2" t="s">
        <v>24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4">
        <v>55</v>
      </c>
      <c r="P510">
        <v>888</v>
      </c>
      <c r="Q510">
        <v>100</v>
      </c>
      <c r="R510" s="31">
        <f>120/2</f>
        <v>60</v>
      </c>
      <c r="S510" s="30">
        <f>IFERROR(PROPERTIES[[#This Row],[TE_STARTING_KN]]/(PROPERTIES[[#This Row],[WEIGHT]]*9.81),0)</f>
        <v>0.11120378092855156</v>
      </c>
      <c r="T510" s="30">
        <v>0.41</v>
      </c>
      <c r="U510" s="27">
        <f>ROUND(IF(IFERROR(PROPERTIES[[#This Row],[TE_COEFFICIENT_CALC]],0)=0,PROPERTIES[[#This Row],[TE_COEFFICIENT_MANUAL]],PROPERTIES[[#This Row],[TE_COEFFICIENT_CALC]]),3)</f>
        <v>0.111</v>
      </c>
      <c r="V510" s="6">
        <v>25</v>
      </c>
      <c r="W510" s="10">
        <v>88</v>
      </c>
      <c r="X510" s="10">
        <v>8</v>
      </c>
      <c r="Y510" s="10"/>
      <c r="Z510" t="str">
        <f>"RUNNING_COST_"&amp;IF(PROPERTIES[[#This Row],[ENGINE_CLASS]]="MAGLEV","ELECTRIC",PROPERTIES[[#This Row],[ENGINE_CLASS]])</f>
        <v>RUNNING_COST_ELECTRIC</v>
      </c>
      <c r="AA510" s="10" t="s">
        <v>1008</v>
      </c>
      <c r="AB510" s="10" t="s">
        <v>1009</v>
      </c>
      <c r="AC510" s="10" t="str">
        <f>SUBSTITUTE(SUBSTITUTE(PROPERTIES[[#This Row],[PURCHASECOST_VALUE]], "PURCHASECOST_", ""), "_VALUE", "")</f>
        <v>EMU</v>
      </c>
      <c r="AD510" s="2" t="b">
        <v>0</v>
      </c>
      <c r="AV510"/>
      <c r="AW510"/>
      <c r="AX510"/>
    </row>
    <row r="511" spans="1:50">
      <c r="A511" s="2" t="s">
        <v>538</v>
      </c>
      <c r="B511">
        <v>1936</v>
      </c>
      <c r="C511">
        <v>1</v>
      </c>
      <c r="D511" t="s">
        <v>1962</v>
      </c>
      <c r="E511" t="str">
        <f>_xlfn.XLOOKUP(PROPERTIES[[#This Row],[COUNTRY]],COUNTRIES[COUNTRY_DESCRIPTION],COUNTRIES[COUNTRY_LABEL],"")</f>
        <v>NL</v>
      </c>
      <c r="F511" t="s">
        <v>74</v>
      </c>
      <c r="G511" t="s">
        <v>18</v>
      </c>
      <c r="H511">
        <f>144/2</f>
        <v>72</v>
      </c>
      <c r="I511">
        <v>8</v>
      </c>
      <c r="J511">
        <v>8</v>
      </c>
      <c r="K511" s="2" t="s">
        <v>24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4">
        <f>85/2</f>
        <v>42.5</v>
      </c>
      <c r="P511">
        <v>1032</v>
      </c>
      <c r="Q511">
        <v>125</v>
      </c>
      <c r="R511" s="31">
        <f>85/2</f>
        <v>42.5</v>
      </c>
      <c r="S511" s="30">
        <f>IFERROR(PROPERTIES[[#This Row],[TE_STARTING_KN]]/(PROPERTIES[[#This Row],[WEIGHT]]*9.81),0)</f>
        <v>0.1019367991845056</v>
      </c>
      <c r="T511" s="30">
        <v>0.38</v>
      </c>
      <c r="U511" s="27">
        <f>ROUND(IF(IFERROR(PROPERTIES[[#This Row],[TE_COEFFICIENT_CALC]],0)=0,PROPERTIES[[#This Row],[TE_COEFFICIENT_MANUAL]],PROPERTIES[[#This Row],[TE_COEFFICIENT_CALC]]),3)</f>
        <v>0.10199999999999999</v>
      </c>
      <c r="V511" s="6">
        <v>25</v>
      </c>
      <c r="W511" s="10">
        <v>72</v>
      </c>
      <c r="X511" s="10">
        <v>8</v>
      </c>
      <c r="Y511" s="10"/>
      <c r="Z511" t="str">
        <f>"RUNNING_COST_"&amp;IF(PROPERTIES[[#This Row],[ENGINE_CLASS]]="MAGLEV","ELECTRIC",PROPERTIES[[#This Row],[ENGINE_CLASS]])</f>
        <v>RUNNING_COST_ELECTRIC</v>
      </c>
      <c r="AA511" s="10" t="s">
        <v>1008</v>
      </c>
      <c r="AB511" s="10" t="s">
        <v>1009</v>
      </c>
      <c r="AC511" s="10" t="str">
        <f>SUBSTITUTE(SUBSTITUTE(PROPERTIES[[#This Row],[PURCHASECOST_VALUE]], "PURCHASECOST_", ""), "_VALUE", "")</f>
        <v>EMU</v>
      </c>
      <c r="AD511" s="2" t="b">
        <v>0</v>
      </c>
      <c r="AV511"/>
      <c r="AW511"/>
      <c r="AX511"/>
    </row>
    <row r="512" spans="1:50">
      <c r="A512" s="2" t="s">
        <v>539</v>
      </c>
      <c r="B512">
        <v>1954</v>
      </c>
      <c r="C512">
        <v>1</v>
      </c>
      <c r="D512" t="s">
        <v>1962</v>
      </c>
      <c r="E512" t="str">
        <f>_xlfn.XLOOKUP(PROPERTIES[[#This Row],[COUNTRY]],COUNTRIES[COUNTRY_DESCRIPTION],COUNTRIES[COUNTRY_LABEL],"")</f>
        <v>NL</v>
      </c>
      <c r="F512" t="s">
        <v>74</v>
      </c>
      <c r="G512" t="s">
        <v>18</v>
      </c>
      <c r="H512">
        <f>INT(113/2)</f>
        <v>56</v>
      </c>
      <c r="I512">
        <v>8</v>
      </c>
      <c r="J512">
        <v>8</v>
      </c>
      <c r="K512" s="2" t="s">
        <v>24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4">
        <f>109/2</f>
        <v>54.5</v>
      </c>
      <c r="P512">
        <v>910</v>
      </c>
      <c r="Q512">
        <v>140</v>
      </c>
      <c r="R512" s="31">
        <f>110/2</f>
        <v>55</v>
      </c>
      <c r="S512" s="30">
        <f>IFERROR(PROPERTIES[[#This Row],[TE_STARTING_KN]]/(PROPERTIES[[#This Row],[WEIGHT]]*9.81),0)</f>
        <v>0.10287199917702401</v>
      </c>
      <c r="T512" s="30">
        <v>0.28000000000000003</v>
      </c>
      <c r="U512" s="27">
        <f>ROUND(IF(IFERROR(PROPERTIES[[#This Row],[TE_COEFFICIENT_CALC]],0)=0,PROPERTIES[[#This Row],[TE_COEFFICIENT_MANUAL]],PROPERTIES[[#This Row],[TE_COEFFICIENT_CALC]]),3)</f>
        <v>0.10299999999999999</v>
      </c>
      <c r="V512" s="6">
        <v>25</v>
      </c>
      <c r="W512" s="10">
        <v>56</v>
      </c>
      <c r="X512" s="10">
        <v>8</v>
      </c>
      <c r="Y512" s="10"/>
      <c r="Z512" t="str">
        <f>"RUNNING_COST_"&amp;IF(PROPERTIES[[#This Row],[ENGINE_CLASS]]="MAGLEV","ELECTRIC",PROPERTIES[[#This Row],[ENGINE_CLASS]])</f>
        <v>RUNNING_COST_ELECTRIC</v>
      </c>
      <c r="AA512" s="10" t="s">
        <v>1008</v>
      </c>
      <c r="AB512" s="10" t="s">
        <v>1009</v>
      </c>
      <c r="AC512" s="10" t="str">
        <f>SUBSTITUTE(SUBSTITUTE(PROPERTIES[[#This Row],[PURCHASECOST_VALUE]], "PURCHASECOST_", ""), "_VALUE", "")</f>
        <v>EMU</v>
      </c>
      <c r="AD512" s="2" t="b">
        <v>0</v>
      </c>
      <c r="AV512"/>
      <c r="AW512"/>
      <c r="AX512"/>
    </row>
    <row r="513" spans="1:50">
      <c r="A513" s="2" t="s">
        <v>540</v>
      </c>
      <c r="B513">
        <v>1975</v>
      </c>
      <c r="C513">
        <v>1</v>
      </c>
      <c r="D513" t="s">
        <v>1962</v>
      </c>
      <c r="E513" t="str">
        <f>_xlfn.XLOOKUP(PROPERTIES[[#This Row],[COUNTRY]],COUNTRIES[COUNTRY_DESCRIPTION],COUNTRIES[COUNTRY_LABEL],"")</f>
        <v>NL</v>
      </c>
      <c r="F513" t="s">
        <v>74</v>
      </c>
      <c r="G513" t="s">
        <v>18</v>
      </c>
      <c r="H513">
        <v>77</v>
      </c>
      <c r="I513">
        <v>8</v>
      </c>
      <c r="J513">
        <v>8</v>
      </c>
      <c r="K513" s="2" t="s">
        <v>24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4">
        <v>53</v>
      </c>
      <c r="P513">
        <v>1720</v>
      </c>
      <c r="Q513">
        <v>125</v>
      </c>
      <c r="R513" s="31">
        <f>160/2</f>
        <v>80</v>
      </c>
      <c r="S513" s="30">
        <f>IFERROR(PROPERTIES[[#This Row],[TE_STARTING_KN]]/(PROPERTIES[[#This Row],[WEIGHT]]*9.81),0)</f>
        <v>0.15386686669359334</v>
      </c>
      <c r="T513" s="30">
        <v>0.19</v>
      </c>
      <c r="U513" s="27">
        <f>ROUND(IF(IFERROR(PROPERTIES[[#This Row],[TE_COEFFICIENT_CALC]],0)=0,PROPERTIES[[#This Row],[TE_COEFFICIENT_MANUAL]],PROPERTIES[[#This Row],[TE_COEFFICIENT_CALC]]),3)</f>
        <v>0.154</v>
      </c>
      <c r="V513" s="6">
        <v>25</v>
      </c>
      <c r="W513" s="10">
        <v>77</v>
      </c>
      <c r="X513" s="10">
        <v>8</v>
      </c>
      <c r="Y513" s="10"/>
      <c r="Z513" t="str">
        <f>"RUNNING_COST_"&amp;IF(PROPERTIES[[#This Row],[ENGINE_CLASS]]="MAGLEV","ELECTRIC",PROPERTIES[[#This Row],[ENGINE_CLASS]])</f>
        <v>RUNNING_COST_ELECTRIC</v>
      </c>
      <c r="AA513" s="10" t="s">
        <v>1008</v>
      </c>
      <c r="AB513" s="10" t="s">
        <v>1009</v>
      </c>
      <c r="AC513" s="10" t="str">
        <f>SUBSTITUTE(SUBSTITUTE(PROPERTIES[[#This Row],[PURCHASECOST_VALUE]], "PURCHASECOST_", ""), "_VALUE", "")</f>
        <v>EMU</v>
      </c>
      <c r="AD513" s="2" t="b">
        <v>0</v>
      </c>
      <c r="AV513"/>
      <c r="AW513"/>
      <c r="AX513"/>
    </row>
    <row r="514" spans="1:50">
      <c r="A514" s="2" t="s">
        <v>541</v>
      </c>
      <c r="B514">
        <v>1979</v>
      </c>
      <c r="C514">
        <v>1</v>
      </c>
      <c r="D514" t="s">
        <v>1962</v>
      </c>
      <c r="E514" t="str">
        <f>_xlfn.XLOOKUP(PROPERTIES[[#This Row],[COUNTRY]],COUNTRIES[COUNTRY_DESCRIPTION],COUNTRIES[COUNTRY_LABEL],"")</f>
        <v>NL</v>
      </c>
      <c r="F514" t="s">
        <v>74</v>
      </c>
      <c r="G514" t="s">
        <v>18</v>
      </c>
      <c r="H514">
        <f>INT(205/2)</f>
        <v>102</v>
      </c>
      <c r="I514">
        <v>8</v>
      </c>
      <c r="J514">
        <v>8</v>
      </c>
      <c r="K514" s="2" t="s">
        <v>24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4">
        <f>144/2</f>
        <v>72</v>
      </c>
      <c r="P514">
        <v>1720</v>
      </c>
      <c r="Q514">
        <v>140</v>
      </c>
      <c r="R514" s="31">
        <f>100/2</f>
        <v>50</v>
      </c>
      <c r="S514" s="30">
        <f>IFERROR(PROPERTIES[[#This Row],[TE_STARTING_KN]]/(PROPERTIES[[#This Row],[WEIGHT]]*9.81),0)</f>
        <v>7.0789443878128883E-2</v>
      </c>
      <c r="T514" s="30">
        <v>0.48</v>
      </c>
      <c r="U514" s="27">
        <f>ROUND(IF(IFERROR(PROPERTIES[[#This Row],[TE_COEFFICIENT_CALC]],0)=0,PROPERTIES[[#This Row],[TE_COEFFICIENT_MANUAL]],PROPERTIES[[#This Row],[TE_COEFFICIENT_CALC]]),3)</f>
        <v>7.0999999999999994E-2</v>
      </c>
      <c r="V514" s="6">
        <v>25</v>
      </c>
      <c r="W514" s="10">
        <f>INT(205/2)</f>
        <v>102</v>
      </c>
      <c r="X514" s="10">
        <v>8</v>
      </c>
      <c r="Y514" s="10"/>
      <c r="Z514" t="str">
        <f>"RUNNING_COST_"&amp;IF(PROPERTIES[[#This Row],[ENGINE_CLASS]]="MAGLEV","ELECTRIC",PROPERTIES[[#This Row],[ENGINE_CLASS]])</f>
        <v>RUNNING_COST_ELECTRIC</v>
      </c>
      <c r="AA514" s="10" t="s">
        <v>1008</v>
      </c>
      <c r="AB514" s="10" t="s">
        <v>1009</v>
      </c>
      <c r="AC514" s="10" t="str">
        <f>SUBSTITUTE(SUBSTITUTE(PROPERTIES[[#This Row],[PURCHASECOST_VALUE]], "PURCHASECOST_", ""), "_VALUE", "")</f>
        <v>EMU</v>
      </c>
      <c r="AD514" s="2" t="b">
        <v>0</v>
      </c>
      <c r="AV514"/>
      <c r="AW514"/>
      <c r="AX514"/>
    </row>
    <row r="515" spans="1:50">
      <c r="A515" s="2" t="s">
        <v>542</v>
      </c>
      <c r="B515">
        <v>1994</v>
      </c>
      <c r="C515">
        <v>1</v>
      </c>
      <c r="D515" t="s">
        <v>1962</v>
      </c>
      <c r="E515" t="str">
        <f>_xlfn.XLOOKUP(PROPERTIES[[#This Row],[COUNTRY]],COUNTRIES[COUNTRY_DESCRIPTION],COUNTRIES[COUNTRY_LABEL],"")</f>
        <v>NL</v>
      </c>
      <c r="F515" t="s">
        <v>74</v>
      </c>
      <c r="G515" t="s">
        <v>18</v>
      </c>
      <c r="H515">
        <f>INT((129+442)/6)</f>
        <v>95</v>
      </c>
      <c r="I515">
        <v>8</v>
      </c>
      <c r="J515">
        <v>8</v>
      </c>
      <c r="K515" s="2" t="s">
        <v>24</v>
      </c>
      <c r="L515">
        <f>_xlfn.XLOOKUP("LOADINGSPEEDDEF_"&amp;PROPERTIES[[#This Row],[LOADINGSPEED]],LOADINGSPEEDDEF[TYPE],LOADINGSPEEDDEF[SPEED])</f>
        <v>40</v>
      </c>
      <c r="M515" t="s">
        <v>21</v>
      </c>
      <c r="N515">
        <v>1</v>
      </c>
      <c r="O515" s="34">
        <f>104/2</f>
        <v>52</v>
      </c>
      <c r="P515">
        <v>1720</v>
      </c>
      <c r="Q515">
        <v>140</v>
      </c>
      <c r="R515" s="31">
        <f>105/2</f>
        <v>52.5</v>
      </c>
      <c r="S515" s="30">
        <f>IFERROR(PROPERTIES[[#This Row],[TE_STARTING_KN]]/(PROPERTIES[[#This Row],[WEIGHT]]*9.81),0)</f>
        <v>0.10291696071512585</v>
      </c>
      <c r="T515" s="30">
        <v>0.26</v>
      </c>
      <c r="U515" s="27">
        <f>ROUND(IF(IFERROR(PROPERTIES[[#This Row],[TE_COEFFICIENT_CALC]],0)=0,PROPERTIES[[#This Row],[TE_COEFFICIENT_MANUAL]],PROPERTIES[[#This Row],[TE_COEFFICIENT_CALC]]),3)</f>
        <v>0.10299999999999999</v>
      </c>
      <c r="V515" s="6">
        <v>25</v>
      </c>
      <c r="W515">
        <f>INT((129+442)/6)</f>
        <v>95</v>
      </c>
      <c r="X515" s="10">
        <v>8</v>
      </c>
      <c r="Y515" s="10"/>
      <c r="Z515" t="str">
        <f>"RUNNING_COST_"&amp;IF(PROPERTIES[[#This Row],[ENGINE_CLASS]]="MAGLEV","ELECTRIC",PROPERTIES[[#This Row],[ENGINE_CLASS]])</f>
        <v>RUNNING_COST_ELECTRIC</v>
      </c>
      <c r="AA515" s="10" t="s">
        <v>1008</v>
      </c>
      <c r="AB515" s="10" t="s">
        <v>1009</v>
      </c>
      <c r="AC515" s="10" t="str">
        <f>SUBSTITUTE(SUBSTITUTE(PROPERTIES[[#This Row],[PURCHASECOST_VALUE]], "PURCHASECOST_", ""), "_VALUE", "")</f>
        <v>EMU</v>
      </c>
      <c r="AD515" s="2" t="b">
        <v>0</v>
      </c>
      <c r="AV515"/>
      <c r="AW515"/>
      <c r="AX515"/>
    </row>
    <row r="516" spans="1:50">
      <c r="A516" s="2" t="s">
        <v>543</v>
      </c>
      <c r="B516">
        <v>1997</v>
      </c>
      <c r="C516">
        <v>1</v>
      </c>
      <c r="D516" t="s">
        <v>1962</v>
      </c>
      <c r="E516" t="str">
        <f>_xlfn.XLOOKUP(PROPERTIES[[#This Row],[COUNTRY]],COUNTRIES[COUNTRY_DESCRIPTION],COUNTRIES[COUNTRY_LABEL],"")</f>
        <v>NL</v>
      </c>
      <c r="F516" t="s">
        <v>74</v>
      </c>
      <c r="G516" t="s">
        <v>18</v>
      </c>
      <c r="H516">
        <v>64</v>
      </c>
      <c r="I516">
        <v>8</v>
      </c>
      <c r="J516">
        <v>8</v>
      </c>
      <c r="K516" s="2" t="s">
        <v>24</v>
      </c>
      <c r="L516">
        <f>_xlfn.XLOOKUP("LOADINGSPEEDDEF_"&amp;PROPERTIES[[#This Row],[LOADINGSPEED]],LOADINGSPEEDDEF[TYPE],LOADINGSPEEDDEF[SPEED])</f>
        <v>40</v>
      </c>
      <c r="M516" t="s">
        <v>21</v>
      </c>
      <c r="N516">
        <v>1</v>
      </c>
      <c r="O516" s="34">
        <f>84/2</f>
        <v>42</v>
      </c>
      <c r="P516">
        <v>3219</v>
      </c>
      <c r="Q516">
        <v>160</v>
      </c>
      <c r="R516" s="31">
        <f>200/2</f>
        <v>100</v>
      </c>
      <c r="S516" s="30">
        <f>IFERROR(PROPERTIES[[#This Row],[TE_STARTING_KN]]/(PROPERTIES[[#This Row],[WEIGHT]]*9.81),0)</f>
        <v>0.24270666472501332</v>
      </c>
      <c r="T516" s="30">
        <v>0.31</v>
      </c>
      <c r="U516" s="27">
        <f>ROUND(IF(IFERROR(PROPERTIES[[#This Row],[TE_COEFFICIENT_CALC]],0)=0,PROPERTIES[[#This Row],[TE_COEFFICIENT_MANUAL]],PROPERTIES[[#This Row],[TE_COEFFICIENT_CALC]]),3)</f>
        <v>0.24299999999999999</v>
      </c>
      <c r="V516" s="6">
        <v>25</v>
      </c>
      <c r="W516" s="10">
        <v>140</v>
      </c>
      <c r="X516" s="10">
        <v>8</v>
      </c>
      <c r="Y516" s="10"/>
      <c r="Z516" t="str">
        <f>"RUNNING_COST_"&amp;IF(PROPERTIES[[#This Row],[ENGINE_CLASS]]="MAGLEV","ELECTRIC",PROPERTIES[[#This Row],[ENGINE_CLASS]])</f>
        <v>RUNNING_COST_ELECTRIC</v>
      </c>
      <c r="AA516" s="10" t="s">
        <v>1008</v>
      </c>
      <c r="AB516" s="10" t="s">
        <v>1009</v>
      </c>
      <c r="AC516" s="10" t="str">
        <f>SUBSTITUTE(SUBSTITUTE(PROPERTIES[[#This Row],[PURCHASECOST_VALUE]], "PURCHASECOST_", ""), "_VALUE", "")</f>
        <v>EMU</v>
      </c>
      <c r="AD516" s="2" t="b">
        <v>0</v>
      </c>
      <c r="AV516"/>
      <c r="AW516"/>
      <c r="AX516"/>
    </row>
    <row r="517" spans="1:50">
      <c r="A517" s="2" t="s">
        <v>544</v>
      </c>
      <c r="B517">
        <v>1924</v>
      </c>
      <c r="C517">
        <v>1</v>
      </c>
      <c r="D517" t="s">
        <v>1975</v>
      </c>
      <c r="E517" t="str">
        <f>_xlfn.XLOOKUP(PROPERTIES[[#This Row],[COUNTRY]],COUNTRIES[COUNTRY_DESCRIPTION],COUNTRIES[COUNTRY_LABEL],"")</f>
        <v>PL</v>
      </c>
      <c r="F517" t="s">
        <v>74</v>
      </c>
      <c r="G517" t="s">
        <v>18</v>
      </c>
      <c r="H517">
        <f>INT(119/2)</f>
        <v>59</v>
      </c>
      <c r="I517">
        <v>8</v>
      </c>
      <c r="J517">
        <v>8</v>
      </c>
      <c r="K517" s="2" t="s">
        <v>24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4">
        <v>38</v>
      </c>
      <c r="P517">
        <v>413</v>
      </c>
      <c r="Q517">
        <v>80</v>
      </c>
      <c r="R517" s="31">
        <f>80/2</f>
        <v>40</v>
      </c>
      <c r="S517" s="30">
        <f>IFERROR(PROPERTIES[[#This Row],[TE_STARTING_KN]]/(PROPERTIES[[#This Row],[WEIGHT]]*9.81),0)</f>
        <v>0.10730189387842695</v>
      </c>
      <c r="T517" s="30">
        <v>0.11</v>
      </c>
      <c r="U517" s="27">
        <f>ROUND(IF(IFERROR(PROPERTIES[[#This Row],[TE_COEFFICIENT_CALC]],0)=0,PROPERTIES[[#This Row],[TE_COEFFICIENT_MANUAL]],PROPERTIES[[#This Row],[TE_COEFFICIENT_CALC]]),3)</f>
        <v>0.107</v>
      </c>
      <c r="V517" s="6">
        <v>25</v>
      </c>
      <c r="W517" s="10">
        <f>INT(119/2)</f>
        <v>59</v>
      </c>
      <c r="X517" s="10">
        <v>8</v>
      </c>
      <c r="Y517" s="10"/>
      <c r="Z517" t="str">
        <f>"RUNNING_COST_"&amp;IF(PROPERTIES[[#This Row],[ENGINE_CLASS]]="MAGLEV","ELECTRIC",PROPERTIES[[#This Row],[ENGINE_CLASS]])</f>
        <v>RUNNING_COST_ELECTRIC</v>
      </c>
      <c r="AA517" s="10" t="s">
        <v>1008</v>
      </c>
      <c r="AB517" s="10" t="s">
        <v>1009</v>
      </c>
      <c r="AC517" s="10" t="str">
        <f>SUBSTITUTE(SUBSTITUTE(PROPERTIES[[#This Row],[PURCHASECOST_VALUE]], "PURCHASECOST_", ""), "_VALUE", "")</f>
        <v>EMU</v>
      </c>
      <c r="AD517" s="2" t="b">
        <v>0</v>
      </c>
      <c r="AV517"/>
      <c r="AW517"/>
      <c r="AX517"/>
    </row>
    <row r="518" spans="1:50">
      <c r="A518" s="2" t="s">
        <v>545</v>
      </c>
      <c r="B518">
        <v>1937</v>
      </c>
      <c r="C518">
        <v>1</v>
      </c>
      <c r="D518" t="s">
        <v>1906</v>
      </c>
      <c r="E518" t="str">
        <f>_xlfn.XLOOKUP(PROPERTIES[[#This Row],[COUNTRY]],COUNTRIES[COUNTRY_DESCRIPTION],COUNTRIES[COUNTRY_LABEL],"")</f>
        <v>IT</v>
      </c>
      <c r="F518" t="s">
        <v>74</v>
      </c>
      <c r="G518" t="s">
        <v>18</v>
      </c>
      <c r="H518">
        <f>INT(104/2)</f>
        <v>52</v>
      </c>
      <c r="I518">
        <v>8</v>
      </c>
      <c r="J518">
        <v>8</v>
      </c>
      <c r="K518" s="2" t="s">
        <v>479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4">
        <f>116.8/3</f>
        <v>38.93333333333333</v>
      </c>
      <c r="P518">
        <f>INT(1408*2/3)</f>
        <v>938</v>
      </c>
      <c r="Q518">
        <v>160</v>
      </c>
      <c r="R518" s="31">
        <f>50/2</f>
        <v>25</v>
      </c>
      <c r="S518" s="30">
        <f>IFERROR(PROPERTIES[[#This Row],[TE_STARTING_KN]]/(PROPERTIES[[#This Row],[WEIGHT]]*9.81),0)</f>
        <v>6.5455992627036996E-2</v>
      </c>
      <c r="T518" s="30">
        <v>0.18</v>
      </c>
      <c r="U518" s="27">
        <f>ROUND(IF(IFERROR(PROPERTIES[[#This Row],[TE_COEFFICIENT_CALC]],0)=0,PROPERTIES[[#This Row],[TE_COEFFICIENT_MANUAL]],PROPERTIES[[#This Row],[TE_COEFFICIENT_CALC]]),3)</f>
        <v>6.5000000000000002E-2</v>
      </c>
      <c r="V518" s="6">
        <v>25</v>
      </c>
      <c r="W518" s="10">
        <f>INT(104/2)</f>
        <v>52</v>
      </c>
      <c r="X518" s="10">
        <v>8</v>
      </c>
      <c r="Y518" s="10"/>
      <c r="Z518" t="str">
        <f>"RUNNING_COST_"&amp;IF(PROPERTIES[[#This Row],[ENGINE_CLASS]]="MAGLEV","ELECTRIC",PROPERTIES[[#This Row],[ENGINE_CLASS]])</f>
        <v>RUNNING_COST_ELECTRIC</v>
      </c>
      <c r="AA518" s="10" t="s">
        <v>1008</v>
      </c>
      <c r="AB518" s="10" t="s">
        <v>1009</v>
      </c>
      <c r="AC518" s="10" t="str">
        <f>SUBSTITUTE(SUBSTITUTE(PROPERTIES[[#This Row],[PURCHASECOST_VALUE]], "PURCHASECOST_", ""), "_VALUE", "")</f>
        <v>EMU</v>
      </c>
      <c r="AD518" s="2" t="b">
        <v>0</v>
      </c>
      <c r="AV518"/>
      <c r="AW518"/>
      <c r="AX518"/>
    </row>
    <row r="519" spans="1:50">
      <c r="A519" s="2" t="s">
        <v>546</v>
      </c>
      <c r="B519">
        <v>1952</v>
      </c>
      <c r="C519">
        <v>1</v>
      </c>
      <c r="D519" t="s">
        <v>1906</v>
      </c>
      <c r="E519" t="str">
        <f>_xlfn.XLOOKUP(PROPERTIES[[#This Row],[COUNTRY]],COUNTRIES[COUNTRY_DESCRIPTION],COUNTRIES[COUNTRY_LABEL],"")</f>
        <v>IT</v>
      </c>
      <c r="F519" t="s">
        <v>74</v>
      </c>
      <c r="G519" t="s">
        <v>18</v>
      </c>
      <c r="H519">
        <f>INT(190/7)</f>
        <v>27</v>
      </c>
      <c r="I519">
        <v>8</v>
      </c>
      <c r="J519">
        <v>8</v>
      </c>
      <c r="K519" s="2" t="s">
        <v>479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4">
        <f>311/7</f>
        <v>44.428571428571431</v>
      </c>
      <c r="P519">
        <v>1020</v>
      </c>
      <c r="Q519">
        <v>200</v>
      </c>
      <c r="R519" s="31">
        <f>70/2</f>
        <v>35</v>
      </c>
      <c r="S519" s="30">
        <f>IFERROR(PROPERTIES[[#This Row],[TE_STARTING_KN]]/(PROPERTIES[[#This Row],[WEIGHT]]*9.81),0)</f>
        <v>8.0303909325414369E-2</v>
      </c>
      <c r="T519" s="30">
        <v>0.36</v>
      </c>
      <c r="U519" s="27">
        <f>ROUND(IF(IFERROR(PROPERTIES[[#This Row],[TE_COEFFICIENT_CALC]],0)=0,PROPERTIES[[#This Row],[TE_COEFFICIENT_MANUAL]],PROPERTIES[[#This Row],[TE_COEFFICIENT_CALC]]),3)</f>
        <v>0.08</v>
      </c>
      <c r="V519" s="6">
        <v>25</v>
      </c>
      <c r="W519" s="10">
        <f>INT(190/7)</f>
        <v>27</v>
      </c>
      <c r="X519" s="10">
        <v>8</v>
      </c>
      <c r="Y519" s="10"/>
      <c r="Z519" t="str">
        <f>"RUNNING_COST_"&amp;IF(PROPERTIES[[#This Row],[ENGINE_CLASS]]="MAGLEV","ELECTRIC",PROPERTIES[[#This Row],[ENGINE_CLASS]])</f>
        <v>RUNNING_COST_ELECTRIC</v>
      </c>
      <c r="AA519" s="10" t="s">
        <v>1008</v>
      </c>
      <c r="AB519" s="10" t="s">
        <v>1009</v>
      </c>
      <c r="AC519" s="10" t="str">
        <f>SUBSTITUTE(SUBSTITUTE(PROPERTIES[[#This Row],[PURCHASECOST_VALUE]], "PURCHASECOST_", ""), "_VALUE", "")</f>
        <v>EMU</v>
      </c>
      <c r="AD519" s="2" t="b">
        <v>0</v>
      </c>
      <c r="AV519"/>
      <c r="AW519"/>
      <c r="AX519"/>
    </row>
    <row r="520" spans="1:50">
      <c r="A520" s="2" t="s">
        <v>547</v>
      </c>
      <c r="B520">
        <v>1993</v>
      </c>
      <c r="C520">
        <v>1</v>
      </c>
      <c r="D520" t="s">
        <v>1906</v>
      </c>
      <c r="E520" t="str">
        <f>_xlfn.XLOOKUP(PROPERTIES[[#This Row],[COUNTRY]],COUNTRIES[COUNTRY_DESCRIPTION],COUNTRIES[COUNTRY_LABEL],"")</f>
        <v>IT</v>
      </c>
      <c r="F520" t="s">
        <v>74</v>
      </c>
      <c r="G520" t="s">
        <v>18</v>
      </c>
      <c r="H520">
        <v>0</v>
      </c>
      <c r="I520">
        <v>8</v>
      </c>
      <c r="J520">
        <v>8</v>
      </c>
      <c r="K520" s="2" t="s">
        <v>479</v>
      </c>
      <c r="L520">
        <f>_xlfn.XLOOKUP("LOADINGSPEEDDEF_"&amp;PROPERTIES[[#This Row],[LOADINGSPEED]],LOADINGSPEEDDEF[TYPE],LOADINGSPEEDDEF[SPEED])</f>
        <v>16</v>
      </c>
      <c r="M520" t="s">
        <v>21</v>
      </c>
      <c r="N520">
        <v>1</v>
      </c>
      <c r="O520" s="34">
        <v>54</v>
      </c>
      <c r="P520">
        <v>11800</v>
      </c>
      <c r="Q520">
        <v>250</v>
      </c>
      <c r="R520" s="31">
        <f>400/2</f>
        <v>200</v>
      </c>
      <c r="S520" s="30">
        <f>IFERROR(PROPERTIES[[#This Row],[TE_STARTING_KN]]/(PROPERTIES[[#This Row],[WEIGHT]]*9.81),0)</f>
        <v>0.37754370068335408</v>
      </c>
      <c r="T520" s="30">
        <v>0.46</v>
      </c>
      <c r="U520" s="27">
        <f>ROUND(IF(IFERROR(PROPERTIES[[#This Row],[TE_COEFFICIENT_CALC]],0)=0,PROPERTIES[[#This Row],[TE_COEFFICIENT_MANUAL]],PROPERTIES[[#This Row],[TE_COEFFICIENT_CALC]]),3)</f>
        <v>0.378</v>
      </c>
      <c r="V520" s="6">
        <v>25</v>
      </c>
      <c r="W520" s="10">
        <v>68</v>
      </c>
      <c r="X520" s="10">
        <v>8</v>
      </c>
      <c r="Y520" s="10"/>
      <c r="Z520" t="str">
        <f>"RUNNING_COST_"&amp;IF(PROPERTIES[[#This Row],[ENGINE_CLASS]]="MAGLEV","ELECTRIC",PROPERTIES[[#This Row],[ENGINE_CLASS]])</f>
        <v>RUNNING_COST_ELECTRIC</v>
      </c>
      <c r="AA520" s="10" t="s">
        <v>1008</v>
      </c>
      <c r="AB520" s="10" t="s">
        <v>1009</v>
      </c>
      <c r="AC520" s="10" t="str">
        <f>SUBSTITUTE(SUBSTITUTE(PROPERTIES[[#This Row],[PURCHASECOST_VALUE]], "PURCHASECOST_", ""), "_VALUE", "")</f>
        <v>EMU</v>
      </c>
      <c r="AD520" s="2" t="b">
        <v>0</v>
      </c>
      <c r="AV520"/>
      <c r="AW520"/>
      <c r="AX520"/>
    </row>
    <row r="521" spans="1:50">
      <c r="A521" s="2" t="s">
        <v>548</v>
      </c>
      <c r="B521">
        <v>1996</v>
      </c>
      <c r="C521">
        <v>1</v>
      </c>
      <c r="D521" t="s">
        <v>1906</v>
      </c>
      <c r="E521" t="str">
        <f>_xlfn.XLOOKUP(PROPERTIES[[#This Row],[COUNTRY]],COUNTRIES[COUNTRY_DESCRIPTION],COUNTRIES[COUNTRY_LABEL],"")</f>
        <v>IT</v>
      </c>
      <c r="F521" t="s">
        <v>74</v>
      </c>
      <c r="G521" t="s">
        <v>18</v>
      </c>
      <c r="H521">
        <v>102</v>
      </c>
      <c r="I521">
        <v>8</v>
      </c>
      <c r="J521">
        <v>8</v>
      </c>
      <c r="K521" s="2" t="s">
        <v>24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4">
        <v>68</v>
      </c>
      <c r="P521">
        <v>2508</v>
      </c>
      <c r="Q521">
        <v>140</v>
      </c>
      <c r="R521" s="31">
        <f>214/2</f>
        <v>107</v>
      </c>
      <c r="S521" s="30">
        <f>IFERROR(PROPERTIES[[#This Row],[TE_STARTING_KN]]/(PROPERTIES[[#This Row],[WEIGHT]]*9.81),0)</f>
        <v>0.16040055165797204</v>
      </c>
      <c r="T521" s="30">
        <v>0.31</v>
      </c>
      <c r="U521" s="27">
        <f>ROUND(IF(IFERROR(PROPERTIES[[#This Row],[TE_COEFFICIENT_CALC]],0)=0,PROPERTIES[[#This Row],[TE_COEFFICIENT_MANUAL]],PROPERTIES[[#This Row],[TE_COEFFICIENT_CALC]]),3)</f>
        <v>0.16</v>
      </c>
      <c r="V521" s="6">
        <v>25</v>
      </c>
      <c r="W521" s="10">
        <v>130</v>
      </c>
      <c r="X521" s="10">
        <v>8</v>
      </c>
      <c r="Y521" s="10"/>
      <c r="Z521" t="str">
        <f>"RUNNING_COST_"&amp;IF(PROPERTIES[[#This Row],[ENGINE_CLASS]]="MAGLEV","ELECTRIC",PROPERTIES[[#This Row],[ENGINE_CLASS]])</f>
        <v>RUNNING_COST_ELECTRIC</v>
      </c>
      <c r="AA521" s="10" t="s">
        <v>1008</v>
      </c>
      <c r="AB521" s="10" t="s">
        <v>1009</v>
      </c>
      <c r="AC521" s="10" t="str">
        <f>SUBSTITUTE(SUBSTITUTE(PROPERTIES[[#This Row],[PURCHASECOST_VALUE]], "PURCHASECOST_", ""), "_VALUE", "")</f>
        <v>EMU</v>
      </c>
      <c r="AD521" s="2" t="b">
        <v>0</v>
      </c>
      <c r="AV521"/>
      <c r="AW521"/>
      <c r="AX521"/>
    </row>
    <row r="522" spans="1:50">
      <c r="A522" s="2" t="s">
        <v>549</v>
      </c>
      <c r="B522">
        <v>1984</v>
      </c>
      <c r="C522">
        <v>1</v>
      </c>
      <c r="D522" t="s">
        <v>1933</v>
      </c>
      <c r="E522" t="str">
        <f>_xlfn.XLOOKUP(PROPERTIES[[#This Row],[COUNTRY]],COUNTRIES[COUNTRY_DESCRIPTION],COUNTRIES[COUNTRY_LABEL],"")</f>
        <v>MA</v>
      </c>
      <c r="F522" t="s">
        <v>74</v>
      </c>
      <c r="G522" t="s">
        <v>18</v>
      </c>
      <c r="H522">
        <v>90</v>
      </c>
      <c r="I522">
        <v>8</v>
      </c>
      <c r="J522">
        <v>8</v>
      </c>
      <c r="K522" s="2" t="s">
        <v>24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4">
        <v>48</v>
      </c>
      <c r="P522">
        <v>1900</v>
      </c>
      <c r="Q522">
        <v>160</v>
      </c>
      <c r="R522" s="31">
        <f>102/2</f>
        <v>51</v>
      </c>
      <c r="S522" s="30">
        <f>IFERROR(PROPERTIES[[#This Row],[TE_STARTING_KN]]/(PROPERTIES[[#This Row],[WEIGHT]]*9.81),0)</f>
        <v>0.10830784913353721</v>
      </c>
      <c r="T522" s="30">
        <v>0.21</v>
      </c>
      <c r="U522" s="27">
        <f>ROUND(IF(IFERROR(PROPERTIES[[#This Row],[TE_COEFFICIENT_CALC]],0)=0,PROPERTIES[[#This Row],[TE_COEFFICIENT_MANUAL]],PROPERTIES[[#This Row],[TE_COEFFICIENT_CALC]]),3)</f>
        <v>0.108</v>
      </c>
      <c r="V522" s="6">
        <v>40</v>
      </c>
      <c r="W522" s="10">
        <v>90</v>
      </c>
      <c r="X522" s="10">
        <v>8</v>
      </c>
      <c r="Y522" s="10"/>
      <c r="Z522" t="str">
        <f>"RUNNING_COST_"&amp;IF(PROPERTIES[[#This Row],[ENGINE_CLASS]]="MAGLEV","ELECTRIC",PROPERTIES[[#This Row],[ENGINE_CLASS]])</f>
        <v>RUNNING_COST_ELECTRIC</v>
      </c>
      <c r="AA522" s="10" t="s">
        <v>1008</v>
      </c>
      <c r="AB522" s="10" t="s">
        <v>1009</v>
      </c>
      <c r="AC522" s="10" t="str">
        <f>SUBSTITUTE(SUBSTITUTE(PROPERTIES[[#This Row],[PURCHASECOST_VALUE]], "PURCHASECOST_", ""), "_VALUE", "")</f>
        <v>EMU</v>
      </c>
      <c r="AD522" s="2" t="b">
        <v>0</v>
      </c>
      <c r="AV522"/>
      <c r="AW522"/>
      <c r="AX522"/>
    </row>
    <row r="523" spans="1:50">
      <c r="A523" s="2" t="s">
        <v>550</v>
      </c>
      <c r="B523">
        <v>1950</v>
      </c>
      <c r="C523">
        <v>1</v>
      </c>
      <c r="D523" t="s">
        <v>1975</v>
      </c>
      <c r="E523" t="str">
        <f>_xlfn.XLOOKUP(PROPERTIES[[#This Row],[COUNTRY]],COUNTRIES[COUNTRY_DESCRIPTION],COUNTRIES[COUNTRY_LABEL],"")</f>
        <v>PL</v>
      </c>
      <c r="F523" t="s">
        <v>74</v>
      </c>
      <c r="G523" t="s">
        <v>18</v>
      </c>
      <c r="H523">
        <f>INT(530/3)</f>
        <v>176</v>
      </c>
      <c r="I523">
        <v>8</v>
      </c>
      <c r="J523">
        <v>8</v>
      </c>
      <c r="K523" s="2" t="s">
        <v>24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4">
        <v>40</v>
      </c>
      <c r="P523">
        <v>642</v>
      </c>
      <c r="Q523">
        <v>100</v>
      </c>
      <c r="R523" s="31">
        <f>92/2</f>
        <v>46</v>
      </c>
      <c r="S523" s="30">
        <f>IFERROR(PROPERTIES[[#This Row],[TE_STARTING_KN]]/(PROPERTIES[[#This Row],[WEIGHT]]*9.81),0)</f>
        <v>0.11722731906218144</v>
      </c>
      <c r="T523" s="30">
        <v>0.25</v>
      </c>
      <c r="U523" s="27">
        <f>ROUND(IF(IFERROR(PROPERTIES[[#This Row],[TE_COEFFICIENT_CALC]],0)=0,PROPERTIES[[#This Row],[TE_COEFFICIENT_MANUAL]],PROPERTIES[[#This Row],[TE_COEFFICIENT_CALC]]),3)</f>
        <v>0.11700000000000001</v>
      </c>
      <c r="V523" s="6">
        <v>40</v>
      </c>
      <c r="W523" s="10">
        <f>INT(530/3)</f>
        <v>176</v>
      </c>
      <c r="X523" s="10">
        <v>8</v>
      </c>
      <c r="Y523" s="10"/>
      <c r="Z523" t="str">
        <f>"RUNNING_COST_"&amp;IF(PROPERTIES[[#This Row],[ENGINE_CLASS]]="MAGLEV","ELECTRIC",PROPERTIES[[#This Row],[ENGINE_CLASS]])</f>
        <v>RUNNING_COST_ELECTRIC</v>
      </c>
      <c r="AA523" s="10" t="s">
        <v>1008</v>
      </c>
      <c r="AB523" s="10" t="s">
        <v>1009</v>
      </c>
      <c r="AC523" s="10" t="str">
        <f>SUBSTITUTE(SUBSTITUTE(PROPERTIES[[#This Row],[PURCHASECOST_VALUE]], "PURCHASECOST_", ""), "_VALUE", "")</f>
        <v>EMU</v>
      </c>
      <c r="AD523" s="2" t="b">
        <v>0</v>
      </c>
      <c r="AV523"/>
      <c r="AW523"/>
      <c r="AX523"/>
    </row>
    <row r="524" spans="1:50">
      <c r="A524" s="2" t="s">
        <v>551</v>
      </c>
      <c r="B524">
        <v>1975</v>
      </c>
      <c r="C524">
        <v>1</v>
      </c>
      <c r="D524" t="s">
        <v>1906</v>
      </c>
      <c r="E524" t="str">
        <f>_xlfn.XLOOKUP(PROPERTIES[[#This Row],[COUNTRY]],COUNTRIES[COUNTRY_DESCRIPTION],COUNTRIES[COUNTRY_LABEL],"")</f>
        <v>IT</v>
      </c>
      <c r="F524" t="s">
        <v>74</v>
      </c>
      <c r="G524" t="s">
        <v>18</v>
      </c>
      <c r="H524">
        <v>80</v>
      </c>
      <c r="I524">
        <v>7</v>
      </c>
      <c r="J524">
        <v>7</v>
      </c>
      <c r="K524" s="2" t="s">
        <v>24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4">
        <v>70</v>
      </c>
      <c r="P524">
        <v>702</v>
      </c>
      <c r="Q524">
        <v>150</v>
      </c>
      <c r="R524" s="31">
        <f>110/2</f>
        <v>55</v>
      </c>
      <c r="S524" s="30">
        <f>IFERROR(PROPERTIES[[#This Row],[TE_STARTING_KN]]/(PROPERTIES[[#This Row],[WEIGHT]]*9.81),0)</f>
        <v>8.0093199359254394E-2</v>
      </c>
      <c r="T524" s="30">
        <v>0.15</v>
      </c>
      <c r="U524" s="27">
        <f>ROUND(IF(IFERROR(PROPERTIES[[#This Row],[TE_COEFFICIENT_CALC]],0)=0,PROPERTIES[[#This Row],[TE_COEFFICIENT_MANUAL]],PROPERTIES[[#This Row],[TE_COEFFICIENT_CALC]]),3)</f>
        <v>0.08</v>
      </c>
      <c r="V524" s="6">
        <v>25</v>
      </c>
      <c r="W524" s="10">
        <v>108</v>
      </c>
      <c r="X524" s="10">
        <v>7</v>
      </c>
      <c r="Y524" s="10"/>
      <c r="Z524" t="str">
        <f>"RUNNING_COST_"&amp;IF(PROPERTIES[[#This Row],[ENGINE_CLASS]]="MAGLEV","ELECTRIC",PROPERTIES[[#This Row],[ENGINE_CLASS]])</f>
        <v>RUNNING_COST_ELECTRIC</v>
      </c>
      <c r="AA524" s="10" t="s">
        <v>1008</v>
      </c>
      <c r="AB524" s="10" t="s">
        <v>1009</v>
      </c>
      <c r="AC524" s="10" t="str">
        <f>SUBSTITUTE(SUBSTITUTE(PROPERTIES[[#This Row],[PURCHASECOST_VALUE]], "PURCHASECOST_", ""), "_VALUE", "")</f>
        <v>EMU</v>
      </c>
      <c r="AD524" s="2" t="b">
        <v>0</v>
      </c>
      <c r="AV524"/>
      <c r="AW524"/>
      <c r="AX524"/>
    </row>
    <row r="525" spans="1:50">
      <c r="A525" s="2" t="s">
        <v>552</v>
      </c>
      <c r="B525">
        <v>1956</v>
      </c>
      <c r="C525">
        <v>1</v>
      </c>
      <c r="D525" t="s">
        <v>1809</v>
      </c>
      <c r="E525" t="str">
        <f>_xlfn.XLOOKUP(PROPERTIES[[#This Row],[COUNTRY]],COUNTRIES[COUNTRY_DESCRIPTION],COUNTRIES[COUNTRY_LABEL],"")</f>
        <v>AT</v>
      </c>
      <c r="F525" t="s">
        <v>74</v>
      </c>
      <c r="G525" t="s">
        <v>18</v>
      </c>
      <c r="H525">
        <v>72</v>
      </c>
      <c r="I525">
        <v>7</v>
      </c>
      <c r="J525">
        <v>7</v>
      </c>
      <c r="K525" s="2" t="s">
        <v>24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4">
        <f>(56+32)/2</f>
        <v>44</v>
      </c>
      <c r="P525">
        <v>1341</v>
      </c>
      <c r="Q525">
        <v>100</v>
      </c>
      <c r="R525" s="31">
        <f>99/2</f>
        <v>49.5</v>
      </c>
      <c r="S525" s="30">
        <f>IFERROR(PROPERTIES[[#This Row],[TE_STARTING_KN]]/(PROPERTIES[[#This Row],[WEIGHT]]*9.81),0)</f>
        <v>0.1146788990825688</v>
      </c>
      <c r="T525" s="30">
        <v>0.27</v>
      </c>
      <c r="U525" s="27">
        <f>ROUND(IF(IFERROR(PROPERTIES[[#This Row],[TE_COEFFICIENT_CALC]],0)=0,PROPERTIES[[#This Row],[TE_COEFFICIENT_MANUAL]],PROPERTIES[[#This Row],[TE_COEFFICIENT_CALC]]),3)</f>
        <v>0.115</v>
      </c>
      <c r="V525" s="6">
        <v>25</v>
      </c>
      <c r="W525" s="10">
        <v>72</v>
      </c>
      <c r="X525" s="10">
        <v>7</v>
      </c>
      <c r="Y525" s="10"/>
      <c r="Z525" t="str">
        <f>"RUNNING_COST_"&amp;IF(PROPERTIES[[#This Row],[ENGINE_CLASS]]="MAGLEV","ELECTRIC",PROPERTIES[[#This Row],[ENGINE_CLASS]])</f>
        <v>RUNNING_COST_ELECTRIC</v>
      </c>
      <c r="AA525" s="10" t="s">
        <v>1008</v>
      </c>
      <c r="AB525" s="10" t="s">
        <v>1009</v>
      </c>
      <c r="AC525" s="10" t="str">
        <f>SUBSTITUTE(SUBSTITUTE(PROPERTIES[[#This Row],[PURCHASECOST_VALUE]], "PURCHASECOST_", ""), "_VALUE", "")</f>
        <v>EMU</v>
      </c>
      <c r="AD525" s="2" t="b">
        <v>0</v>
      </c>
      <c r="AV525"/>
      <c r="AW525"/>
      <c r="AX525"/>
    </row>
    <row r="526" spans="1:50">
      <c r="A526" s="2" t="s">
        <v>553</v>
      </c>
      <c r="B526">
        <v>1929</v>
      </c>
      <c r="C526">
        <v>1</v>
      </c>
      <c r="D526" t="s">
        <v>1809</v>
      </c>
      <c r="E526" t="str">
        <f>_xlfn.XLOOKUP(PROPERTIES[[#This Row],[COUNTRY]],COUNTRIES[COUNTRY_DESCRIPTION],COUNTRIES[COUNTRY_LABEL],"")</f>
        <v>AT</v>
      </c>
      <c r="F526" t="s">
        <v>74</v>
      </c>
      <c r="G526" t="s">
        <v>18</v>
      </c>
      <c r="H526">
        <v>62</v>
      </c>
      <c r="I526">
        <v>8</v>
      </c>
      <c r="J526">
        <v>8</v>
      </c>
      <c r="K526" s="2" t="s">
        <v>24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4">
        <v>72.7</v>
      </c>
      <c r="P526">
        <f>555*2</f>
        <v>1110</v>
      </c>
      <c r="Q526">
        <v>62</v>
      </c>
      <c r="R526" s="31">
        <f>200/2</f>
        <v>100</v>
      </c>
      <c r="S526" s="30">
        <f>IFERROR(PROPERTIES[[#This Row],[TE_STARTING_KN]]/(PROPERTIES[[#This Row],[WEIGHT]]*9.81),0)</f>
        <v>0.14021567975860469</v>
      </c>
      <c r="T526" s="30">
        <v>0.08</v>
      </c>
      <c r="U526" s="27">
        <f>ROUND(IF(IFERROR(PROPERTIES[[#This Row],[TE_COEFFICIENT_CALC]],0)=0,PROPERTIES[[#This Row],[TE_COEFFICIENT_MANUAL]],PROPERTIES[[#This Row],[TE_COEFFICIENT_CALC]]),3)</f>
        <v>0.14000000000000001</v>
      </c>
      <c r="V526" s="6">
        <v>25</v>
      </c>
      <c r="W526" s="10">
        <v>62</v>
      </c>
      <c r="X526" s="10">
        <v>8</v>
      </c>
      <c r="Y526" s="10"/>
      <c r="Z526" t="str">
        <f>"RUNNING_COST_"&amp;IF(PROPERTIES[[#This Row],[ENGINE_CLASS]]="MAGLEV","ELECTRIC",PROPERTIES[[#This Row],[ENGINE_CLASS]])</f>
        <v>RUNNING_COST_ELECTRIC</v>
      </c>
      <c r="AA526" s="10" t="s">
        <v>1008</v>
      </c>
      <c r="AB526" s="10" t="s">
        <v>1009</v>
      </c>
      <c r="AC526" s="10" t="str">
        <f>SUBSTITUTE(SUBSTITUTE(PROPERTIES[[#This Row],[PURCHASECOST_VALUE]], "PURCHASECOST_", ""), "_VALUE", "")</f>
        <v>EMU</v>
      </c>
      <c r="AD526" s="2" t="b">
        <v>0</v>
      </c>
      <c r="AV526"/>
      <c r="AW526"/>
      <c r="AX526"/>
    </row>
    <row r="527" spans="1:50">
      <c r="A527" s="2" t="s">
        <v>554</v>
      </c>
      <c r="B527">
        <v>2011</v>
      </c>
      <c r="C527">
        <v>1</v>
      </c>
      <c r="D527" t="s">
        <v>1809</v>
      </c>
      <c r="E527" t="str">
        <f>_xlfn.XLOOKUP(PROPERTIES[[#This Row],[COUNTRY]],COUNTRIES[COUNTRY_DESCRIPTION],COUNTRIES[COUNTRY_LABEL],"")</f>
        <v>AT</v>
      </c>
      <c r="F527" t="s">
        <v>74</v>
      </c>
      <c r="G527" t="s">
        <v>18</v>
      </c>
      <c r="H527">
        <v>60</v>
      </c>
      <c r="I527">
        <v>8</v>
      </c>
      <c r="J527">
        <v>8</v>
      </c>
      <c r="K527" s="2" t="s">
        <v>24</v>
      </c>
      <c r="L527">
        <f>_xlfn.XLOOKUP("LOADINGSPEEDDEF_"&amp;PROPERTIES[[#This Row],[LOADINGSPEED]],LOADINGSPEEDDEF[TYPE],LOADINGSPEEDDEF[SPEED])</f>
        <v>40</v>
      </c>
      <c r="M527" t="s">
        <v>21</v>
      </c>
      <c r="N527">
        <v>1</v>
      </c>
      <c r="O527" s="34">
        <v>78</v>
      </c>
      <c r="P527">
        <v>5340</v>
      </c>
      <c r="Q527">
        <v>200</v>
      </c>
      <c r="R527" s="31">
        <f>200/2</f>
        <v>100</v>
      </c>
      <c r="S527" s="30">
        <f>IFERROR(PROPERTIES[[#This Row],[TE_STARTING_KN]]/(PROPERTIES[[#This Row],[WEIGHT]]*9.81),0)</f>
        <v>0.13068820408269949</v>
      </c>
      <c r="T527" s="30">
        <v>0.62</v>
      </c>
      <c r="U527" s="27">
        <f>ROUND(IF(IFERROR(PROPERTIES[[#This Row],[TE_COEFFICIENT_CALC]],0)=0,PROPERTIES[[#This Row],[TE_COEFFICIENT_MANUAL]],PROPERTIES[[#This Row],[TE_COEFFICIENT_CALC]]),3)</f>
        <v>0.13100000000000001</v>
      </c>
      <c r="V527" s="6">
        <v>40</v>
      </c>
      <c r="W527" s="10">
        <v>140</v>
      </c>
      <c r="X527" s="10">
        <v>8</v>
      </c>
      <c r="Y527" s="10"/>
      <c r="Z527" t="str">
        <f>"RUNNING_COST_"&amp;IF(PROPERTIES[[#This Row],[ENGINE_CLASS]]="MAGLEV","ELECTRIC",PROPERTIES[[#This Row],[ENGINE_CLASS]])</f>
        <v>RUNNING_COST_ELECTRIC</v>
      </c>
      <c r="AA527" s="10" t="s">
        <v>1008</v>
      </c>
      <c r="AB527" s="10" t="s">
        <v>1009</v>
      </c>
      <c r="AC527" s="10" t="str">
        <f>SUBSTITUTE(SUBSTITUTE(PROPERTIES[[#This Row],[PURCHASECOST_VALUE]], "PURCHASECOST_", ""), "_VALUE", "")</f>
        <v>EMU</v>
      </c>
      <c r="AD527" s="2" t="b">
        <v>0</v>
      </c>
      <c r="AV527"/>
      <c r="AW527"/>
      <c r="AX527"/>
    </row>
    <row r="528" spans="1:50">
      <c r="A528" s="2" t="s">
        <v>555</v>
      </c>
      <c r="B528">
        <v>1969</v>
      </c>
      <c r="C528">
        <v>1</v>
      </c>
      <c r="D528" t="s">
        <v>2046</v>
      </c>
      <c r="E528" t="str">
        <f>_xlfn.XLOOKUP(PROPERTIES[[#This Row],[COUNTRY]],COUNTRIES[COUNTRY_DESCRIPTION],COUNTRIES[COUNTRY_LABEL],"")</f>
        <v>GDR</v>
      </c>
      <c r="F528" t="s">
        <v>74</v>
      </c>
      <c r="G528" t="s">
        <v>18</v>
      </c>
      <c r="H528">
        <f>INT((192+266)/3)</f>
        <v>152</v>
      </c>
      <c r="I528">
        <v>8</v>
      </c>
      <c r="J528">
        <v>8</v>
      </c>
      <c r="K528" s="2" t="s">
        <v>24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4">
        <v>46</v>
      </c>
      <c r="P528">
        <f>1072*2</f>
        <v>2144</v>
      </c>
      <c r="Q528">
        <v>125</v>
      </c>
      <c r="R528" s="31">
        <v>63</v>
      </c>
      <c r="S528" s="30">
        <f>IFERROR(PROPERTIES[[#This Row],[TE_STARTING_KN]]/(PROPERTIES[[#This Row],[WEIGHT]]*9.81),0)</f>
        <v>0.13960909453530115</v>
      </c>
      <c r="T528" s="30">
        <v>0.31</v>
      </c>
      <c r="U528" s="27">
        <f>ROUND(IF(IFERROR(PROPERTIES[[#This Row],[TE_COEFFICIENT_CALC]],0)=0,PROPERTIES[[#This Row],[TE_COEFFICIENT_MANUAL]],PROPERTIES[[#This Row],[TE_COEFFICIENT_CALC]]),3)</f>
        <v>0.14000000000000001</v>
      </c>
      <c r="V528" s="6">
        <v>25</v>
      </c>
      <c r="W528">
        <f>INT((192+266)/3)</f>
        <v>152</v>
      </c>
      <c r="X528" s="10">
        <v>8</v>
      </c>
      <c r="Y528" s="10"/>
      <c r="Z528" t="str">
        <f>"RUNNING_COST_"&amp;IF(PROPERTIES[[#This Row],[ENGINE_CLASS]]="MAGLEV","ELECTRIC",PROPERTIES[[#This Row],[ENGINE_CLASS]])</f>
        <v>RUNNING_COST_ELECTRIC</v>
      </c>
      <c r="AA528" s="10" t="s">
        <v>1008</v>
      </c>
      <c r="AB528" s="10" t="s">
        <v>1009</v>
      </c>
      <c r="AC528" s="10" t="str">
        <f>SUBSTITUTE(SUBSTITUTE(PROPERTIES[[#This Row],[PURCHASECOST_VALUE]], "PURCHASECOST_", ""), "_VALUE", "")</f>
        <v>EMU</v>
      </c>
      <c r="AD528" s="2" t="b">
        <v>0</v>
      </c>
      <c r="AV528"/>
      <c r="AW528"/>
      <c r="AX528"/>
    </row>
    <row r="529" spans="1:50">
      <c r="A529" s="2" t="s">
        <v>556</v>
      </c>
      <c r="B529">
        <v>1998</v>
      </c>
      <c r="C529">
        <v>1</v>
      </c>
      <c r="D529" t="s">
        <v>1963</v>
      </c>
      <c r="E529" t="str">
        <f>_xlfn.XLOOKUP(PROPERTIES[[#This Row],[COUNTRY]],COUNTRIES[COUNTRY_DESCRIPTION],COUNTRIES[COUNTRY_LABEL],"")</f>
        <v>NO</v>
      </c>
      <c r="F529" t="s">
        <v>74</v>
      </c>
      <c r="G529" t="s">
        <v>18</v>
      </c>
      <c r="H529">
        <v>54</v>
      </c>
      <c r="I529">
        <v>8</v>
      </c>
      <c r="J529">
        <v>8</v>
      </c>
      <c r="K529" s="2" t="s">
        <v>479</v>
      </c>
      <c r="L529">
        <f>_xlfn.XLOOKUP("LOADINGSPEEDDEF_"&amp;PROPERTIES[[#This Row],[LOADINGSPEED]],LOADINGSPEEDDEF[TYPE],LOADINGSPEEDDEF[SPEED])</f>
        <v>16</v>
      </c>
      <c r="M529" t="s">
        <v>21</v>
      </c>
      <c r="N529">
        <v>1</v>
      </c>
      <c r="O529" s="34">
        <v>54</v>
      </c>
      <c r="P529">
        <f>1166*2</f>
        <v>2332</v>
      </c>
      <c r="Q529">
        <v>210</v>
      </c>
      <c r="R529" s="31">
        <f>117/2</f>
        <v>58.5</v>
      </c>
      <c r="S529" s="30">
        <f>IFERROR(PROPERTIES[[#This Row],[TE_STARTING_KN]]/(PROPERTIES[[#This Row],[WEIGHT]]*9.81),0)</f>
        <v>0.11043153244988108</v>
      </c>
      <c r="T529" s="30">
        <v>0.69</v>
      </c>
      <c r="U529" s="27">
        <f>ROUND(IF(IFERROR(PROPERTIES[[#This Row],[TE_COEFFICIENT_CALC]],0)=0,PROPERTIES[[#This Row],[TE_COEFFICIENT_MANUAL]],PROPERTIES[[#This Row],[TE_COEFFICIENT_CALC]]),3)</f>
        <v>0.11</v>
      </c>
      <c r="V529" s="6">
        <v>25</v>
      </c>
      <c r="W529" s="10">
        <v>54</v>
      </c>
      <c r="X529" s="10">
        <v>8</v>
      </c>
      <c r="Y529" s="10"/>
      <c r="Z529" t="str">
        <f>"RUNNING_COST_"&amp;IF(PROPERTIES[[#This Row],[ENGINE_CLASS]]="MAGLEV","ELECTRIC",PROPERTIES[[#This Row],[ENGINE_CLASS]])</f>
        <v>RUNNING_COST_ELECTRIC</v>
      </c>
      <c r="AA529" s="10" t="s">
        <v>1008</v>
      </c>
      <c r="AB529" s="10" t="s">
        <v>1009</v>
      </c>
      <c r="AC529" s="10" t="str">
        <f>SUBSTITUTE(SUBSTITUTE(PROPERTIES[[#This Row],[PURCHASECOST_VALUE]], "PURCHASECOST_", ""), "_VALUE", "")</f>
        <v>EMU</v>
      </c>
      <c r="AD529" s="2" t="b">
        <v>0</v>
      </c>
      <c r="AV529"/>
      <c r="AW529"/>
      <c r="AX529"/>
    </row>
    <row r="530" spans="1:50">
      <c r="A530" s="2" t="s">
        <v>557</v>
      </c>
      <c r="B530">
        <v>1942</v>
      </c>
      <c r="C530">
        <v>1</v>
      </c>
      <c r="D530" t="s">
        <v>1963</v>
      </c>
      <c r="E530" t="str">
        <f>_xlfn.XLOOKUP(PROPERTIES[[#This Row],[COUNTRY]],COUNTRIES[COUNTRY_DESCRIPTION],COUNTRIES[COUNTRY_LABEL],"")</f>
        <v>NO</v>
      </c>
      <c r="F530" t="s">
        <v>74</v>
      </c>
      <c r="G530" t="s">
        <v>18</v>
      </c>
      <c r="H530">
        <v>50</v>
      </c>
      <c r="I530">
        <v>8</v>
      </c>
      <c r="J530">
        <v>8</v>
      </c>
      <c r="K530" s="2" t="s">
        <v>24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4">
        <f>(47+30)/2</f>
        <v>38.5</v>
      </c>
      <c r="P530">
        <v>622</v>
      </c>
      <c r="Q530">
        <v>70</v>
      </c>
      <c r="R530" s="31">
        <f>85/2</f>
        <v>42.5</v>
      </c>
      <c r="S530" s="30">
        <f>IFERROR(PROPERTIES[[#This Row],[TE_STARTING_KN]]/(PROPERTIES[[#This Row],[WEIGHT]]*9.81),0)</f>
        <v>0.11252763546341528</v>
      </c>
      <c r="T530" s="30">
        <v>0.23</v>
      </c>
      <c r="U530" s="27">
        <f>ROUND(IF(IFERROR(PROPERTIES[[#This Row],[TE_COEFFICIENT_CALC]],0)=0,PROPERTIES[[#This Row],[TE_COEFFICIENT_MANUAL]],PROPERTIES[[#This Row],[TE_COEFFICIENT_CALC]]),3)</f>
        <v>0.113</v>
      </c>
      <c r="V530" s="6">
        <v>25</v>
      </c>
      <c r="W530" s="10">
        <v>50</v>
      </c>
      <c r="X530" s="10">
        <v>7</v>
      </c>
      <c r="Y530" s="10"/>
      <c r="Z530" t="str">
        <f>"RUNNING_COST_"&amp;IF(PROPERTIES[[#This Row],[ENGINE_CLASS]]="MAGLEV","ELECTRIC",PROPERTIES[[#This Row],[ENGINE_CLASS]])</f>
        <v>RUNNING_COST_ELECTRIC</v>
      </c>
      <c r="AA530" s="10" t="s">
        <v>1008</v>
      </c>
      <c r="AB530" s="10" t="s">
        <v>1009</v>
      </c>
      <c r="AC530" s="10" t="str">
        <f>SUBSTITUTE(SUBSTITUTE(PROPERTIES[[#This Row],[PURCHASECOST_VALUE]], "PURCHASECOST_", ""), "_VALUE", "")</f>
        <v>EMU</v>
      </c>
      <c r="AD530" s="2" t="b">
        <v>0</v>
      </c>
      <c r="AV530"/>
      <c r="AW530"/>
      <c r="AX530"/>
    </row>
    <row r="531" spans="1:50">
      <c r="A531" s="2" t="s">
        <v>558</v>
      </c>
      <c r="B531">
        <v>1990</v>
      </c>
      <c r="C531">
        <v>1</v>
      </c>
      <c r="D531" t="s">
        <v>1993</v>
      </c>
      <c r="E531" t="str">
        <f>_xlfn.XLOOKUP(PROPERTIES[[#This Row],[COUNTRY]],COUNTRIES[COUNTRY_DESCRIPTION],COUNTRIES[COUNTRY_LABEL],"")</f>
        <v>SE</v>
      </c>
      <c r="F531" t="s">
        <v>74</v>
      </c>
      <c r="G531" t="s">
        <v>18</v>
      </c>
      <c r="H531">
        <v>0</v>
      </c>
      <c r="I531">
        <v>8</v>
      </c>
      <c r="J531">
        <v>8</v>
      </c>
      <c r="K531" s="2" t="s">
        <v>479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4">
        <v>73</v>
      </c>
      <c r="P531">
        <v>4400</v>
      </c>
      <c r="Q531">
        <v>200</v>
      </c>
      <c r="R531" s="31">
        <f>160/2</f>
        <v>80</v>
      </c>
      <c r="S531" s="30">
        <f>IFERROR(PROPERTIES[[#This Row],[TE_STARTING_KN]]/(PROPERTIES[[#This Row],[WEIGHT]]*9.81),0)</f>
        <v>0.11171156075014313</v>
      </c>
      <c r="T531" s="30">
        <v>0.49</v>
      </c>
      <c r="U531" s="27">
        <f>ROUND(IF(IFERROR(PROPERTIES[[#This Row],[TE_COEFFICIENT_CALC]],0)=0,PROPERTIES[[#This Row],[TE_COEFFICIENT_MANUAL]],PROPERTIES[[#This Row],[TE_COEFFICIENT_CALC]]),3)</f>
        <v>0.112</v>
      </c>
      <c r="V531" s="6">
        <v>25</v>
      </c>
      <c r="W531" s="10">
        <v>72</v>
      </c>
      <c r="X531" s="10">
        <v>8</v>
      </c>
      <c r="Y531" s="10"/>
      <c r="Z531" t="str">
        <f>"RUNNING_COST_"&amp;IF(PROPERTIES[[#This Row],[ENGINE_CLASS]]="MAGLEV","ELECTRIC",PROPERTIES[[#This Row],[ENGINE_CLASS]])</f>
        <v>RUNNING_COST_ELECTRIC</v>
      </c>
      <c r="AA531" s="10" t="s">
        <v>1008</v>
      </c>
      <c r="AB531" s="10" t="s">
        <v>1009</v>
      </c>
      <c r="AC531" s="10" t="str">
        <f>SUBSTITUTE(SUBSTITUTE(PROPERTIES[[#This Row],[PURCHASECOST_VALUE]], "PURCHASECOST_", ""), "_VALUE", "")</f>
        <v>EMU</v>
      </c>
      <c r="AD531" s="2" t="b">
        <v>0</v>
      </c>
      <c r="AV531"/>
      <c r="AW531"/>
      <c r="AX531"/>
    </row>
    <row r="532" spans="1:50">
      <c r="A532" s="2" t="s">
        <v>559</v>
      </c>
      <c r="B532">
        <v>1965</v>
      </c>
      <c r="C532">
        <v>1</v>
      </c>
      <c r="D532" t="s">
        <v>1840</v>
      </c>
      <c r="E532" t="str">
        <f>_xlfn.XLOOKUP(PROPERTIES[[#This Row],[COUNTRY]],COUNTRIES[COUNTRY_DESCRIPTION],COUNTRIES[COUNTRY_LABEL],"")</f>
        <v>CH</v>
      </c>
      <c r="F532" t="s">
        <v>74</v>
      </c>
      <c r="G532" t="s">
        <v>18</v>
      </c>
      <c r="H532">
        <v>56</v>
      </c>
      <c r="I532">
        <v>8</v>
      </c>
      <c r="J532">
        <v>8</v>
      </c>
      <c r="K532" s="2" t="s">
        <v>24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4">
        <f>INT(200/3)</f>
        <v>66</v>
      </c>
      <c r="P532">
        <f>INT(3277*2/3)</f>
        <v>2184</v>
      </c>
      <c r="Q532">
        <v>125</v>
      </c>
      <c r="R532" s="31">
        <f>239/2</f>
        <v>119.5</v>
      </c>
      <c r="S532" s="30">
        <f>IFERROR(PROPERTIES[[#This Row],[TE_STARTING_KN]]/(PROPERTIES[[#This Row],[WEIGHT]]*9.81),0)</f>
        <v>0.18456738640224879</v>
      </c>
      <c r="T532" s="30">
        <v>0.43</v>
      </c>
      <c r="U532" s="27">
        <f>ROUND(IF(IFERROR(PROPERTIES[[#This Row],[TE_COEFFICIENT_CALC]],0)=0,PROPERTIES[[#This Row],[TE_COEFFICIENT_MANUAL]],PROPERTIES[[#This Row],[TE_COEFFICIENT_CALC]]),3)</f>
        <v>0.185</v>
      </c>
      <c r="V532" s="6">
        <v>25</v>
      </c>
      <c r="W532" s="10">
        <f>INT(200/3)</f>
        <v>66</v>
      </c>
      <c r="X532" s="10">
        <v>8</v>
      </c>
      <c r="Y532" s="10"/>
      <c r="Z532" t="str">
        <f>"RUNNING_COST_"&amp;IF(PROPERTIES[[#This Row],[ENGINE_CLASS]]="MAGLEV","ELECTRIC",PROPERTIES[[#This Row],[ENGINE_CLASS]])</f>
        <v>RUNNING_COST_ELECTRIC</v>
      </c>
      <c r="AA532" s="10" t="s">
        <v>1008</v>
      </c>
      <c r="AB532" s="10" t="s">
        <v>1009</v>
      </c>
      <c r="AC532" s="10" t="str">
        <f>SUBSTITUTE(SUBSTITUTE(PROPERTIES[[#This Row],[PURCHASECOST_VALUE]], "PURCHASECOST_", ""), "_VALUE", "")</f>
        <v>EMU</v>
      </c>
      <c r="AD532" s="2" t="b">
        <v>0</v>
      </c>
      <c r="AV532"/>
      <c r="AW532"/>
      <c r="AX532"/>
    </row>
    <row r="533" spans="1:50">
      <c r="A533" s="2" t="s">
        <v>560</v>
      </c>
      <c r="B533">
        <v>1984</v>
      </c>
      <c r="C533">
        <v>1</v>
      </c>
      <c r="D533" t="s">
        <v>1840</v>
      </c>
      <c r="E533" t="str">
        <f>_xlfn.XLOOKUP(PROPERTIES[[#This Row],[COUNTRY]],COUNTRIES[COUNTRY_DESCRIPTION],COUNTRIES[COUNTRY_LABEL],"")</f>
        <v>CH</v>
      </c>
      <c r="F533" t="s">
        <v>74</v>
      </c>
      <c r="G533" t="s">
        <v>18</v>
      </c>
      <c r="H533">
        <v>56</v>
      </c>
      <c r="I533">
        <v>8</v>
      </c>
      <c r="J533">
        <v>8</v>
      </c>
      <c r="K533" s="2" t="s">
        <v>24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4">
        <v>35</v>
      </c>
      <c r="P533">
        <v>2210</v>
      </c>
      <c r="Q533">
        <v>140</v>
      </c>
      <c r="R533" s="31">
        <f>182/2</f>
        <v>91</v>
      </c>
      <c r="S533" s="30">
        <f>IFERROR(PROPERTIES[[#This Row],[TE_STARTING_KN]]/(PROPERTIES[[#This Row],[WEIGHT]]*9.81),0)</f>
        <v>0.26503567787971455</v>
      </c>
      <c r="T533" s="30">
        <v>0.52</v>
      </c>
      <c r="U533" s="27">
        <f>ROUND(IF(IFERROR(PROPERTIES[[#This Row],[TE_COEFFICIENT_CALC]],0)=0,PROPERTIES[[#This Row],[TE_COEFFICIENT_MANUAL]],PROPERTIES[[#This Row],[TE_COEFFICIENT_CALC]]),3)</f>
        <v>0.26500000000000001</v>
      </c>
      <c r="V533" s="6">
        <v>25</v>
      </c>
      <c r="W533" s="10">
        <v>56</v>
      </c>
      <c r="X533" s="10">
        <v>8</v>
      </c>
      <c r="Y533" s="10"/>
      <c r="Z533" t="str">
        <f>"RUNNING_COST_"&amp;IF(PROPERTIES[[#This Row],[ENGINE_CLASS]]="MAGLEV","ELECTRIC",PROPERTIES[[#This Row],[ENGINE_CLASS]])</f>
        <v>RUNNING_COST_ELECTRIC</v>
      </c>
      <c r="AA533" s="10" t="s">
        <v>1008</v>
      </c>
      <c r="AB533" s="10" t="s">
        <v>1009</v>
      </c>
      <c r="AC533" s="10" t="str">
        <f>SUBSTITUTE(SUBSTITUTE(PROPERTIES[[#This Row],[PURCHASECOST_VALUE]], "PURCHASECOST_", ""), "_VALUE", "")</f>
        <v>EMU</v>
      </c>
      <c r="AD533" s="2" t="b">
        <v>0</v>
      </c>
      <c r="AV533"/>
      <c r="AW533"/>
      <c r="AX533"/>
    </row>
    <row r="534" spans="1:50">
      <c r="A534" s="2" t="s">
        <v>561</v>
      </c>
      <c r="B534">
        <v>2004</v>
      </c>
      <c r="C534">
        <v>1</v>
      </c>
      <c r="D534" t="s">
        <v>1840</v>
      </c>
      <c r="E534" t="str">
        <f>_xlfn.XLOOKUP(PROPERTIES[[#This Row],[COUNTRY]],COUNTRIES[COUNTRY_DESCRIPTION],COUNTRIES[COUNTRY_LABEL],"")</f>
        <v>CH</v>
      </c>
      <c r="F534" t="s">
        <v>74</v>
      </c>
      <c r="G534" t="s">
        <v>18</v>
      </c>
      <c r="H534">
        <v>50</v>
      </c>
      <c r="I534">
        <v>8</v>
      </c>
      <c r="J534">
        <v>8</v>
      </c>
      <c r="K534" s="2" t="s">
        <v>24</v>
      </c>
      <c r="L534">
        <f>_xlfn.XLOOKUP("LOADINGSPEEDDEF_"&amp;PROPERTIES[[#This Row],[LOADINGSPEED]],LOADINGSPEEDDEF[TYPE],LOADINGSPEEDDEF[SPEED])</f>
        <v>40</v>
      </c>
      <c r="M534" t="s">
        <v>21</v>
      </c>
      <c r="N534">
        <v>1</v>
      </c>
      <c r="O534" s="34">
        <v>31</v>
      </c>
      <c r="P534">
        <v>2682</v>
      </c>
      <c r="Q534">
        <v>160</v>
      </c>
      <c r="R534" s="31">
        <f>200/2</f>
        <v>100</v>
      </c>
      <c r="S534" s="30">
        <f>IFERROR(PROPERTIES[[#This Row],[TE_STARTING_KN]]/(PROPERTIES[[#This Row],[WEIGHT]]*9.81),0)</f>
        <v>0.32882838446614709</v>
      </c>
      <c r="T534" s="30">
        <v>0.65</v>
      </c>
      <c r="U534" s="27">
        <f>ROUND(IF(IFERROR(PROPERTIES[[#This Row],[TE_COEFFICIENT_CALC]],0)=0,PROPERTIES[[#This Row],[TE_COEFFICIENT_MANUAL]],PROPERTIES[[#This Row],[TE_COEFFICIENT_CALC]]),3)</f>
        <v>0.32900000000000001</v>
      </c>
      <c r="V534" s="6">
        <v>25</v>
      </c>
      <c r="W534" s="10">
        <v>50</v>
      </c>
      <c r="X534" s="10">
        <v>7</v>
      </c>
      <c r="Y534" s="10"/>
      <c r="Z534" t="str">
        <f>"RUNNING_COST_"&amp;IF(PROPERTIES[[#This Row],[ENGINE_CLASS]]="MAGLEV","ELECTRIC",PROPERTIES[[#This Row],[ENGINE_CLASS]])</f>
        <v>RUNNING_COST_ELECTRIC</v>
      </c>
      <c r="AA534" s="10" t="s">
        <v>1008</v>
      </c>
      <c r="AB534" s="10" t="s">
        <v>1009</v>
      </c>
      <c r="AC534" s="10" t="str">
        <f>SUBSTITUTE(SUBSTITUTE(PROPERTIES[[#This Row],[PURCHASECOST_VALUE]], "PURCHASECOST_", ""), "_VALUE", "")</f>
        <v>EMU</v>
      </c>
      <c r="AD534" s="2" t="b">
        <v>0</v>
      </c>
      <c r="AV534"/>
      <c r="AW534"/>
      <c r="AX534"/>
    </row>
    <row r="535" spans="1:50">
      <c r="A535" s="2" t="s">
        <v>562</v>
      </c>
      <c r="B535">
        <v>1969</v>
      </c>
      <c r="C535">
        <v>1</v>
      </c>
      <c r="D535" t="s">
        <v>2029</v>
      </c>
      <c r="E535" t="str">
        <f>_xlfn.XLOOKUP(PROPERTIES[[#This Row],[COUNTRY]],COUNTRIES[COUNTRY_DESCRIPTION],COUNTRIES[COUNTRY_LABEL],"")</f>
        <v>US</v>
      </c>
      <c r="F535" t="s">
        <v>74</v>
      </c>
      <c r="G535" t="s">
        <v>18</v>
      </c>
      <c r="H535">
        <v>76</v>
      </c>
      <c r="I535">
        <v>8</v>
      </c>
      <c r="J535">
        <v>8</v>
      </c>
      <c r="K535" s="2" t="s">
        <v>24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4">
        <v>75</v>
      </c>
      <c r="P535">
        <v>2400</v>
      </c>
      <c r="Q535">
        <v>190</v>
      </c>
      <c r="R535" s="31">
        <f>200/2</f>
        <v>100</v>
      </c>
      <c r="S535" s="30">
        <f>IFERROR(PROPERTIES[[#This Row],[TE_STARTING_KN]]/(PROPERTIES[[#This Row],[WEIGHT]]*9.81),0)</f>
        <v>0.13591573224600748</v>
      </c>
      <c r="T535" s="30">
        <v>0.15</v>
      </c>
      <c r="U535" s="27">
        <f>ROUND(IF(IFERROR(PROPERTIES[[#This Row],[TE_COEFFICIENT_CALC]],0)=0,PROPERTIES[[#This Row],[TE_COEFFICIENT_MANUAL]],PROPERTIES[[#This Row],[TE_COEFFICIENT_CALC]]),3)</f>
        <v>0.13600000000000001</v>
      </c>
      <c r="V535" s="6">
        <v>40</v>
      </c>
      <c r="W535">
        <v>76</v>
      </c>
      <c r="X535" s="10">
        <v>8</v>
      </c>
      <c r="Y535" s="10"/>
      <c r="Z535" t="str">
        <f>"RUNNING_COST_"&amp;IF(PROPERTIES[[#This Row],[ENGINE_CLASS]]="MAGLEV","ELECTRIC",PROPERTIES[[#This Row],[ENGINE_CLASS]])</f>
        <v>RUNNING_COST_ELECTRIC</v>
      </c>
      <c r="AA535" s="10" t="s">
        <v>1008</v>
      </c>
      <c r="AB535" s="10" t="s">
        <v>1009</v>
      </c>
      <c r="AC535" s="10" t="str">
        <f>SUBSTITUTE(SUBSTITUTE(PROPERTIES[[#This Row],[PURCHASECOST_VALUE]], "PURCHASECOST_", ""), "_VALUE", "")</f>
        <v>EMU</v>
      </c>
      <c r="AD535" s="2" t="b">
        <v>0</v>
      </c>
      <c r="AV535"/>
      <c r="AW535"/>
      <c r="AX535"/>
    </row>
    <row r="536" spans="1:50">
      <c r="A536" s="2" t="s">
        <v>563</v>
      </c>
      <c r="B536">
        <v>2000</v>
      </c>
      <c r="C536">
        <v>1</v>
      </c>
      <c r="D536" t="s">
        <v>1854</v>
      </c>
      <c r="E536" t="str">
        <f>_xlfn.XLOOKUP(PROPERTIES[[#This Row],[COUNTRY]],COUNTRIES[COUNTRY_DESCRIPTION],COUNTRIES[COUNTRY_LABEL],"")</f>
        <v>DE</v>
      </c>
      <c r="F536" t="s">
        <v>74</v>
      </c>
      <c r="G536" t="s">
        <v>18</v>
      </c>
      <c r="H536">
        <f>INT(441/8)</f>
        <v>55</v>
      </c>
      <c r="I536">
        <v>7</v>
      </c>
      <c r="J536">
        <v>7</v>
      </c>
      <c r="K536" s="2" t="s">
        <v>479</v>
      </c>
      <c r="L536">
        <f>_xlfn.XLOOKUP("LOADINGSPEEDDEF_"&amp;PROPERTIES[[#This Row],[LOADINGSPEED]],LOADINGSPEEDDEF[TYPE],LOADINGSPEEDDEF[SPEED])</f>
        <v>16</v>
      </c>
      <c r="M536" t="s">
        <v>21</v>
      </c>
      <c r="N536">
        <v>1</v>
      </c>
      <c r="O536" s="34">
        <f>409/8</f>
        <v>51.125</v>
      </c>
      <c r="P536">
        <v>10728</v>
      </c>
      <c r="Q536">
        <v>328</v>
      </c>
      <c r="R536" s="31">
        <f>300/2</f>
        <v>150</v>
      </c>
      <c r="S536" s="30">
        <f>IFERROR(PROPERTIES[[#This Row],[TE_STARTING_KN]]/(PROPERTIES[[#This Row],[WEIGHT]]*9.81),0)</f>
        <v>0.29908107340197243</v>
      </c>
      <c r="T536" s="30">
        <v>0.98</v>
      </c>
      <c r="U536" s="27">
        <f>ROUND(IF(IFERROR(PROPERTIES[[#This Row],[TE_COEFFICIENT_CALC]],0)=0,PROPERTIES[[#This Row],[TE_COEFFICIENT_MANUAL]],PROPERTIES[[#This Row],[TE_COEFFICIENT_CALC]]),3)</f>
        <v>0.29899999999999999</v>
      </c>
      <c r="V536" s="6">
        <v>25</v>
      </c>
      <c r="W536" s="10">
        <f>INT(441/8)</f>
        <v>55</v>
      </c>
      <c r="X536" s="10">
        <v>8</v>
      </c>
      <c r="Y536" s="10"/>
      <c r="Z536" t="str">
        <f>"RUNNING_COST_"&amp;IF(PROPERTIES[[#This Row],[ENGINE_CLASS]]="MAGLEV","ELECTRIC",PROPERTIES[[#This Row],[ENGINE_CLASS]])</f>
        <v>RUNNING_COST_ELECTRIC</v>
      </c>
      <c r="AA536" s="10" t="s">
        <v>1008</v>
      </c>
      <c r="AB536" s="10" t="s">
        <v>1009</v>
      </c>
      <c r="AC536" s="10" t="str">
        <f>SUBSTITUTE(SUBSTITUTE(PROPERTIES[[#This Row],[PURCHASECOST_VALUE]], "PURCHASECOST_", ""), "_VALUE", "")</f>
        <v>EMU</v>
      </c>
      <c r="AD536" s="2" t="b">
        <v>0</v>
      </c>
      <c r="AV536"/>
      <c r="AW536"/>
      <c r="AX536"/>
    </row>
    <row r="537" spans="1:50">
      <c r="A537" s="2" t="s">
        <v>564</v>
      </c>
      <c r="B537">
        <v>2005</v>
      </c>
      <c r="C537">
        <v>1</v>
      </c>
      <c r="D537" t="s">
        <v>1819</v>
      </c>
      <c r="E537" t="str">
        <f>_xlfn.XLOOKUP(PROPERTIES[[#This Row],[COUNTRY]],COUNTRIES[COUNTRY_DESCRIPTION],COUNTRIES[COUNTRY_LABEL],"")</f>
        <v>BG</v>
      </c>
      <c r="F537" t="s">
        <v>74</v>
      </c>
      <c r="G537" t="s">
        <v>18</v>
      </c>
      <c r="H537" s="10">
        <f>INT(190/2)</f>
        <v>95</v>
      </c>
      <c r="I537">
        <v>8</v>
      </c>
      <c r="J537">
        <v>8</v>
      </c>
      <c r="K537" s="2" t="s">
        <v>24</v>
      </c>
      <c r="L537">
        <f>_xlfn.XLOOKUP("LOADINGSPEEDDEF_"&amp;PROPERTIES[[#This Row],[LOADINGSPEED]],LOADINGSPEEDDEF[TYPE],LOADINGSPEEDDEF[SPEED])</f>
        <v>40</v>
      </c>
      <c r="M537" t="s">
        <v>21</v>
      </c>
      <c r="N537">
        <v>1</v>
      </c>
      <c r="O537" s="34">
        <f>88/2</f>
        <v>44</v>
      </c>
      <c r="P537">
        <v>1740</v>
      </c>
      <c r="Q537">
        <v>120</v>
      </c>
      <c r="R537" s="31">
        <v>0</v>
      </c>
      <c r="S537" s="30">
        <f>IFERROR(PROPERTIES[[#This Row],[TE_STARTING_KN]]/(PROPERTIES[[#This Row],[WEIGHT]]*9.81),0)</f>
        <v>0</v>
      </c>
      <c r="T537" s="30">
        <v>0.21</v>
      </c>
      <c r="U537" s="27">
        <f>ROUND(IF(IFERROR(PROPERTIES[[#This Row],[TE_COEFFICIENT_CALC]],0)=0,PROPERTIES[[#This Row],[TE_COEFFICIENT_MANUAL]],PROPERTIES[[#This Row],[TE_COEFFICIENT_CALC]]),3)</f>
        <v>0.21</v>
      </c>
      <c r="V537" s="6">
        <v>25</v>
      </c>
      <c r="W537" s="10">
        <f>INT(190/2)</f>
        <v>95</v>
      </c>
      <c r="X537" s="10">
        <v>8</v>
      </c>
      <c r="Y537" s="10"/>
      <c r="Z537" t="str">
        <f>"RUNNING_COST_"&amp;IF(PROPERTIES[[#This Row],[ENGINE_CLASS]]="MAGLEV","ELECTRIC",PROPERTIES[[#This Row],[ENGINE_CLASS]])</f>
        <v>RUNNING_COST_ELECTRIC</v>
      </c>
      <c r="AA537" s="10" t="s">
        <v>1008</v>
      </c>
      <c r="AB537" s="10" t="s">
        <v>1009</v>
      </c>
      <c r="AC537" s="10" t="str">
        <f>SUBSTITUTE(SUBSTITUTE(PROPERTIES[[#This Row],[PURCHASECOST_VALUE]], "PURCHASECOST_", ""), "_VALUE", "")</f>
        <v>EMU</v>
      </c>
      <c r="AD537" s="2" t="b">
        <v>0</v>
      </c>
      <c r="AV537"/>
      <c r="AW537"/>
      <c r="AX537"/>
    </row>
    <row r="538" spans="1:50">
      <c r="A538" s="2" t="s">
        <v>565</v>
      </c>
      <c r="B538">
        <v>1975</v>
      </c>
      <c r="C538">
        <v>1</v>
      </c>
      <c r="D538" t="s">
        <v>1867</v>
      </c>
      <c r="E538" t="str">
        <f>_xlfn.XLOOKUP(PROPERTIES[[#This Row],[COUNTRY]],COUNTRIES[COUNTRY_DESCRIPTION],COUNTRIES[COUNTRY_LABEL],"")</f>
        <v>FI</v>
      </c>
      <c r="F538" t="s">
        <v>74</v>
      </c>
      <c r="G538" t="s">
        <v>18</v>
      </c>
      <c r="H538">
        <v>100</v>
      </c>
      <c r="I538">
        <v>8</v>
      </c>
      <c r="J538">
        <v>8</v>
      </c>
      <c r="K538" s="2" t="s">
        <v>24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4">
        <f>(46.5+76)/2</f>
        <v>61.25</v>
      </c>
      <c r="P538">
        <v>818</v>
      </c>
      <c r="Q538">
        <v>120</v>
      </c>
      <c r="R538" s="31">
        <f>85/2</f>
        <v>42.5</v>
      </c>
      <c r="S538" s="30">
        <f>IFERROR(PROPERTIES[[#This Row],[TE_STARTING_KN]]/(PROPERTIES[[#This Row],[WEIGHT]]*9.81),0)</f>
        <v>7.0731656577003879E-2</v>
      </c>
      <c r="T538" s="30">
        <v>0.22</v>
      </c>
      <c r="U538" s="27">
        <f>ROUND(IF(IFERROR(PROPERTIES[[#This Row],[TE_COEFFICIENT_CALC]],0)=0,PROPERTIES[[#This Row],[TE_COEFFICIENT_MANUAL]],PROPERTIES[[#This Row],[TE_COEFFICIENT_CALC]]),3)</f>
        <v>7.0999999999999994E-2</v>
      </c>
      <c r="V538" s="6">
        <v>25</v>
      </c>
      <c r="W538" s="10">
        <v>100</v>
      </c>
      <c r="X538" s="10">
        <v>8</v>
      </c>
      <c r="Y538" s="10"/>
      <c r="Z538" t="str">
        <f>"RUNNING_COST_"&amp;IF(PROPERTIES[[#This Row],[ENGINE_CLASS]]="MAGLEV","ELECTRIC",PROPERTIES[[#This Row],[ENGINE_CLASS]])</f>
        <v>RUNNING_COST_ELECTRIC</v>
      </c>
      <c r="AA538" s="10" t="s">
        <v>1008</v>
      </c>
      <c r="AB538" s="10" t="s">
        <v>1009</v>
      </c>
      <c r="AC538" s="10" t="str">
        <f>SUBSTITUTE(SUBSTITUTE(PROPERTIES[[#This Row],[PURCHASECOST_VALUE]], "PURCHASECOST_", ""), "_VALUE", "")</f>
        <v>EMU</v>
      </c>
      <c r="AD538" s="2" t="b">
        <v>0</v>
      </c>
      <c r="AV538"/>
      <c r="AW538"/>
      <c r="AX538"/>
    </row>
    <row r="539" spans="1:50">
      <c r="A539" s="2" t="s">
        <v>566</v>
      </c>
      <c r="B539">
        <v>1999</v>
      </c>
      <c r="C539">
        <v>1</v>
      </c>
      <c r="D539" t="s">
        <v>1867</v>
      </c>
      <c r="E539" t="str">
        <f>_xlfn.XLOOKUP(PROPERTIES[[#This Row],[COUNTRY]],COUNTRIES[COUNTRY_DESCRIPTION],COUNTRIES[COUNTRY_LABEL],"")</f>
        <v>FI</v>
      </c>
      <c r="F539" t="s">
        <v>74</v>
      </c>
      <c r="G539" t="s">
        <v>18</v>
      </c>
      <c r="H539">
        <f>184/2</f>
        <v>92</v>
      </c>
      <c r="I539">
        <v>8</v>
      </c>
      <c r="J539">
        <v>8</v>
      </c>
      <c r="K539" s="2" t="s">
        <v>24</v>
      </c>
      <c r="L539">
        <f>_xlfn.XLOOKUP("LOADINGSPEEDDEF_"&amp;PROPERTIES[[#This Row],[LOADINGSPEED]],LOADINGSPEEDDEF[TYPE],LOADINGSPEEDDEF[SPEED])</f>
        <v>40</v>
      </c>
      <c r="M539" t="s">
        <v>21</v>
      </c>
      <c r="N539">
        <v>1</v>
      </c>
      <c r="O539" s="34">
        <v>57</v>
      </c>
      <c r="P539">
        <v>1636</v>
      </c>
      <c r="Q539">
        <v>160</v>
      </c>
      <c r="R539" s="31">
        <v>0</v>
      </c>
      <c r="S539" s="30">
        <f>IFERROR(PROPERTIES[[#This Row],[TE_STARTING_KN]]/(PROPERTIES[[#This Row],[WEIGHT]]*9.81),0)</f>
        <v>0</v>
      </c>
      <c r="T539" s="30">
        <v>0.18</v>
      </c>
      <c r="U539" s="27">
        <f>ROUND(IF(IFERROR(PROPERTIES[[#This Row],[TE_COEFFICIENT_CALC]],0)=0,PROPERTIES[[#This Row],[TE_COEFFICIENT_MANUAL]],PROPERTIES[[#This Row],[TE_COEFFICIENT_CALC]]),3)</f>
        <v>0.18</v>
      </c>
      <c r="V539" s="6">
        <v>25</v>
      </c>
      <c r="W539" s="10">
        <f>184/2</f>
        <v>92</v>
      </c>
      <c r="X539" s="10">
        <v>8</v>
      </c>
      <c r="Y539" s="10"/>
      <c r="Z539" t="str">
        <f>"RUNNING_COST_"&amp;IF(PROPERTIES[[#This Row],[ENGINE_CLASS]]="MAGLEV","ELECTRIC",PROPERTIES[[#This Row],[ENGINE_CLASS]])</f>
        <v>RUNNING_COST_ELECTRIC</v>
      </c>
      <c r="AA539" s="10" t="s">
        <v>1008</v>
      </c>
      <c r="AB539" s="10" t="s">
        <v>1009</v>
      </c>
      <c r="AC539" s="10" t="str">
        <f>SUBSTITUTE(SUBSTITUTE(PROPERTIES[[#This Row],[PURCHASECOST_VALUE]], "PURCHASECOST_", ""), "_VALUE", "")</f>
        <v>EMU</v>
      </c>
      <c r="AD539" s="2" t="b">
        <v>0</v>
      </c>
      <c r="AV539"/>
      <c r="AW539"/>
      <c r="AX539"/>
    </row>
    <row r="540" spans="1:50">
      <c r="A540" s="2" t="s">
        <v>567</v>
      </c>
      <c r="B540">
        <v>1988</v>
      </c>
      <c r="C540">
        <v>1</v>
      </c>
      <c r="D540" t="s">
        <v>1896</v>
      </c>
      <c r="E540" t="str">
        <f>_xlfn.XLOOKUP(PROPERTIES[[#This Row],[COUNTRY]],COUNTRIES[COUNTRY_DESCRIPTION],COUNTRIES[COUNTRY_LABEL],"")</f>
        <v>HU</v>
      </c>
      <c r="F540" t="s">
        <v>74</v>
      </c>
      <c r="G540" t="s">
        <v>18</v>
      </c>
      <c r="H540">
        <f>INT(344/4)</f>
        <v>86</v>
      </c>
      <c r="I540">
        <v>8</v>
      </c>
      <c r="J540">
        <v>8</v>
      </c>
      <c r="K540" s="2" t="s">
        <v>24</v>
      </c>
      <c r="L540">
        <f>_xlfn.XLOOKUP("LOADINGSPEEDDEF_"&amp;PROPERTIES[[#This Row],[LOADINGSPEED]],LOADINGSPEEDDEF[TYPE],LOADINGSPEEDDEF[SPEED])</f>
        <v>40</v>
      </c>
      <c r="M540" t="s">
        <v>21</v>
      </c>
      <c r="N540">
        <v>1</v>
      </c>
      <c r="O540" s="34">
        <v>66</v>
      </c>
      <c r="P540">
        <v>2040</v>
      </c>
      <c r="Q540">
        <v>120</v>
      </c>
      <c r="R540" s="31">
        <v>0</v>
      </c>
      <c r="S540" s="30">
        <f>IFERROR(PROPERTIES[[#This Row],[TE_STARTING_KN]]/(PROPERTIES[[#This Row],[WEIGHT]]*9.81),0)</f>
        <v>0</v>
      </c>
      <c r="T540" s="30">
        <v>0.11</v>
      </c>
      <c r="U540" s="27">
        <f>ROUND(IF(IFERROR(PROPERTIES[[#This Row],[TE_COEFFICIENT_CALC]],0)=0,PROPERTIES[[#This Row],[TE_COEFFICIENT_MANUAL]],PROPERTIES[[#This Row],[TE_COEFFICIENT_CALC]]),3)</f>
        <v>0.11</v>
      </c>
      <c r="V540" s="6">
        <v>25</v>
      </c>
      <c r="W540" s="10">
        <f>INT(344/4)</f>
        <v>86</v>
      </c>
      <c r="X540" s="10">
        <v>8</v>
      </c>
      <c r="Y540" s="10"/>
      <c r="Z540" t="str">
        <f>"RUNNING_COST_"&amp;IF(PROPERTIES[[#This Row],[ENGINE_CLASS]]="MAGLEV","ELECTRIC",PROPERTIES[[#This Row],[ENGINE_CLASS]])</f>
        <v>RUNNING_COST_ELECTRIC</v>
      </c>
      <c r="AA540" s="10" t="s">
        <v>1008</v>
      </c>
      <c r="AB540" s="10" t="s">
        <v>1009</v>
      </c>
      <c r="AC540" s="10" t="str">
        <f>SUBSTITUTE(SUBSTITUTE(PROPERTIES[[#This Row],[PURCHASECOST_VALUE]], "PURCHASECOST_", ""), "_VALUE", "")</f>
        <v>EMU</v>
      </c>
      <c r="AD540" s="2" t="b">
        <v>0</v>
      </c>
      <c r="AV540"/>
      <c r="AW540"/>
      <c r="AX540"/>
    </row>
    <row r="541" spans="1:50">
      <c r="A541" s="2" t="s">
        <v>568</v>
      </c>
      <c r="B541">
        <v>2030</v>
      </c>
      <c r="C541">
        <v>1</v>
      </c>
      <c r="D541" t="s">
        <v>2047</v>
      </c>
      <c r="E541" t="str">
        <f>_xlfn.XLOOKUP(PROPERTIES[[#This Row],[COUNTRY]],COUNTRIES[COUNTRY_DESCRIPTION],COUNTRIES[COUNTRY_LABEL],"")</f>
        <v>EU</v>
      </c>
      <c r="F541" t="s">
        <v>74</v>
      </c>
      <c r="G541" t="s">
        <v>18</v>
      </c>
      <c r="H541">
        <v>85</v>
      </c>
      <c r="I541">
        <v>8</v>
      </c>
      <c r="J541">
        <v>8</v>
      </c>
      <c r="K541" s="2" t="s">
        <v>479</v>
      </c>
      <c r="L541">
        <f>_xlfn.XLOOKUP("LOADINGSPEEDDEF_"&amp;PROPERTIES[[#This Row],[LOADINGSPEED]],LOADINGSPEEDDEF[TYPE],LOADINGSPEEDDEF[SPEED])</f>
        <v>16</v>
      </c>
      <c r="M541" t="s">
        <v>21</v>
      </c>
      <c r="N541">
        <v>1</v>
      </c>
      <c r="O541" s="34">
        <v>50</v>
      </c>
      <c r="P541">
        <v>16000</v>
      </c>
      <c r="Q541">
        <v>300</v>
      </c>
      <c r="R541" s="31">
        <v>0</v>
      </c>
      <c r="S541" s="30">
        <f>IFERROR(PROPERTIES[[#This Row],[TE_STARTING_KN]]/(PROPERTIES[[#This Row],[WEIGHT]]*9.81),0)</f>
        <v>0</v>
      </c>
      <c r="T541" s="30">
        <v>0.22</v>
      </c>
      <c r="U541" s="27">
        <f>ROUND(IF(IFERROR(PROPERTIES[[#This Row],[TE_COEFFICIENT_CALC]],0)=0,PROPERTIES[[#This Row],[TE_COEFFICIENT_MANUAL]],PROPERTIES[[#This Row],[TE_COEFFICIENT_CALC]]),3)</f>
        <v>0.22</v>
      </c>
      <c r="V541" s="6">
        <v>25</v>
      </c>
      <c r="W541" s="10">
        <v>85</v>
      </c>
      <c r="X541" s="10">
        <v>8</v>
      </c>
      <c r="Y541" s="10"/>
      <c r="Z541" t="str">
        <f>"RUNNING_COST_"&amp;IF(PROPERTIES[[#This Row],[ENGINE_CLASS]]="MAGLEV","ELECTRIC",PROPERTIES[[#This Row],[ENGINE_CLASS]])</f>
        <v>RUNNING_COST_ELECTRIC</v>
      </c>
      <c r="AA541" s="10" t="s">
        <v>1008</v>
      </c>
      <c r="AB541" s="10" t="s">
        <v>1009</v>
      </c>
      <c r="AC541" s="10" t="str">
        <f>SUBSTITUTE(SUBSTITUTE(PROPERTIES[[#This Row],[PURCHASECOST_VALUE]], "PURCHASECOST_", ""), "_VALUE", "")</f>
        <v>EMU</v>
      </c>
      <c r="AD541" s="2" t="b">
        <v>0</v>
      </c>
      <c r="AV541"/>
      <c r="AW541"/>
      <c r="AX541"/>
    </row>
    <row r="542" spans="1:50">
      <c r="A542" s="2" t="s">
        <v>569</v>
      </c>
      <c r="B542">
        <v>1964</v>
      </c>
      <c r="C542">
        <v>1</v>
      </c>
      <c r="D542" t="s">
        <v>1910</v>
      </c>
      <c r="E542" t="str">
        <f>_xlfn.XLOOKUP(PROPERTIES[[#This Row],[COUNTRY]],COUNTRIES[COUNTRY_DESCRIPTION],COUNTRIES[COUNTRY_LABEL],"")</f>
        <v>JP</v>
      </c>
      <c r="F542" t="s">
        <v>74</v>
      </c>
      <c r="G542" t="s">
        <v>18</v>
      </c>
      <c r="H542">
        <v>75</v>
      </c>
      <c r="I542">
        <v>8</v>
      </c>
      <c r="J542">
        <v>8</v>
      </c>
      <c r="K542" s="2" t="s">
        <v>479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4">
        <v>59</v>
      </c>
      <c r="P542">
        <f>992*2</f>
        <v>1984</v>
      </c>
      <c r="Q542">
        <v>210</v>
      </c>
      <c r="R542" s="31">
        <v>65</v>
      </c>
      <c r="S542" s="30">
        <f>IFERROR(PROPERTIES[[#This Row],[TE_STARTING_KN]]/(PROPERTIES[[#This Row],[WEIGHT]]*9.81),0)</f>
        <v>0.1123032533388621</v>
      </c>
      <c r="T542" s="30">
        <v>0.3</v>
      </c>
      <c r="U542" s="27">
        <f>ROUND(IF(IFERROR(PROPERTIES[[#This Row],[TE_COEFFICIENT_CALC]],0)=0,PROPERTIES[[#This Row],[TE_COEFFICIENT_MANUAL]],PROPERTIES[[#This Row],[TE_COEFFICIENT_CALC]]),3)</f>
        <v>0.112</v>
      </c>
      <c r="V542" s="6">
        <v>44</v>
      </c>
      <c r="W542" s="10">
        <v>100</v>
      </c>
      <c r="X542" s="10">
        <v>8</v>
      </c>
      <c r="Y542" s="10"/>
      <c r="Z542" t="str">
        <f>"RUNNING_COST_"&amp;IF(PROPERTIES[[#This Row],[ENGINE_CLASS]]="MAGLEV","ELECTRIC",PROPERTIES[[#This Row],[ENGINE_CLASS]])</f>
        <v>RUNNING_COST_ELECTRIC</v>
      </c>
      <c r="AA542" s="10" t="s">
        <v>1008</v>
      </c>
      <c r="AB542" s="10" t="s">
        <v>1009</v>
      </c>
      <c r="AC542" s="10" t="str">
        <f>SUBSTITUTE(SUBSTITUTE(PROPERTIES[[#This Row],[PURCHASECOST_VALUE]], "PURCHASECOST_", ""), "_VALUE", "")</f>
        <v>EMU</v>
      </c>
      <c r="AD542" s="2" t="b">
        <v>0</v>
      </c>
      <c r="AV542"/>
      <c r="AW542"/>
      <c r="AX542"/>
    </row>
    <row r="543" spans="1:50">
      <c r="A543" s="2" t="s">
        <v>570</v>
      </c>
      <c r="B543">
        <v>1997</v>
      </c>
      <c r="C543">
        <v>1</v>
      </c>
      <c r="D543" t="s">
        <v>1910</v>
      </c>
      <c r="E543" t="str">
        <f>_xlfn.XLOOKUP(PROPERTIES[[#This Row],[COUNTRY]],COUNTRIES[COUNTRY_DESCRIPTION],COUNTRIES[COUNTRY_LABEL],"")</f>
        <v>JP</v>
      </c>
      <c r="F543" t="s">
        <v>74</v>
      </c>
      <c r="G543" t="s">
        <v>18</v>
      </c>
      <c r="H543">
        <v>65</v>
      </c>
      <c r="I543">
        <v>8</v>
      </c>
      <c r="J543">
        <v>8</v>
      </c>
      <c r="K543" s="2" t="s">
        <v>479</v>
      </c>
      <c r="L543">
        <f>_xlfn.XLOOKUP("LOADINGSPEEDDEF_"&amp;PROPERTIES[[#This Row],[LOADINGSPEED]],LOADINGSPEEDDEF[TYPE],LOADINGSPEEDDEF[SPEED])</f>
        <v>16</v>
      </c>
      <c r="M543" t="s">
        <v>21</v>
      </c>
      <c r="N543">
        <v>1</v>
      </c>
      <c r="O543" s="34">
        <v>45</v>
      </c>
      <c r="P543">
        <f>905*2</f>
        <v>1810</v>
      </c>
      <c r="Q543">
        <v>270</v>
      </c>
      <c r="R543" s="31">
        <v>60</v>
      </c>
      <c r="S543" s="30">
        <f>IFERROR(PROPERTIES[[#This Row],[TE_STARTING_KN]]/(PROPERTIES[[#This Row],[WEIGHT]]*9.81),0)</f>
        <v>0.13591573224600745</v>
      </c>
      <c r="T543" s="30">
        <v>0.56000000000000005</v>
      </c>
      <c r="U543" s="27">
        <f>ROUND(IF(IFERROR(PROPERTIES[[#This Row],[TE_COEFFICIENT_CALC]],0)=0,PROPERTIES[[#This Row],[TE_COEFFICIENT_MANUAL]],PROPERTIES[[#This Row],[TE_COEFFICIENT_CALC]]),3)</f>
        <v>0.13600000000000001</v>
      </c>
      <c r="V543" s="6">
        <v>25</v>
      </c>
      <c r="W543" s="10">
        <v>100</v>
      </c>
      <c r="X543" s="10">
        <v>8</v>
      </c>
      <c r="Y543" s="10"/>
      <c r="Z543" t="str">
        <f>"RUNNING_COST_"&amp;IF(PROPERTIES[[#This Row],[ENGINE_CLASS]]="MAGLEV","ELECTRIC",PROPERTIES[[#This Row],[ENGINE_CLASS]])</f>
        <v>RUNNING_COST_ELECTRIC</v>
      </c>
      <c r="AA543" s="10" t="s">
        <v>1008</v>
      </c>
      <c r="AB543" s="10" t="s">
        <v>1009</v>
      </c>
      <c r="AC543" s="10" t="str">
        <f>SUBSTITUTE(SUBSTITUTE(PROPERTIES[[#This Row],[PURCHASECOST_VALUE]], "PURCHASECOST_", ""), "_VALUE", "")</f>
        <v>EMU</v>
      </c>
      <c r="AD543" s="2" t="b">
        <v>0</v>
      </c>
      <c r="AV543"/>
      <c r="AW543"/>
      <c r="AX543"/>
    </row>
    <row r="544" spans="1:50">
      <c r="A544" s="2" t="s">
        <v>571</v>
      </c>
      <c r="B544">
        <v>1994</v>
      </c>
      <c r="C544">
        <v>1</v>
      </c>
      <c r="D544" t="s">
        <v>1910</v>
      </c>
      <c r="E544" t="str">
        <f>_xlfn.XLOOKUP(PROPERTIES[[#This Row],[COUNTRY]],COUNTRIES[COUNTRY_DESCRIPTION],COUNTRIES[COUNTRY_LABEL],"")</f>
        <v>JP</v>
      </c>
      <c r="F544" t="s">
        <v>74</v>
      </c>
      <c r="G544" t="s">
        <v>18</v>
      </c>
      <c r="H544">
        <v>80</v>
      </c>
      <c r="I544">
        <v>8</v>
      </c>
      <c r="J544">
        <v>8</v>
      </c>
      <c r="K544" s="2" t="s">
        <v>24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4">
        <v>59.2</v>
      </c>
      <c r="P544">
        <f>1395*2</f>
        <v>2790</v>
      </c>
      <c r="Q544">
        <v>240</v>
      </c>
      <c r="R544" s="31">
        <v>80</v>
      </c>
      <c r="S544" s="30">
        <f>IFERROR(PROPERTIES[[#This Row],[TE_STARTING_KN]]/(PROPERTIES[[#This Row],[WEIGHT]]*9.81),0)</f>
        <v>0.13775243133041296</v>
      </c>
      <c r="T544" s="30">
        <v>0.3</v>
      </c>
      <c r="U544" s="27">
        <f>ROUND(IF(IFERROR(PROPERTIES[[#This Row],[TE_COEFFICIENT_CALC]],0)=0,PROPERTIES[[#This Row],[TE_COEFFICIENT_MANUAL]],PROPERTIES[[#This Row],[TE_COEFFICIENT_CALC]]),3)</f>
        <v>0.13800000000000001</v>
      </c>
      <c r="V544" s="6">
        <v>40</v>
      </c>
      <c r="W544" s="10">
        <v>103</v>
      </c>
      <c r="X544" s="10">
        <v>8</v>
      </c>
      <c r="Y544" s="10"/>
      <c r="Z544" t="str">
        <f>"RUNNING_COST_"&amp;IF(PROPERTIES[[#This Row],[ENGINE_CLASS]]="MAGLEV","ELECTRIC",PROPERTIES[[#This Row],[ENGINE_CLASS]])</f>
        <v>RUNNING_COST_ELECTRIC</v>
      </c>
      <c r="AA544" s="10" t="s">
        <v>1008</v>
      </c>
      <c r="AB544" s="10" t="s">
        <v>1009</v>
      </c>
      <c r="AC544" s="10" t="str">
        <f>SUBSTITUTE(SUBSTITUTE(PROPERTIES[[#This Row],[PURCHASECOST_VALUE]], "PURCHASECOST_", ""), "_VALUE", "")</f>
        <v>EMU</v>
      </c>
      <c r="AD544" s="2" t="b">
        <v>0</v>
      </c>
      <c r="AV544"/>
      <c r="AW544"/>
      <c r="AX544"/>
    </row>
    <row r="545" spans="1:50">
      <c r="A545" s="2" t="s">
        <v>572</v>
      </c>
      <c r="B545">
        <v>1999</v>
      </c>
      <c r="C545">
        <v>1</v>
      </c>
      <c r="D545" t="s">
        <v>1930</v>
      </c>
      <c r="E545" t="str">
        <f>_xlfn.XLOOKUP(PROPERTIES[[#This Row],[COUNTRY]],COUNTRIES[COUNTRY_DESCRIPTION],COUNTRIES[COUNTRY_LABEL],"")</f>
        <v>LU</v>
      </c>
      <c r="F545" t="s">
        <v>74</v>
      </c>
      <c r="G545" t="s">
        <v>18</v>
      </c>
      <c r="H545">
        <v>111</v>
      </c>
      <c r="I545">
        <v>8</v>
      </c>
      <c r="J545">
        <v>8</v>
      </c>
      <c r="K545" s="2" t="s">
        <v>24</v>
      </c>
      <c r="L545">
        <f>_xlfn.XLOOKUP("LOADINGSPEEDDEF_"&amp;PROPERTIES[[#This Row],[LOADINGSPEED]],LOADINGSPEEDDEF[TYPE],LOADINGSPEEDDEF[SPEED])</f>
        <v>40</v>
      </c>
      <c r="M545" t="s">
        <v>21</v>
      </c>
      <c r="N545">
        <v>1</v>
      </c>
      <c r="O545" s="34">
        <v>64</v>
      </c>
      <c r="P545">
        <v>3410</v>
      </c>
      <c r="Q545">
        <v>160</v>
      </c>
      <c r="R545" s="31">
        <f>240/2</f>
        <v>120</v>
      </c>
      <c r="S545" s="30">
        <f>IFERROR(PROPERTIES[[#This Row],[TE_STARTING_KN]]/(PROPERTIES[[#This Row],[WEIGHT]]*9.81),0)</f>
        <v>0.19113149847094801</v>
      </c>
      <c r="T545" s="30">
        <v>0.26</v>
      </c>
      <c r="U545" s="27">
        <f>ROUND(IF(IFERROR(PROPERTIES[[#This Row],[TE_COEFFICIENT_CALC]],0)=0,PROPERTIES[[#This Row],[TE_COEFFICIENT_MANUAL]],PROPERTIES[[#This Row],[TE_COEFFICIENT_CALC]]),3)</f>
        <v>0.191</v>
      </c>
      <c r="V545" s="6">
        <v>25</v>
      </c>
      <c r="W545" s="10">
        <v>111</v>
      </c>
      <c r="X545" s="10">
        <v>8</v>
      </c>
      <c r="Y545" s="10"/>
      <c r="Z545" t="str">
        <f>"RUNNING_COST_"&amp;IF(PROPERTIES[[#This Row],[ENGINE_CLASS]]="MAGLEV","ELECTRIC",PROPERTIES[[#This Row],[ENGINE_CLASS]])</f>
        <v>RUNNING_COST_ELECTRIC</v>
      </c>
      <c r="AA545" s="10" t="s">
        <v>1008</v>
      </c>
      <c r="AB545" s="10" t="s">
        <v>1009</v>
      </c>
      <c r="AC545" s="10" t="str">
        <f>SUBSTITUTE(SUBSTITUTE(PROPERTIES[[#This Row],[PURCHASECOST_VALUE]], "PURCHASECOST_", ""), "_VALUE", "")</f>
        <v>EMU</v>
      </c>
      <c r="AD545" s="2" t="b">
        <v>0</v>
      </c>
      <c r="AV545"/>
      <c r="AW545"/>
      <c r="AX545"/>
    </row>
    <row r="546" spans="1:50">
      <c r="A546" s="2" t="s">
        <v>573</v>
      </c>
      <c r="B546">
        <v>1980</v>
      </c>
      <c r="C546">
        <v>1</v>
      </c>
      <c r="D546" t="s">
        <v>1940</v>
      </c>
      <c r="E546" t="str">
        <f>_xlfn.XLOOKUP(PROPERTIES[[#This Row],[COUNTRY]],COUNTRIES[COUNTRY_DESCRIPTION],COUNTRIES[COUNTRY_LABEL],"")</f>
        <v>MK</v>
      </c>
      <c r="F546" t="s">
        <v>74</v>
      </c>
      <c r="G546" t="s">
        <v>18</v>
      </c>
      <c r="H546">
        <v>68</v>
      </c>
      <c r="I546">
        <v>8</v>
      </c>
      <c r="J546">
        <v>8</v>
      </c>
      <c r="K546" s="2" t="s">
        <v>24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4">
        <v>55</v>
      </c>
      <c r="P546">
        <v>340</v>
      </c>
      <c r="Q546">
        <v>120</v>
      </c>
      <c r="R546" s="31">
        <v>0</v>
      </c>
      <c r="S546" s="30">
        <f>IFERROR(PROPERTIES[[#This Row],[TE_STARTING_KN]]/(PROPERTIES[[#This Row],[WEIGHT]]*9.81),0)</f>
        <v>0</v>
      </c>
      <c r="T546" s="30">
        <v>0.15</v>
      </c>
      <c r="U546" s="27">
        <f>ROUND(IF(IFERROR(PROPERTIES[[#This Row],[TE_COEFFICIENT_CALC]],0)=0,PROPERTIES[[#This Row],[TE_COEFFICIENT_MANUAL]],PROPERTIES[[#This Row],[TE_COEFFICIENT_CALC]]),3)</f>
        <v>0.15</v>
      </c>
      <c r="V546" s="6">
        <v>25</v>
      </c>
      <c r="W546" s="10">
        <v>68</v>
      </c>
      <c r="X546" s="10">
        <v>8</v>
      </c>
      <c r="Y546" s="10"/>
      <c r="Z546" t="str">
        <f>"RUNNING_COST_"&amp;IF(PROPERTIES[[#This Row],[ENGINE_CLASS]]="MAGLEV","ELECTRIC",PROPERTIES[[#This Row],[ENGINE_CLASS]])</f>
        <v>RUNNING_COST_ELECTRIC</v>
      </c>
      <c r="AA546" s="10" t="s">
        <v>1008</v>
      </c>
      <c r="AB546" s="10" t="s">
        <v>1009</v>
      </c>
      <c r="AC546" s="10" t="str">
        <f>SUBSTITUTE(SUBSTITUTE(PROPERTIES[[#This Row],[PURCHASECOST_VALUE]], "PURCHASECOST_", ""), "_VALUE", "")</f>
        <v>EMU</v>
      </c>
      <c r="AD546" s="2" t="b">
        <v>0</v>
      </c>
      <c r="AV546"/>
      <c r="AW546"/>
      <c r="AX546"/>
    </row>
    <row r="547" spans="1:50">
      <c r="A547" s="2" t="s">
        <v>574</v>
      </c>
      <c r="B547">
        <v>1965</v>
      </c>
      <c r="C547">
        <v>1</v>
      </c>
      <c r="D547" t="s">
        <v>1985</v>
      </c>
      <c r="E547" t="str">
        <f>_xlfn.XLOOKUP(PROPERTIES[[#This Row],[COUNTRY]],COUNTRIES[COUNTRY_DESCRIPTION],COUNTRIES[COUNTRY_LABEL],"")</f>
        <v>RO</v>
      </c>
      <c r="F547" t="s">
        <v>74</v>
      </c>
      <c r="G547" t="s">
        <v>18</v>
      </c>
      <c r="H547">
        <f>INT(273/4)</f>
        <v>68</v>
      </c>
      <c r="I547">
        <v>8</v>
      </c>
      <c r="J547">
        <v>8</v>
      </c>
      <c r="K547" s="2" t="s">
        <v>24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4">
        <v>35</v>
      </c>
      <c r="P547">
        <v>824</v>
      </c>
      <c r="Q547">
        <v>120</v>
      </c>
      <c r="R547" s="31">
        <v>73.5</v>
      </c>
      <c r="S547" s="30">
        <f>IFERROR(PROPERTIES[[#This Row],[TE_STARTING_KN]]/(PROPERTIES[[#This Row],[WEIGHT]]*9.81),0)</f>
        <v>0.21406727828746175</v>
      </c>
      <c r="T547" s="30">
        <v>0.42</v>
      </c>
      <c r="U547" s="27">
        <f>ROUND(IF(IFERROR(PROPERTIES[[#This Row],[TE_COEFFICIENT_CALC]],0)=0,PROPERTIES[[#This Row],[TE_COEFFICIENT_MANUAL]],PROPERTIES[[#This Row],[TE_COEFFICIENT_CALC]]),3)</f>
        <v>0.214</v>
      </c>
      <c r="V547" s="6">
        <v>40</v>
      </c>
      <c r="W547" s="10">
        <f>INT(273/4)</f>
        <v>68</v>
      </c>
      <c r="X547" s="10">
        <v>8</v>
      </c>
      <c r="Y547" s="10"/>
      <c r="Z547" t="str">
        <f>"RUNNING_COST_"&amp;IF(PROPERTIES[[#This Row],[ENGINE_CLASS]]="MAGLEV","ELECTRIC",PROPERTIES[[#This Row],[ENGINE_CLASS]])</f>
        <v>RUNNING_COST_ELECTRIC</v>
      </c>
      <c r="AA547" s="10" t="s">
        <v>1008</v>
      </c>
      <c r="AB547" s="10" t="s">
        <v>1009</v>
      </c>
      <c r="AC547" s="10" t="str">
        <f>SUBSTITUTE(SUBSTITUTE(PROPERTIES[[#This Row],[PURCHASECOST_VALUE]], "PURCHASECOST_", ""), "_VALUE", "")</f>
        <v>EMU</v>
      </c>
      <c r="AD547" s="2" t="b">
        <v>0</v>
      </c>
      <c r="AV547"/>
      <c r="AW547"/>
      <c r="AX547"/>
    </row>
    <row r="548" spans="1:50">
      <c r="A548" s="2" t="s">
        <v>575</v>
      </c>
      <c r="B548">
        <v>2010</v>
      </c>
      <c r="C548">
        <v>1</v>
      </c>
      <c r="D548" t="s">
        <v>2043</v>
      </c>
      <c r="E548" t="str">
        <f>_xlfn.XLOOKUP(PROPERTIES[[#This Row],[COUNTRY]],COUNTRIES[COUNTRY_DESCRIPTION],COUNTRIES[COUNTRY_LABEL],"")</f>
        <v>ZA</v>
      </c>
      <c r="F548" t="s">
        <v>74</v>
      </c>
      <c r="G548" t="s">
        <v>18</v>
      </c>
      <c r="H548">
        <v>64</v>
      </c>
      <c r="I548">
        <v>8</v>
      </c>
      <c r="J548">
        <v>8</v>
      </c>
      <c r="K548" s="2" t="s">
        <v>479</v>
      </c>
      <c r="L548">
        <f>_xlfn.XLOOKUP("LOADINGSPEEDDEF_"&amp;PROPERTIES[[#This Row],[LOADINGSPEED]],LOADINGSPEEDDEF[TYPE],LOADINGSPEEDDEF[SPEED])</f>
        <v>16</v>
      </c>
      <c r="M548" t="s">
        <v>21</v>
      </c>
      <c r="N548">
        <v>1</v>
      </c>
      <c r="O548" s="34">
        <v>42</v>
      </c>
      <c r="P548">
        <v>2253</v>
      </c>
      <c r="Q548">
        <v>160</v>
      </c>
      <c r="R548" s="31">
        <f>150/2</f>
        <v>75</v>
      </c>
      <c r="S548" s="30">
        <f>IFERROR(PROPERTIES[[#This Row],[TE_STARTING_KN]]/(PROPERTIES[[#This Row],[WEIGHT]]*9.81),0)</f>
        <v>0.18202999854376001</v>
      </c>
      <c r="T548" s="30">
        <v>0.3</v>
      </c>
      <c r="U548" s="27">
        <f>ROUND(IF(IFERROR(PROPERTIES[[#This Row],[TE_COEFFICIENT_CALC]],0)=0,PROPERTIES[[#This Row],[TE_COEFFICIENT_MANUAL]],PROPERTIES[[#This Row],[TE_COEFFICIENT_CALC]]),3)</f>
        <v>0.182</v>
      </c>
      <c r="V548" s="6">
        <v>25</v>
      </c>
      <c r="W548" s="10">
        <v>64</v>
      </c>
      <c r="X548" s="10">
        <v>8</v>
      </c>
      <c r="Y548" s="10"/>
      <c r="Z548" t="str">
        <f>"RUNNING_COST_"&amp;IF(PROPERTIES[[#This Row],[ENGINE_CLASS]]="MAGLEV","ELECTRIC",PROPERTIES[[#This Row],[ENGINE_CLASS]])</f>
        <v>RUNNING_COST_ELECTRIC</v>
      </c>
      <c r="AA548" s="10" t="s">
        <v>1008</v>
      </c>
      <c r="AB548" s="10" t="s">
        <v>1009</v>
      </c>
      <c r="AC548" s="10" t="str">
        <f>SUBSTITUTE(SUBSTITUTE(PROPERTIES[[#This Row],[PURCHASECOST_VALUE]], "PURCHASECOST_", ""), "_VALUE", "")</f>
        <v>EMU</v>
      </c>
      <c r="AD548" s="2" t="b">
        <v>0</v>
      </c>
      <c r="AV548"/>
      <c r="AW548"/>
      <c r="AX548"/>
    </row>
    <row r="549" spans="1:50">
      <c r="A549" s="2" t="s">
        <v>576</v>
      </c>
      <c r="B549">
        <v>1955</v>
      </c>
      <c r="C549">
        <v>1</v>
      </c>
      <c r="D549" t="s">
        <v>2300</v>
      </c>
      <c r="E549" t="str">
        <f>_xlfn.XLOOKUP(PROPERTIES[[#This Row],[COUNTRY]],COUNTRIES[COUNTRY_DESCRIPTION],COUNTRIES[COUNTRY_LABEL],"")</f>
        <v>TR</v>
      </c>
      <c r="F549" t="s">
        <v>74</v>
      </c>
      <c r="G549" t="s">
        <v>18</v>
      </c>
      <c r="H549">
        <v>81</v>
      </c>
      <c r="I549">
        <v>8</v>
      </c>
      <c r="J549">
        <v>8</v>
      </c>
      <c r="K549" s="2" t="s">
        <v>24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4">
        <v>40</v>
      </c>
      <c r="P549">
        <v>1100</v>
      </c>
      <c r="Q549">
        <v>90</v>
      </c>
      <c r="R549" s="31">
        <f>140/2</f>
        <v>70</v>
      </c>
      <c r="S549" s="30">
        <f>IFERROR(PROPERTIES[[#This Row],[TE_STARTING_KN]]/(PROPERTIES[[#This Row],[WEIGHT]]*9.81),0)</f>
        <v>0.1783893985728848</v>
      </c>
      <c r="T549" s="30">
        <v>0.2</v>
      </c>
      <c r="U549" s="27">
        <f>ROUND(IF(IFERROR(PROPERTIES[[#This Row],[TE_COEFFICIENT_CALC]],0)=0,PROPERTIES[[#This Row],[TE_COEFFICIENT_MANUAL]],PROPERTIES[[#This Row],[TE_COEFFICIENT_CALC]]),3)</f>
        <v>0.17799999999999999</v>
      </c>
      <c r="V549" s="6">
        <v>25</v>
      </c>
      <c r="W549" s="10">
        <v>81</v>
      </c>
      <c r="X549" s="10">
        <v>8</v>
      </c>
      <c r="Y549" s="10"/>
      <c r="Z549" t="str">
        <f>"RUNNING_COST_"&amp;IF(PROPERTIES[[#This Row],[ENGINE_CLASS]]="MAGLEV","ELECTRIC",PROPERTIES[[#This Row],[ENGINE_CLASS]])</f>
        <v>RUNNING_COST_ELECTRIC</v>
      </c>
      <c r="AA549" s="10" t="s">
        <v>1008</v>
      </c>
      <c r="AB549" s="10" t="s">
        <v>1009</v>
      </c>
      <c r="AC549" s="10" t="str">
        <f>SUBSTITUTE(SUBSTITUTE(PROPERTIES[[#This Row],[PURCHASECOST_VALUE]], "PURCHASECOST_", ""), "_VALUE", "")</f>
        <v>EMU</v>
      </c>
      <c r="AD549" s="2" t="b">
        <v>0</v>
      </c>
      <c r="AV549"/>
      <c r="AW549"/>
      <c r="AX549"/>
    </row>
    <row r="550" spans="1:50">
      <c r="A550" s="2" t="s">
        <v>577</v>
      </c>
      <c r="B550">
        <v>2010</v>
      </c>
      <c r="C550">
        <v>1</v>
      </c>
      <c r="D550" t="s">
        <v>1845</v>
      </c>
      <c r="E550" t="str">
        <f>_xlfn.XLOOKUP(PROPERTIES[[#This Row],[COUNTRY]],COUNTRIES[COUNTRY_DESCRIPTION],COUNTRIES[COUNTRY_LABEL],"")</f>
        <v>CN</v>
      </c>
      <c r="F550" t="s">
        <v>74</v>
      </c>
      <c r="G550" t="s">
        <v>18</v>
      </c>
      <c r="H550">
        <v>70</v>
      </c>
      <c r="I550">
        <v>8</v>
      </c>
      <c r="J550">
        <v>8</v>
      </c>
      <c r="K550" s="2" t="s">
        <v>24</v>
      </c>
      <c r="L550">
        <f>_xlfn.XLOOKUP("LOADINGSPEEDDEF_"&amp;PROPERTIES[[#This Row],[LOADINGSPEED]],LOADINGSPEEDDEF[TYPE],LOADINGSPEEDDEF[SPEED])</f>
        <v>40</v>
      </c>
      <c r="M550" t="s">
        <v>21</v>
      </c>
      <c r="N550">
        <v>1</v>
      </c>
      <c r="O550" s="34">
        <v>48</v>
      </c>
      <c r="P550">
        <f>12840/8*2</f>
        <v>3210</v>
      </c>
      <c r="Q550">
        <v>350</v>
      </c>
      <c r="R550" s="31">
        <v>60</v>
      </c>
      <c r="S550" s="30">
        <f>IFERROR(PROPERTIES[[#This Row],[TE_STARTING_KN]]/(PROPERTIES[[#This Row],[WEIGHT]]*9.81),0)</f>
        <v>0.127420998980632</v>
      </c>
      <c r="T550" s="30">
        <v>0.14000000000000001</v>
      </c>
      <c r="U550" s="27">
        <f>ROUND(IF(IFERROR(PROPERTIES[[#This Row],[TE_COEFFICIENT_CALC]],0)=0,PROPERTIES[[#This Row],[TE_COEFFICIENT_MANUAL]],PROPERTIES[[#This Row],[TE_COEFFICIENT_CALC]]),3)</f>
        <v>0.127</v>
      </c>
      <c r="V550" s="6">
        <v>25</v>
      </c>
      <c r="W550" s="10">
        <v>70</v>
      </c>
      <c r="X550" s="10">
        <v>8</v>
      </c>
      <c r="Y550" s="10"/>
      <c r="Z550" t="str">
        <f>"RUNNING_COST_"&amp;IF(PROPERTIES[[#This Row],[ENGINE_CLASS]]="MAGLEV","ELECTRIC",PROPERTIES[[#This Row],[ENGINE_CLASS]])</f>
        <v>RUNNING_COST_ELECTRIC</v>
      </c>
      <c r="AA550" s="10" t="s">
        <v>1008</v>
      </c>
      <c r="AB550" s="10" t="s">
        <v>1009</v>
      </c>
      <c r="AC550" s="10" t="str">
        <f>SUBSTITUTE(SUBSTITUTE(PROPERTIES[[#This Row],[PURCHASECOST_VALUE]], "PURCHASECOST_", ""), "_VALUE", "")</f>
        <v>EMU</v>
      </c>
      <c r="AD550" s="2" t="b">
        <v>0</v>
      </c>
      <c r="AV550"/>
      <c r="AW550"/>
      <c r="AX550"/>
    </row>
    <row r="551" spans="1:50">
      <c r="A551" s="2" t="s">
        <v>578</v>
      </c>
      <c r="B551">
        <v>1908</v>
      </c>
      <c r="C551">
        <v>1</v>
      </c>
      <c r="D551" t="s">
        <v>2029</v>
      </c>
      <c r="E551" t="str">
        <f>_xlfn.XLOOKUP(PROPERTIES[[#This Row],[COUNTRY]],COUNTRIES[COUNTRY_DESCRIPTION],COUNTRIES[COUNTRY_LABEL],"")</f>
        <v>US</v>
      </c>
      <c r="F551" t="s">
        <v>74</v>
      </c>
      <c r="G551" t="s">
        <v>18</v>
      </c>
      <c r="H551">
        <v>72</v>
      </c>
      <c r="I551">
        <v>8</v>
      </c>
      <c r="J551">
        <v>8</v>
      </c>
      <c r="K551" s="2" t="s">
        <v>24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4">
        <v>54</v>
      </c>
      <c r="P551">
        <v>450</v>
      </c>
      <c r="Q551">
        <v>105</v>
      </c>
      <c r="R551" s="31">
        <v>80</v>
      </c>
      <c r="S551" s="30">
        <f>IFERROR(PROPERTIES[[#This Row],[TE_STARTING_KN]]/(PROPERTIES[[#This Row],[WEIGHT]]*9.81),0)</f>
        <v>0.15101748027334164</v>
      </c>
      <c r="T551" s="30">
        <v>0.22</v>
      </c>
      <c r="U551" s="27">
        <f>ROUND(IF(IFERROR(PROPERTIES[[#This Row],[TE_COEFFICIENT_CALC]],0)=0,PROPERTIES[[#This Row],[TE_COEFFICIENT_MANUAL]],PROPERTIES[[#This Row],[TE_COEFFICIENT_CALC]]),3)</f>
        <v>0.151</v>
      </c>
      <c r="V551" s="6">
        <v>25</v>
      </c>
      <c r="W551" s="10">
        <v>72</v>
      </c>
      <c r="X551" s="10">
        <v>8</v>
      </c>
      <c r="Y551" s="10"/>
      <c r="Z551" t="str">
        <f>"RUNNING_COST_"&amp;IF(PROPERTIES[[#This Row],[ENGINE_CLASS]]="MAGLEV","ELECTRIC",PROPERTIES[[#This Row],[ENGINE_CLASS]])</f>
        <v>RUNNING_COST_ELECTRIC</v>
      </c>
      <c r="AA551" s="10" t="s">
        <v>996</v>
      </c>
      <c r="AB551" s="10" t="s">
        <v>997</v>
      </c>
      <c r="AC551" s="10" t="str">
        <f>SUBSTITUTE(SUBSTITUTE(PROPERTIES[[#This Row],[PURCHASECOST_VALUE]], "PURCHASECOST_", ""), "_VALUE", "")</f>
        <v>ELECTRICRAILBUS</v>
      </c>
      <c r="AD551" s="2" t="b">
        <v>0</v>
      </c>
      <c r="AV551"/>
      <c r="AW551"/>
      <c r="AX551"/>
    </row>
    <row r="552" spans="1:50">
      <c r="A552" s="2" t="s">
        <v>579</v>
      </c>
      <c r="B552">
        <v>2011</v>
      </c>
      <c r="C552">
        <v>1</v>
      </c>
      <c r="D552" t="s">
        <v>1906</v>
      </c>
      <c r="E552" t="str">
        <f>_xlfn.XLOOKUP(PROPERTIES[[#This Row],[COUNTRY]],COUNTRIES[COUNTRY_DESCRIPTION],COUNTRIES[COUNTRY_LABEL],"")</f>
        <v>IT</v>
      </c>
      <c r="F552" t="s">
        <v>74</v>
      </c>
      <c r="G552" t="s">
        <v>18</v>
      </c>
      <c r="H552">
        <v>42</v>
      </c>
      <c r="I552">
        <v>8</v>
      </c>
      <c r="J552">
        <v>8</v>
      </c>
      <c r="K552" s="2" t="s">
        <v>479</v>
      </c>
      <c r="L552">
        <f>_xlfn.XLOOKUP("LOADINGSPEEDDEF_"&amp;PROPERTIES[[#This Row],[LOADINGSPEED]],LOADINGSPEEDDEF[TYPE],LOADINGSPEEDDEF[SPEED])</f>
        <v>16</v>
      </c>
      <c r="M552" t="s">
        <v>21</v>
      </c>
      <c r="N552">
        <v>1</v>
      </c>
      <c r="O552" s="34">
        <f>272/7</f>
        <v>38.857142857142854</v>
      </c>
      <c r="P552">
        <f>1020*2</f>
        <v>2040</v>
      </c>
      <c r="Q552">
        <v>360</v>
      </c>
      <c r="R552" s="31">
        <v>30</v>
      </c>
      <c r="S552" s="30">
        <f>IFERROR(PROPERTIES[[#This Row],[TE_STARTING_KN]]/(PROPERTIES[[#This Row],[WEIGHT]]*9.81),0)</f>
        <v>7.8701205252743295E-2</v>
      </c>
      <c r="T552" s="30">
        <v>0.9</v>
      </c>
      <c r="U552" s="27">
        <f>ROUND(IF(IFERROR(PROPERTIES[[#This Row],[TE_COEFFICIENT_CALC]],0)=0,PROPERTIES[[#This Row],[TE_COEFFICIENT_MANUAL]],PROPERTIES[[#This Row],[TE_COEFFICIENT_CALC]]),3)</f>
        <v>7.9000000000000001E-2</v>
      </c>
      <c r="V552" s="6">
        <v>25</v>
      </c>
      <c r="W552" s="10">
        <v>42</v>
      </c>
      <c r="X552" s="10">
        <v>7</v>
      </c>
      <c r="Y552" s="10"/>
      <c r="Z552" t="str">
        <f>"RUNNING_COST_"&amp;IF(PROPERTIES[[#This Row],[ENGINE_CLASS]]="MAGLEV","ELECTRIC",PROPERTIES[[#This Row],[ENGINE_CLASS]])</f>
        <v>RUNNING_COST_ELECTRIC</v>
      </c>
      <c r="AA552" s="10" t="s">
        <v>1008</v>
      </c>
      <c r="AB552" s="10" t="s">
        <v>1009</v>
      </c>
      <c r="AC552" s="10" t="str">
        <f>SUBSTITUTE(SUBSTITUTE(PROPERTIES[[#This Row],[PURCHASECOST_VALUE]], "PURCHASECOST_", ""), "_VALUE", "")</f>
        <v>EMU</v>
      </c>
      <c r="AD552" s="2" t="b">
        <v>0</v>
      </c>
      <c r="AV552"/>
      <c r="AW552"/>
      <c r="AX552"/>
    </row>
    <row r="553" spans="1:50">
      <c r="A553" s="2" t="s">
        <v>580</v>
      </c>
      <c r="B553">
        <v>2015</v>
      </c>
      <c r="C553">
        <v>1</v>
      </c>
      <c r="D553" t="s">
        <v>1906</v>
      </c>
      <c r="E553" t="str">
        <f>_xlfn.XLOOKUP(PROPERTIES[[#This Row],[COUNTRY]],COUNTRIES[COUNTRY_DESCRIPTION],COUNTRIES[COUNTRY_LABEL],"")</f>
        <v>IT</v>
      </c>
      <c r="F553" t="s">
        <v>74</v>
      </c>
      <c r="G553" t="s">
        <v>18</v>
      </c>
      <c r="H553">
        <v>80</v>
      </c>
      <c r="I553">
        <v>8</v>
      </c>
      <c r="J553">
        <v>8</v>
      </c>
      <c r="K553" s="2" t="s">
        <v>479</v>
      </c>
      <c r="L553">
        <f>_xlfn.XLOOKUP("LOADINGSPEEDDEF_"&amp;PROPERTIES[[#This Row],[LOADINGSPEED]],LOADINGSPEEDDEF[TYPE],LOADINGSPEEDDEF[SPEED])</f>
        <v>16</v>
      </c>
      <c r="M553" t="s">
        <v>21</v>
      </c>
      <c r="N553">
        <v>1</v>
      </c>
      <c r="O553" s="34">
        <v>44</v>
      </c>
      <c r="P553">
        <f>INT(9000*1.38/8)*2</f>
        <v>3104</v>
      </c>
      <c r="Q553">
        <v>360</v>
      </c>
      <c r="R553" s="31">
        <v>200</v>
      </c>
      <c r="S553" s="30">
        <f>IFERROR(PROPERTIES[[#This Row],[TE_STARTING_KN]]/(PROPERTIES[[#This Row],[WEIGHT]]*9.81),0)</f>
        <v>0.46334908720229817</v>
      </c>
      <c r="T553" s="30">
        <v>0.83</v>
      </c>
      <c r="U553" s="27">
        <f>ROUND(IF(IFERROR(PROPERTIES[[#This Row],[TE_COEFFICIENT_CALC]],0)=0,PROPERTIES[[#This Row],[TE_COEFFICIENT_MANUAL]],PROPERTIES[[#This Row],[TE_COEFFICIENT_CALC]]),3)</f>
        <v>0.46300000000000002</v>
      </c>
      <c r="V553" s="6">
        <v>25</v>
      </c>
      <c r="W553" s="10">
        <v>100</v>
      </c>
      <c r="X553" s="10">
        <v>7</v>
      </c>
      <c r="Y553" s="10"/>
      <c r="Z553" t="str">
        <f>"RUNNING_COST_"&amp;IF(PROPERTIES[[#This Row],[ENGINE_CLASS]]="MAGLEV","ELECTRIC",PROPERTIES[[#This Row],[ENGINE_CLASS]])</f>
        <v>RUNNING_COST_ELECTRIC</v>
      </c>
      <c r="AA553" s="10" t="s">
        <v>1008</v>
      </c>
      <c r="AB553" s="10" t="s">
        <v>1009</v>
      </c>
      <c r="AC553" s="10" t="str">
        <f>SUBSTITUTE(SUBSTITUTE(PROPERTIES[[#This Row],[PURCHASECOST_VALUE]], "PURCHASECOST_", ""), "_VALUE", "")</f>
        <v>EMU</v>
      </c>
      <c r="AD553" s="2" t="b">
        <v>0</v>
      </c>
      <c r="AV553"/>
      <c r="AW553"/>
      <c r="AX553"/>
    </row>
    <row r="554" spans="1:50">
      <c r="A554" s="2" t="s">
        <v>581</v>
      </c>
      <c r="B554">
        <v>2012</v>
      </c>
      <c r="C554">
        <v>1</v>
      </c>
      <c r="D554" t="s">
        <v>1962</v>
      </c>
      <c r="E554" t="str">
        <f>_xlfn.XLOOKUP(PROPERTIES[[#This Row],[COUNTRY]],COUNTRIES[COUNTRY_DESCRIPTION],COUNTRIES[COUNTRY_LABEL],"")</f>
        <v>NL</v>
      </c>
      <c r="F554" t="s">
        <v>74</v>
      </c>
      <c r="G554" t="s">
        <v>18</v>
      </c>
      <c r="H554">
        <v>71</v>
      </c>
      <c r="I554">
        <v>8</v>
      </c>
      <c r="J554">
        <v>8</v>
      </c>
      <c r="K554" s="2" t="s">
        <v>24</v>
      </c>
      <c r="L554">
        <f>_xlfn.XLOOKUP("LOADINGSPEEDDEF_"&amp;PROPERTIES[[#This Row],[LOADINGSPEED]],LOADINGSPEEDDEF[TYPE],LOADINGSPEEDDEF[SPEED])</f>
        <v>40</v>
      </c>
      <c r="M554" t="s">
        <v>21</v>
      </c>
      <c r="N554">
        <v>1</v>
      </c>
      <c r="O554" s="34">
        <v>61</v>
      </c>
      <c r="P554">
        <f>1810*2</f>
        <v>3620</v>
      </c>
      <c r="Q554">
        <v>251</v>
      </c>
      <c r="R554" s="31">
        <f>300/2</f>
        <v>150</v>
      </c>
      <c r="S554" s="30">
        <f>IFERROR(PROPERTIES[[#This Row],[TE_STARTING_KN]]/(PROPERTIES[[#This Row],[WEIGHT]]*9.81),0)</f>
        <v>0.25066426028976785</v>
      </c>
      <c r="T554" s="30">
        <v>0.52</v>
      </c>
      <c r="U554" s="27">
        <f>ROUND(IF(IFERROR(PROPERTIES[[#This Row],[TE_COEFFICIENT_CALC]],0)=0,PROPERTIES[[#This Row],[TE_COEFFICIENT_MANUAL]],PROPERTIES[[#This Row],[TE_COEFFICIENT_CALC]]),3)</f>
        <v>0.251</v>
      </c>
      <c r="V554" s="6">
        <v>25</v>
      </c>
      <c r="W554" s="10">
        <v>71</v>
      </c>
      <c r="X554" s="10">
        <v>8</v>
      </c>
      <c r="Y554" s="10"/>
      <c r="Z554" t="str">
        <f>"RUNNING_COST_"&amp;IF(PROPERTIES[[#This Row],[ENGINE_CLASS]]="MAGLEV","ELECTRIC",PROPERTIES[[#This Row],[ENGINE_CLASS]])</f>
        <v>RUNNING_COST_ELECTRIC</v>
      </c>
      <c r="AA554" s="10" t="s">
        <v>1008</v>
      </c>
      <c r="AB554" s="10" t="s">
        <v>1009</v>
      </c>
      <c r="AC554" s="10" t="str">
        <f>SUBSTITUTE(SUBSTITUTE(PROPERTIES[[#This Row],[PURCHASECOST_VALUE]], "PURCHASECOST_", ""), "_VALUE", "")</f>
        <v>EMU</v>
      </c>
      <c r="AD554" s="2" t="b">
        <v>0</v>
      </c>
      <c r="AV554"/>
      <c r="AW554"/>
      <c r="AX554"/>
    </row>
    <row r="555" spans="1:50">
      <c r="A555" s="2" t="s">
        <v>582</v>
      </c>
      <c r="B555">
        <v>2012</v>
      </c>
      <c r="C555">
        <v>1</v>
      </c>
      <c r="D555" t="s">
        <v>1962</v>
      </c>
      <c r="E555" t="str">
        <f>_xlfn.XLOOKUP(PROPERTIES[[#This Row],[COUNTRY]],COUNTRIES[COUNTRY_DESCRIPTION],COUNTRIES[COUNTRY_LABEL],"")</f>
        <v>NL</v>
      </c>
      <c r="F555" t="s">
        <v>74</v>
      </c>
      <c r="G555" t="s">
        <v>18</v>
      </c>
      <c r="H555">
        <v>42</v>
      </c>
      <c r="I555">
        <v>8</v>
      </c>
      <c r="J555">
        <v>8</v>
      </c>
      <c r="K555" s="2" t="s">
        <v>479</v>
      </c>
      <c r="L555">
        <f>_xlfn.XLOOKUP("LOADINGSPEEDDEF_"&amp;PROPERTIES[[#This Row],[LOADINGSPEED]],LOADINGSPEEDDEF[TYPE],LOADINGSPEEDDEF[SPEED])</f>
        <v>16</v>
      </c>
      <c r="M555" t="s">
        <v>21</v>
      </c>
      <c r="N555">
        <v>1</v>
      </c>
      <c r="O555" s="34">
        <v>52</v>
      </c>
      <c r="P555">
        <f>2213*2</f>
        <v>4426</v>
      </c>
      <c r="Q555">
        <v>300</v>
      </c>
      <c r="R555" s="31">
        <v>150</v>
      </c>
      <c r="S555" s="30">
        <f>IFERROR(PROPERTIES[[#This Row],[TE_STARTING_KN]]/(PROPERTIES[[#This Row],[WEIGHT]]*9.81),0)</f>
        <v>0.29404845918607386</v>
      </c>
      <c r="T555" s="30">
        <v>0.8</v>
      </c>
      <c r="U555" s="27">
        <f>ROUND(IF(IFERROR(PROPERTIES[[#This Row],[TE_COEFFICIENT_CALC]],0)=0,PROPERTIES[[#This Row],[TE_COEFFICIENT_MANUAL]],PROPERTIES[[#This Row],[TE_COEFFICIENT_CALC]]),3)</f>
        <v>0.29399999999999998</v>
      </c>
      <c r="V555" s="6">
        <v>25</v>
      </c>
      <c r="W555" s="10">
        <v>42</v>
      </c>
      <c r="X555" s="10">
        <v>8</v>
      </c>
      <c r="Y555" s="10"/>
      <c r="Z555" t="str">
        <f>"RUNNING_COST_"&amp;IF(PROPERTIES[[#This Row],[ENGINE_CLASS]]="MAGLEV","ELECTRIC",PROPERTIES[[#This Row],[ENGINE_CLASS]])</f>
        <v>RUNNING_COST_ELECTRIC</v>
      </c>
      <c r="AA555" s="10" t="s">
        <v>1008</v>
      </c>
      <c r="AB555" s="10" t="s">
        <v>1009</v>
      </c>
      <c r="AC555" s="10" t="str">
        <f>SUBSTITUTE(SUBSTITUTE(PROPERTIES[[#This Row],[PURCHASECOST_VALUE]], "PURCHASECOST_", ""), "_VALUE", "")</f>
        <v>EMU</v>
      </c>
      <c r="AD555" s="2" t="b">
        <v>0</v>
      </c>
      <c r="AV555"/>
      <c r="AW555"/>
      <c r="AX555"/>
    </row>
    <row r="556" spans="1:50">
      <c r="A556" s="2" t="s">
        <v>583</v>
      </c>
      <c r="B556">
        <v>1961</v>
      </c>
      <c r="C556">
        <v>1</v>
      </c>
      <c r="D556" t="s">
        <v>1840</v>
      </c>
      <c r="E556" t="str">
        <f>_xlfn.XLOOKUP(PROPERTIES[[#This Row],[COUNTRY]],COUNTRIES[COUNTRY_DESCRIPTION],COUNTRIES[COUNTRY_LABEL],"")</f>
        <v>CH</v>
      </c>
      <c r="F556" t="s">
        <v>74</v>
      </c>
      <c r="G556" t="s">
        <v>18</v>
      </c>
      <c r="H556">
        <f>INT(168+126+54)/6</f>
        <v>58</v>
      </c>
      <c r="I556">
        <v>8</v>
      </c>
      <c r="J556">
        <v>8</v>
      </c>
      <c r="K556" s="2" t="s">
        <v>479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4">
        <f>296/6</f>
        <v>49.333333333333336</v>
      </c>
      <c r="P556">
        <v>3100</v>
      </c>
      <c r="Q556">
        <v>160</v>
      </c>
      <c r="R556" s="31">
        <f>188/2</f>
        <v>94</v>
      </c>
      <c r="S556" s="30">
        <f>IFERROR(PROPERTIES[[#This Row],[TE_STARTING_KN]]/(PROPERTIES[[#This Row],[WEIGHT]]*9.81),0)</f>
        <v>0.19423092817588228</v>
      </c>
      <c r="T556" s="30">
        <v>0.26</v>
      </c>
      <c r="U556" s="27">
        <f>ROUND(IF(IFERROR(PROPERTIES[[#This Row],[TE_COEFFICIENT_CALC]],0)=0,PROPERTIES[[#This Row],[TE_COEFFICIENT_MANUAL]],PROPERTIES[[#This Row],[TE_COEFFICIENT_CALC]]),3)</f>
        <v>0.19400000000000001</v>
      </c>
      <c r="V556" s="6">
        <v>25</v>
      </c>
      <c r="W556" s="10">
        <f>INT(168+126+54)/6</f>
        <v>58</v>
      </c>
      <c r="X556" s="10">
        <v>8</v>
      </c>
      <c r="Y556" s="10"/>
      <c r="Z556" t="str">
        <f>"RUNNING_COST_"&amp;IF(PROPERTIES[[#This Row],[ENGINE_CLASS]]="MAGLEV","ELECTRIC",PROPERTIES[[#This Row],[ENGINE_CLASS]])</f>
        <v>RUNNING_COST_ELECTRIC</v>
      </c>
      <c r="AA556" s="10" t="s">
        <v>1008</v>
      </c>
      <c r="AB556" s="10" t="s">
        <v>1009</v>
      </c>
      <c r="AC556" s="10" t="str">
        <f>SUBSTITUTE(SUBSTITUTE(PROPERTIES[[#This Row],[PURCHASECOST_VALUE]], "PURCHASECOST_", ""), "_VALUE", "")</f>
        <v>EMU</v>
      </c>
      <c r="AD556" s="2" t="b">
        <v>0</v>
      </c>
      <c r="AV556"/>
      <c r="AW556"/>
      <c r="AX556"/>
    </row>
    <row r="557" spans="1:50">
      <c r="A557" s="2" t="s">
        <v>584</v>
      </c>
      <c r="B557">
        <v>1930</v>
      </c>
      <c r="C557">
        <v>1</v>
      </c>
      <c r="D557" t="s">
        <v>2029</v>
      </c>
      <c r="E557" t="str">
        <f>_xlfn.XLOOKUP(PROPERTIES[[#This Row],[COUNTRY]],COUNTRIES[COUNTRY_DESCRIPTION],COUNTRIES[COUNTRY_LABEL],"")</f>
        <v>US</v>
      </c>
      <c r="F557" t="s">
        <v>74</v>
      </c>
      <c r="G557" t="s">
        <v>18</v>
      </c>
      <c r="H557">
        <v>82</v>
      </c>
      <c r="I557">
        <v>8</v>
      </c>
      <c r="J557">
        <v>8</v>
      </c>
      <c r="K557" s="2" t="s">
        <v>24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4">
        <v>61</v>
      </c>
      <c r="P557">
        <v>1020</v>
      </c>
      <c r="Q557">
        <v>101</v>
      </c>
      <c r="R557" s="31">
        <v>135</v>
      </c>
      <c r="S557" s="30">
        <f>IFERROR(PROPERTIES[[#This Row],[TE_STARTING_KN]]/(PROPERTIES[[#This Row],[WEIGHT]]*9.81),0)</f>
        <v>0.22559783426079105</v>
      </c>
      <c r="T557" s="30">
        <v>0.25</v>
      </c>
      <c r="U557" s="27">
        <f>ROUND(IF(IFERROR(PROPERTIES[[#This Row],[TE_COEFFICIENT_CALC]],0)=0,PROPERTIES[[#This Row],[TE_COEFFICIENT_MANUAL]],PROPERTIES[[#This Row],[TE_COEFFICIENT_CALC]]),3)</f>
        <v>0.22600000000000001</v>
      </c>
      <c r="V557" s="6">
        <v>25</v>
      </c>
      <c r="W557" s="10">
        <v>84</v>
      </c>
      <c r="X557" s="10">
        <v>8</v>
      </c>
      <c r="Y557" s="10"/>
      <c r="Z557" t="str">
        <f>"RUNNING_COST_"&amp;IF(PROPERTIES[[#This Row],[ENGINE_CLASS]]="MAGLEV","ELECTRIC",PROPERTIES[[#This Row],[ENGINE_CLASS]])</f>
        <v>RUNNING_COST_ELECTRIC</v>
      </c>
      <c r="AA557" s="10" t="s">
        <v>1008</v>
      </c>
      <c r="AB557" s="10" t="s">
        <v>1009</v>
      </c>
      <c r="AC557" s="10" t="str">
        <f>SUBSTITUTE(SUBSTITUTE(PROPERTIES[[#This Row],[PURCHASECOST_VALUE]], "PURCHASECOST_", ""), "_VALUE", "")</f>
        <v>EMU</v>
      </c>
      <c r="AD557" s="2" t="b">
        <v>0</v>
      </c>
      <c r="AV557"/>
      <c r="AW557"/>
      <c r="AX557"/>
    </row>
    <row r="558" spans="1:50">
      <c r="A558" s="2" t="s">
        <v>585</v>
      </c>
      <c r="B558">
        <v>1981</v>
      </c>
      <c r="C558">
        <v>1</v>
      </c>
      <c r="D558" t="s">
        <v>1872</v>
      </c>
      <c r="E558" t="str">
        <f>_xlfn.XLOOKUP(PROPERTIES[[#This Row],[COUNTRY]],COUNTRIES[COUNTRY_DESCRIPTION],COUNTRIES[COUNTRY_LABEL],"")</f>
        <v>FR</v>
      </c>
      <c r="F558" t="s">
        <v>74</v>
      </c>
      <c r="G558" t="s">
        <v>18</v>
      </c>
      <c r="H558">
        <v>0</v>
      </c>
      <c r="I558">
        <v>8</v>
      </c>
      <c r="J558">
        <v>8</v>
      </c>
      <c r="K558" s="2" t="s">
        <v>479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4">
        <v>68</v>
      </c>
      <c r="P558">
        <v>9119</v>
      </c>
      <c r="Q558">
        <v>240</v>
      </c>
      <c r="R558" s="31">
        <f>210/2</f>
        <v>105</v>
      </c>
      <c r="S558" s="30">
        <f>IFERROR(PROPERTIES[[#This Row],[TE_STARTING_KN]]/(PROPERTIES[[#This Row],[WEIGHT]]*9.81),0)</f>
        <v>0.15740241050548659</v>
      </c>
      <c r="T558" s="30">
        <v>0.92</v>
      </c>
      <c r="U558" s="27">
        <f>ROUND(IF(IFERROR(PROPERTIES[[#This Row],[TE_COEFFICIENT_CALC]],0)=0,PROPERTIES[[#This Row],[TE_COEFFICIENT_MANUAL]],PROPERTIES[[#This Row],[TE_COEFFICIENT_CALC]]),3)</f>
        <v>0.157</v>
      </c>
      <c r="V558" s="6">
        <v>25</v>
      </c>
      <c r="W558" s="10">
        <v>43</v>
      </c>
      <c r="X558" s="10">
        <v>6</v>
      </c>
      <c r="Y558" s="10"/>
      <c r="Z558" t="str">
        <f>"RUNNING_COST_"&amp;IF(PROPERTIES[[#This Row],[ENGINE_CLASS]]="MAGLEV","ELECTRIC",PROPERTIES[[#This Row],[ENGINE_CLASS]])</f>
        <v>RUNNING_COST_ELECTRIC</v>
      </c>
      <c r="AA558" s="10" t="s">
        <v>1008</v>
      </c>
      <c r="AB558" s="10" t="s">
        <v>1009</v>
      </c>
      <c r="AC558" s="10" t="str">
        <f>SUBSTITUTE(SUBSTITUTE(PROPERTIES[[#This Row],[PURCHASECOST_VALUE]], "PURCHASECOST_", ""), "_VALUE", "")</f>
        <v>EMU</v>
      </c>
      <c r="AD558" s="2" t="b">
        <v>0</v>
      </c>
      <c r="AV558"/>
      <c r="AW558"/>
      <c r="AX558"/>
    </row>
    <row r="559" spans="1:50">
      <c r="A559" s="2" t="s">
        <v>586</v>
      </c>
      <c r="B559">
        <v>1995</v>
      </c>
      <c r="C559">
        <v>1</v>
      </c>
      <c r="D559" t="s">
        <v>1872</v>
      </c>
      <c r="E559" t="str">
        <f>_xlfn.XLOOKUP(PROPERTIES[[#This Row],[COUNTRY]],COUNTRIES[COUNTRY_DESCRIPTION],COUNTRIES[COUNTRY_LABEL],"")</f>
        <v>FR</v>
      </c>
      <c r="F559" t="s">
        <v>74</v>
      </c>
      <c r="G559" t="s">
        <v>18</v>
      </c>
      <c r="H559">
        <v>0</v>
      </c>
      <c r="I559">
        <v>8</v>
      </c>
      <c r="J559">
        <v>8</v>
      </c>
      <c r="K559" s="2" t="s">
        <v>479</v>
      </c>
      <c r="L559">
        <f>_xlfn.XLOOKUP("LOADINGSPEEDDEF_"&amp;PROPERTIES[[#This Row],[LOADINGSPEED]],LOADINGSPEEDDEF[TYPE],LOADINGSPEEDDEF[SPEED])</f>
        <v>16</v>
      </c>
      <c r="M559" t="s">
        <v>21</v>
      </c>
      <c r="N559">
        <v>1</v>
      </c>
      <c r="O559" s="34">
        <v>68</v>
      </c>
      <c r="P559">
        <v>11800</v>
      </c>
      <c r="Q559">
        <v>320</v>
      </c>
      <c r="R559" s="31">
        <f t="shared" ref="R559" si="0">220/2</f>
        <v>110</v>
      </c>
      <c r="S559" s="30">
        <f>IFERROR(PROPERTIES[[#This Row],[TE_STARTING_KN]]/(PROPERTIES[[#This Row],[WEIGHT]]*9.81),0)</f>
        <v>0.16489776338670023</v>
      </c>
      <c r="T559" s="30">
        <v>0.81</v>
      </c>
      <c r="U559" s="27">
        <f>ROUND(IF(IFERROR(PROPERTIES[[#This Row],[TE_COEFFICIENT_CALC]],0)=0,PROPERTIES[[#This Row],[TE_COEFFICIENT_MANUAL]],PROPERTIES[[#This Row],[TE_COEFFICIENT_CALC]]),3)</f>
        <v>0.16500000000000001</v>
      </c>
      <c r="V559" s="6">
        <v>25</v>
      </c>
      <c r="W559" s="10">
        <v>72</v>
      </c>
      <c r="X559" s="10">
        <v>6</v>
      </c>
      <c r="Y559" s="10"/>
      <c r="Z559" t="str">
        <f>"RUNNING_COST_"&amp;IF(PROPERTIES[[#This Row],[ENGINE_CLASS]]="MAGLEV","ELECTRIC",PROPERTIES[[#This Row],[ENGINE_CLASS]])</f>
        <v>RUNNING_COST_ELECTRIC</v>
      </c>
      <c r="AA559" s="10" t="s">
        <v>1008</v>
      </c>
      <c r="AB559" s="10" t="s">
        <v>1009</v>
      </c>
      <c r="AC559" s="10" t="str">
        <f>SUBSTITUTE(SUBSTITUTE(PROPERTIES[[#This Row],[PURCHASECOST_VALUE]], "PURCHASECOST_", ""), "_VALUE", "")</f>
        <v>EMU</v>
      </c>
      <c r="AD559" s="2" t="b">
        <v>0</v>
      </c>
      <c r="AV559"/>
      <c r="AW559"/>
      <c r="AX559"/>
    </row>
    <row r="560" spans="1:50">
      <c r="A560" s="2" t="s">
        <v>587</v>
      </c>
      <c r="B560">
        <v>1995</v>
      </c>
      <c r="C560">
        <v>1</v>
      </c>
      <c r="D560" t="s">
        <v>1872</v>
      </c>
      <c r="E560" t="str">
        <f>_xlfn.XLOOKUP(PROPERTIES[[#This Row],[COUNTRY]],COUNTRIES[COUNTRY_DESCRIPTION],COUNTRIES[COUNTRY_LABEL],"")</f>
        <v>FR</v>
      </c>
      <c r="F560" t="s">
        <v>74</v>
      </c>
      <c r="G560" t="s">
        <v>18</v>
      </c>
      <c r="H560">
        <v>0</v>
      </c>
      <c r="I560">
        <v>8</v>
      </c>
      <c r="J560">
        <v>8</v>
      </c>
      <c r="K560" s="2" t="s">
        <v>479</v>
      </c>
      <c r="L560">
        <f>_xlfn.XLOOKUP("LOADINGSPEEDDEF_"&amp;PROPERTIES[[#This Row],[LOADINGSPEED]],LOADINGSPEEDDEF[TYPE],LOADINGSPEEDDEF[SPEED])</f>
        <v>16</v>
      </c>
      <c r="M560" t="s">
        <v>21</v>
      </c>
      <c r="N560">
        <v>1</v>
      </c>
      <c r="O560" s="34">
        <v>68</v>
      </c>
      <c r="P560">
        <v>11800</v>
      </c>
      <c r="Q560">
        <v>300</v>
      </c>
      <c r="R560" s="31">
        <f>210/2</f>
        <v>105</v>
      </c>
      <c r="S560" s="30">
        <f>IFERROR(PROPERTIES[[#This Row],[TE_STARTING_KN]]/(PROPERTIES[[#This Row],[WEIGHT]]*9.81),0)</f>
        <v>0.15740241050548659</v>
      </c>
      <c r="T560" s="30">
        <v>0.85</v>
      </c>
      <c r="U560" s="27">
        <f>ROUND(IF(IFERROR(PROPERTIES[[#This Row],[TE_COEFFICIENT_CALC]],0)=0,PROPERTIES[[#This Row],[TE_COEFFICIENT_MANUAL]],PROPERTIES[[#This Row],[TE_COEFFICIENT_CALC]]),3)</f>
        <v>0.157</v>
      </c>
      <c r="V560" s="6">
        <v>25</v>
      </c>
      <c r="W560" s="10">
        <v>47</v>
      </c>
      <c r="X560" s="10">
        <v>6</v>
      </c>
      <c r="Y560" s="10"/>
      <c r="Z560" t="str">
        <f>"RUNNING_COST_"&amp;IF(PROPERTIES[[#This Row],[ENGINE_CLASS]]="MAGLEV","ELECTRIC",PROPERTIES[[#This Row],[ENGINE_CLASS]])</f>
        <v>RUNNING_COST_ELECTRIC</v>
      </c>
      <c r="AA560" s="10" t="s">
        <v>1008</v>
      </c>
      <c r="AB560" s="10" t="s">
        <v>1009</v>
      </c>
      <c r="AC560" s="10" t="str">
        <f>SUBSTITUTE(SUBSTITUTE(PROPERTIES[[#This Row],[PURCHASECOST_VALUE]], "PURCHASECOST_", ""), "_VALUE", "")</f>
        <v>EMU</v>
      </c>
      <c r="AD560" s="2" t="b">
        <v>0</v>
      </c>
      <c r="AV560"/>
      <c r="AW560"/>
      <c r="AX560"/>
    </row>
    <row r="561" spans="1:50">
      <c r="A561" s="2" t="s">
        <v>588</v>
      </c>
      <c r="B561">
        <v>1999</v>
      </c>
      <c r="C561">
        <v>1</v>
      </c>
      <c r="D561" t="s">
        <v>1853</v>
      </c>
      <c r="E561" t="str">
        <f>_xlfn.XLOOKUP(PROPERTIES[[#This Row],[COUNTRY]],COUNTRIES[COUNTRY_DESCRIPTION],COUNTRIES[COUNTRY_LABEL],"")</f>
        <v>CZ</v>
      </c>
      <c r="F561" t="s">
        <v>74</v>
      </c>
      <c r="G561" t="s">
        <v>18</v>
      </c>
      <c r="H561">
        <v>47</v>
      </c>
      <c r="I561">
        <v>8</v>
      </c>
      <c r="J561">
        <v>8</v>
      </c>
      <c r="K561" s="2" t="s">
        <v>479</v>
      </c>
      <c r="L561">
        <f>_xlfn.XLOOKUP("LOADINGSPEEDDEF_"&amp;PROPERTIES[[#This Row],[LOADINGSPEED]],LOADINGSPEEDDEF[TYPE],LOADINGSPEEDDEF[SPEED])</f>
        <v>16</v>
      </c>
      <c r="M561" t="s">
        <v>21</v>
      </c>
      <c r="N561">
        <v>1</v>
      </c>
      <c r="O561" s="34">
        <v>55</v>
      </c>
      <c r="P561">
        <v>1318</v>
      </c>
      <c r="Q561">
        <v>200</v>
      </c>
      <c r="R561" s="31">
        <v>50</v>
      </c>
      <c r="S561" s="30">
        <f>IFERROR(PROPERTIES[[#This Row],[TE_STARTING_KN]]/(PROPERTIES[[#This Row],[WEIGHT]]*9.81),0)</f>
        <v>9.2669817440459629E-2</v>
      </c>
      <c r="T561" s="30">
        <v>0.67</v>
      </c>
      <c r="U561" s="27">
        <f>ROUND(IF(IFERROR(PROPERTIES[[#This Row],[TE_COEFFICIENT_CALC]],0)=0,PROPERTIES[[#This Row],[TE_COEFFICIENT_MANUAL]],PROPERTIES[[#This Row],[TE_COEFFICIENT_CALC]]),3)</f>
        <v>9.2999999999999999E-2</v>
      </c>
      <c r="V561" s="6">
        <v>25</v>
      </c>
      <c r="W561" s="10">
        <v>47</v>
      </c>
      <c r="X561" s="10">
        <v>8</v>
      </c>
      <c r="Y561" s="10"/>
      <c r="Z561" t="str">
        <f>"RUNNING_COST_"&amp;IF(PROPERTIES[[#This Row],[ENGINE_CLASS]]="MAGLEV","ELECTRIC",PROPERTIES[[#This Row],[ENGINE_CLASS]])</f>
        <v>RUNNING_COST_ELECTRIC</v>
      </c>
      <c r="AA561" s="10" t="s">
        <v>1008</v>
      </c>
      <c r="AB561" s="10" t="s">
        <v>1009</v>
      </c>
      <c r="AC561" s="10" t="str">
        <f>SUBSTITUTE(SUBSTITUTE(PROPERTIES[[#This Row],[PURCHASECOST_VALUE]], "PURCHASECOST_", ""), "_VALUE", "")</f>
        <v>EMU</v>
      </c>
      <c r="AD561" s="2" t="b">
        <v>0</v>
      </c>
      <c r="AV561"/>
      <c r="AW561"/>
      <c r="AX561"/>
    </row>
    <row r="562" spans="1:50">
      <c r="A562" s="2" t="s">
        <v>589</v>
      </c>
      <c r="B562">
        <v>2001</v>
      </c>
      <c r="C562">
        <v>1</v>
      </c>
      <c r="D562" t="s">
        <v>1865</v>
      </c>
      <c r="E562" t="str">
        <f>_xlfn.XLOOKUP(PROPERTIES[[#This Row],[COUNTRY]],COUNTRIES[COUNTRY_DESCRIPTION],COUNTRIES[COUNTRY_LABEL],"")</f>
        <v>ES</v>
      </c>
      <c r="F562" t="s">
        <v>74</v>
      </c>
      <c r="G562" t="s">
        <v>18</v>
      </c>
      <c r="H562">
        <v>60</v>
      </c>
      <c r="I562">
        <v>8</v>
      </c>
      <c r="J562">
        <v>8</v>
      </c>
      <c r="K562" s="2" t="s">
        <v>24</v>
      </c>
      <c r="L562">
        <f>_xlfn.XLOOKUP("LOADINGSPEEDDEF_"&amp;PROPERTIES[[#This Row],[LOADINGSPEED]],LOADINGSPEEDDEF[TYPE],LOADINGSPEEDDEF[SPEED])</f>
        <v>40</v>
      </c>
      <c r="M562" t="s">
        <v>21</v>
      </c>
      <c r="N562">
        <v>1</v>
      </c>
      <c r="O562" s="34">
        <v>61</v>
      </c>
      <c r="P562">
        <f>1340*2</f>
        <v>2680</v>
      </c>
      <c r="Q562">
        <v>250</v>
      </c>
      <c r="R562" s="31">
        <v>48</v>
      </c>
      <c r="S562" s="30">
        <f>IFERROR(PROPERTIES[[#This Row],[TE_STARTING_KN]]/(PROPERTIES[[#This Row],[WEIGHT]]*9.81),0)</f>
        <v>8.0212563292725705E-2</v>
      </c>
      <c r="T562" s="30">
        <v>0.36</v>
      </c>
      <c r="U562" s="27">
        <f>ROUND(IF(IFERROR(PROPERTIES[[#This Row],[TE_COEFFICIENT_CALC]],0)=0,PROPERTIES[[#This Row],[TE_COEFFICIENT_MANUAL]],PROPERTIES[[#This Row],[TE_COEFFICIENT_CALC]]),3)</f>
        <v>0.08</v>
      </c>
      <c r="V562" s="6">
        <v>25</v>
      </c>
      <c r="W562" s="10">
        <v>60</v>
      </c>
      <c r="X562" s="10">
        <v>8</v>
      </c>
      <c r="Y562" s="10"/>
      <c r="Z562" t="str">
        <f>"RUNNING_COST_"&amp;IF(PROPERTIES[[#This Row],[ENGINE_CLASS]]="MAGLEV","ELECTRIC",PROPERTIES[[#This Row],[ENGINE_CLASS]])</f>
        <v>RUNNING_COST_ELECTRIC</v>
      </c>
      <c r="AA562" s="10" t="s">
        <v>1008</v>
      </c>
      <c r="AB562" s="10" t="s">
        <v>1009</v>
      </c>
      <c r="AC562" s="10" t="str">
        <f>SUBSTITUTE(SUBSTITUTE(PROPERTIES[[#This Row],[PURCHASECOST_VALUE]], "PURCHASECOST_", ""), "_VALUE", "")</f>
        <v>EMU</v>
      </c>
      <c r="AD562" s="2" t="b">
        <v>0</v>
      </c>
      <c r="AV562"/>
      <c r="AW562"/>
      <c r="AX562"/>
    </row>
    <row r="563" spans="1:50">
      <c r="A563" s="2" t="s">
        <v>590</v>
      </c>
      <c r="B563">
        <v>1999</v>
      </c>
      <c r="C563">
        <v>1</v>
      </c>
      <c r="D563" t="s">
        <v>2029</v>
      </c>
      <c r="E563" t="str">
        <f>_xlfn.XLOOKUP(PROPERTIES[[#This Row],[COUNTRY]],COUNTRIES[COUNTRY_DESCRIPTION],COUNTRIES[COUNTRY_LABEL],"")</f>
        <v>US</v>
      </c>
      <c r="F563" t="s">
        <v>74</v>
      </c>
      <c r="G563" t="s">
        <v>18</v>
      </c>
      <c r="H563">
        <v>0</v>
      </c>
      <c r="I563">
        <v>8</v>
      </c>
      <c r="J563">
        <v>8</v>
      </c>
      <c r="K563" s="2" t="s">
        <v>24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4">
        <v>93</v>
      </c>
      <c r="P563">
        <v>6200</v>
      </c>
      <c r="Q563">
        <v>240</v>
      </c>
      <c r="R563" s="31">
        <v>220.2</v>
      </c>
      <c r="S563" s="30">
        <f>IFERROR(PROPERTIES[[#This Row],[TE_STARTING_KN]]/(PROPERTIES[[#This Row],[WEIGHT]]*9.81),0)</f>
        <v>0.24136003419815197</v>
      </c>
      <c r="T563" s="30">
        <v>0.24</v>
      </c>
      <c r="U563" s="27">
        <f>ROUND(IF(IFERROR(PROPERTIES[[#This Row],[TE_COEFFICIENT_CALC]],0)=0,PROPERTIES[[#This Row],[TE_COEFFICIENT_MANUAL]],PROPERTIES[[#This Row],[TE_COEFFICIENT_CALC]]),3)</f>
        <v>0.24099999999999999</v>
      </c>
      <c r="V563" s="6">
        <v>40</v>
      </c>
      <c r="W563" s="10">
        <v>50</v>
      </c>
      <c r="X563" s="10">
        <v>8</v>
      </c>
      <c r="Y563" s="10"/>
      <c r="Z563" t="str">
        <f>"RUNNING_COST_"&amp;IF(PROPERTIES[[#This Row],[ENGINE_CLASS]]="MAGLEV","ELECTRIC",PROPERTIES[[#This Row],[ENGINE_CLASS]])</f>
        <v>RUNNING_COST_ELECTRIC</v>
      </c>
      <c r="AA563" s="10" t="s">
        <v>1008</v>
      </c>
      <c r="AB563" s="10" t="s">
        <v>1009</v>
      </c>
      <c r="AC563" s="10" t="str">
        <f>SUBSTITUTE(SUBSTITUTE(PROPERTIES[[#This Row],[PURCHASECOST_VALUE]], "PURCHASECOST_", ""), "_VALUE", "")</f>
        <v>EMU</v>
      </c>
      <c r="AD563" s="2" t="b">
        <v>0</v>
      </c>
      <c r="AV563"/>
      <c r="AW563"/>
      <c r="AX563"/>
    </row>
    <row r="564" spans="1:50">
      <c r="A564" s="2" t="s">
        <v>591</v>
      </c>
      <c r="B564">
        <v>1880</v>
      </c>
      <c r="C564">
        <v>0</v>
      </c>
      <c r="D564" t="s">
        <v>2029</v>
      </c>
      <c r="E564" t="str">
        <f>_xlfn.XLOOKUP(PROPERTIES[[#This Row],[COUNTRY]],COUNTRIES[COUNTRY_DESCRIPTION],COUNTRIES[COUNTRY_LABEL],"")</f>
        <v>US</v>
      </c>
      <c r="F564" t="s">
        <v>19</v>
      </c>
      <c r="G564" t="s">
        <v>325</v>
      </c>
      <c r="H564">
        <v>48</v>
      </c>
      <c r="I564">
        <v>7</v>
      </c>
      <c r="J564">
        <v>7</v>
      </c>
      <c r="K564" s="2" t="s">
        <v>326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4">
        <v>28</v>
      </c>
      <c r="P564">
        <v>200</v>
      </c>
      <c r="Q564">
        <v>60</v>
      </c>
      <c r="R564" s="31">
        <v>25</v>
      </c>
      <c r="S564" s="30">
        <f>IFERROR(PROPERTIES[[#This Row],[TE_STARTING_KN]]/(PROPERTIES[[#This Row],[WEIGHT]]*9.81),0)</f>
        <v>9.1014999271880004E-2</v>
      </c>
      <c r="T564" s="30">
        <v>0.5</v>
      </c>
      <c r="U564" s="27">
        <f>ROUND(IF(IFERROR(PROPERTIES[[#This Row],[TE_COEFFICIENT_CALC]],0)=0,PROPERTIES[[#This Row],[TE_COEFFICIENT_MANUAL]],PROPERTIES[[#This Row],[TE_COEFFICIENT_CALC]]),3)</f>
        <v>9.0999999999999998E-2</v>
      </c>
      <c r="V564" s="6">
        <v>60</v>
      </c>
      <c r="W564" s="10">
        <v>0</v>
      </c>
      <c r="X564" s="10">
        <v>0</v>
      </c>
      <c r="Y564" s="10"/>
      <c r="Z564" t="str">
        <f>"RUNNING_COST_"&amp;IF(PROPERTIES[[#This Row],[ENGINE_CLASS]]="MAGLEV","ELECTRIC",PROPERTIES[[#This Row],[ENGINE_CLASS]])</f>
        <v>RUNNING_COST_ELECTRIC</v>
      </c>
      <c r="AA564" s="10" t="s">
        <v>1010</v>
      </c>
      <c r="AB564" s="10" t="s">
        <v>1011</v>
      </c>
      <c r="AC564" s="10" t="str">
        <f>SUBSTITUTE(SUBSTITUTE(PROPERTIES[[#This Row],[PURCHASECOST_VALUE]], "PURCHASECOST_", ""), "_VALUE", "")</f>
        <v>METRORAILBUS</v>
      </c>
      <c r="AD564" s="2" t="b">
        <v>0</v>
      </c>
      <c r="AV564"/>
      <c r="AW564"/>
      <c r="AX564"/>
    </row>
    <row r="565" spans="1:50">
      <c r="A565" s="2" t="s">
        <v>592</v>
      </c>
      <c r="B565">
        <v>1894</v>
      </c>
      <c r="C565">
        <v>0</v>
      </c>
      <c r="D565" t="s">
        <v>1896</v>
      </c>
      <c r="E565" t="str">
        <f>_xlfn.XLOOKUP(PROPERTIES[[#This Row],[COUNTRY]],COUNTRIES[COUNTRY_DESCRIPTION],COUNTRIES[COUNTRY_LABEL],"")</f>
        <v>HU</v>
      </c>
      <c r="F565" t="s">
        <v>19</v>
      </c>
      <c r="G565" t="s">
        <v>325</v>
      </c>
      <c r="H565">
        <v>46</v>
      </c>
      <c r="I565">
        <v>8</v>
      </c>
      <c r="J565">
        <v>8</v>
      </c>
      <c r="K565" s="2" t="s">
        <v>326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4">
        <v>16.5</v>
      </c>
      <c r="P565">
        <v>200</v>
      </c>
      <c r="Q565">
        <v>60</v>
      </c>
      <c r="R565" s="31">
        <v>18</v>
      </c>
      <c r="S565" s="30">
        <f>IFERROR(PROPERTIES[[#This Row],[TE_STARTING_KN]]/(PROPERTIES[[#This Row],[WEIGHT]]*9.81),0)</f>
        <v>0.11120378092855157</v>
      </c>
      <c r="T565" s="30">
        <v>0.32</v>
      </c>
      <c r="U565" s="27">
        <f>ROUND(IF(IFERROR(PROPERTIES[[#This Row],[TE_COEFFICIENT_CALC]],0)=0,PROPERTIES[[#This Row],[TE_COEFFICIENT_MANUAL]],PROPERTIES[[#This Row],[TE_COEFFICIENT_CALC]]),3)</f>
        <v>0.111</v>
      </c>
      <c r="V565" s="6">
        <v>60</v>
      </c>
      <c r="W565" s="10">
        <v>0</v>
      </c>
      <c r="X565" s="10">
        <v>0</v>
      </c>
      <c r="Y565" s="10"/>
      <c r="Z565" t="str">
        <f>"RUNNING_COST_"&amp;IF(PROPERTIES[[#This Row],[ENGINE_CLASS]]="MAGLEV","ELECTRIC",PROPERTIES[[#This Row],[ENGINE_CLASS]])</f>
        <v>RUNNING_COST_ELECTRIC</v>
      </c>
      <c r="AA565" s="10" t="s">
        <v>1010</v>
      </c>
      <c r="AB565" s="10" t="s">
        <v>1011</v>
      </c>
      <c r="AC565" s="10" t="str">
        <f>SUBSTITUTE(SUBSTITUTE(PROPERTIES[[#This Row],[PURCHASECOST_VALUE]], "PURCHASECOST_", ""), "_VALUE", "")</f>
        <v>METRORAILBUS</v>
      </c>
      <c r="AD565" s="2" t="b">
        <v>0</v>
      </c>
      <c r="AV565"/>
      <c r="AW565"/>
      <c r="AX565"/>
    </row>
    <row r="566" spans="1:50">
      <c r="A566" s="2" t="s">
        <v>593</v>
      </c>
      <c r="B566">
        <v>1907</v>
      </c>
      <c r="C566">
        <v>0</v>
      </c>
      <c r="D566" t="s">
        <v>2029</v>
      </c>
      <c r="E566" t="str">
        <f>_xlfn.XLOOKUP(PROPERTIES[[#This Row],[COUNTRY]],COUNTRIES[COUNTRY_DESCRIPTION],COUNTRIES[COUNTRY_LABEL],"")</f>
        <v>US</v>
      </c>
      <c r="F566" t="s">
        <v>19</v>
      </c>
      <c r="G566" t="s">
        <v>325</v>
      </c>
      <c r="H566">
        <v>130</v>
      </c>
      <c r="I566">
        <v>8</v>
      </c>
      <c r="J566">
        <v>8</v>
      </c>
      <c r="K566" s="2" t="s">
        <v>326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4">
        <v>31.5</v>
      </c>
      <c r="P566">
        <v>250</v>
      </c>
      <c r="Q566">
        <v>70</v>
      </c>
      <c r="R566" s="31">
        <v>38</v>
      </c>
      <c r="S566" s="30">
        <f>IFERROR(PROPERTIES[[#This Row],[TE_STARTING_KN]]/(PROPERTIES[[#This Row],[WEIGHT]]*9.81),0)</f>
        <v>0.12297137679400674</v>
      </c>
      <c r="T566" s="30">
        <v>0.1</v>
      </c>
      <c r="U566" s="27">
        <f>ROUND(IF(IFERROR(PROPERTIES[[#This Row],[TE_COEFFICIENT_CALC]],0)=0,PROPERTIES[[#This Row],[TE_COEFFICIENT_MANUAL]],PROPERTIES[[#This Row],[TE_COEFFICIENT_CALC]]),3)</f>
        <v>0.123</v>
      </c>
      <c r="V566" s="6">
        <v>60</v>
      </c>
      <c r="W566" s="10">
        <v>0</v>
      </c>
      <c r="X566" s="10">
        <v>0</v>
      </c>
      <c r="Y566" s="10"/>
      <c r="Z566" t="str">
        <f>"RUNNING_COST_"&amp;IF(PROPERTIES[[#This Row],[ENGINE_CLASS]]="MAGLEV","ELECTRIC",PROPERTIES[[#This Row],[ENGINE_CLASS]])</f>
        <v>RUNNING_COST_ELECTRIC</v>
      </c>
      <c r="AA566" s="10" t="s">
        <v>1010</v>
      </c>
      <c r="AB566" s="10" t="s">
        <v>1011</v>
      </c>
      <c r="AC566" s="10" t="str">
        <f>SUBSTITUTE(SUBSTITUTE(PROPERTIES[[#This Row],[PURCHASECOST_VALUE]], "PURCHASECOST_", ""), "_VALUE", "")</f>
        <v>METRORAILBUS</v>
      </c>
      <c r="AD566" s="2" t="b">
        <v>0</v>
      </c>
      <c r="AV566"/>
      <c r="AW566"/>
      <c r="AX566"/>
    </row>
    <row r="567" spans="1:50">
      <c r="A567" s="2" t="s">
        <v>594</v>
      </c>
      <c r="B567">
        <v>1929</v>
      </c>
      <c r="C567">
        <v>0</v>
      </c>
      <c r="D567" t="s">
        <v>1854</v>
      </c>
      <c r="E567" t="str">
        <f>_xlfn.XLOOKUP(PROPERTIES[[#This Row],[COUNTRY]],COUNTRIES[COUNTRY_DESCRIPTION],COUNTRIES[COUNTRY_LABEL],"")</f>
        <v>DE</v>
      </c>
      <c r="F567" t="s">
        <v>19</v>
      </c>
      <c r="G567" t="s">
        <v>325</v>
      </c>
      <c r="H567">
        <v>157</v>
      </c>
      <c r="I567">
        <v>8</v>
      </c>
      <c r="J567">
        <v>8</v>
      </c>
      <c r="K567" s="2" t="s">
        <v>326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4">
        <v>45.2</v>
      </c>
      <c r="P567">
        <v>375</v>
      </c>
      <c r="Q567">
        <v>60</v>
      </c>
      <c r="R567" s="31">
        <v>42</v>
      </c>
      <c r="S567" s="30">
        <f>IFERROR(PROPERTIES[[#This Row],[TE_STARTING_KN]]/(PROPERTIES[[#This Row],[WEIGHT]]*9.81),0)</f>
        <v>9.4720034640469811E-2</v>
      </c>
      <c r="T567" s="30">
        <v>7.0000000000000007E-2</v>
      </c>
      <c r="U567" s="27">
        <f>ROUND(IF(IFERROR(PROPERTIES[[#This Row],[TE_COEFFICIENT_CALC]],0)=0,PROPERTIES[[#This Row],[TE_COEFFICIENT_MANUAL]],PROPERTIES[[#This Row],[TE_COEFFICIENT_CALC]]),3)</f>
        <v>9.5000000000000001E-2</v>
      </c>
      <c r="V567" s="6">
        <v>60</v>
      </c>
      <c r="W567" s="10">
        <v>0</v>
      </c>
      <c r="X567" s="10">
        <v>0</v>
      </c>
      <c r="Y567" s="10"/>
      <c r="Z567" t="str">
        <f>"RUNNING_COST_"&amp;IF(PROPERTIES[[#This Row],[ENGINE_CLASS]]="MAGLEV","ELECTRIC",PROPERTIES[[#This Row],[ENGINE_CLASS]])</f>
        <v>RUNNING_COST_ELECTRIC</v>
      </c>
      <c r="AA567" s="10" t="s">
        <v>1010</v>
      </c>
      <c r="AB567" s="10" t="s">
        <v>1011</v>
      </c>
      <c r="AC567" s="10" t="str">
        <f>SUBSTITUTE(SUBSTITUTE(PROPERTIES[[#This Row],[PURCHASECOST_VALUE]], "PURCHASECOST_", ""), "_VALUE", "")</f>
        <v>METRORAILBUS</v>
      </c>
      <c r="AD567" s="2" t="b">
        <v>0</v>
      </c>
      <c r="AV567"/>
      <c r="AW567"/>
      <c r="AX567"/>
    </row>
    <row r="568" spans="1:50">
      <c r="A568" s="2" t="s">
        <v>595</v>
      </c>
      <c r="B568">
        <v>2040</v>
      </c>
      <c r="C568">
        <v>0</v>
      </c>
      <c r="D568" t="s">
        <v>2301</v>
      </c>
      <c r="E568" t="str">
        <f>_xlfn.XLOOKUP(PROPERTIES[[#This Row],[COUNTRY]],COUNTRIES[COUNTRY_DESCRIPTION],COUNTRIES[COUNTRY_LABEL],"")</f>
        <v>WRLD</v>
      </c>
      <c r="F568" t="s">
        <v>19</v>
      </c>
      <c r="G568" t="s">
        <v>18</v>
      </c>
      <c r="H568">
        <v>45</v>
      </c>
      <c r="I568">
        <v>8</v>
      </c>
      <c r="J568">
        <v>4</v>
      </c>
      <c r="K568" s="2" t="s">
        <v>24</v>
      </c>
      <c r="L568">
        <f>_xlfn.XLOOKUP("LOADINGSPEEDDEF_"&amp;PROPERTIES[[#This Row],[LOADINGSPEED]],LOADINGSPEEDDEF[TYPE],LOADINGSPEEDDEF[SPEED])</f>
        <v>40</v>
      </c>
      <c r="M568" t="s">
        <v>21</v>
      </c>
      <c r="N568">
        <v>1</v>
      </c>
      <c r="O568" s="34">
        <v>30</v>
      </c>
      <c r="P568">
        <v>5070</v>
      </c>
      <c r="Q568">
        <v>753</v>
      </c>
      <c r="R568" s="31">
        <v>0</v>
      </c>
      <c r="S568" s="30">
        <f>IFERROR(PROPERTIES[[#This Row],[TE_STARTING_KN]]/(PROPERTIES[[#This Row],[WEIGHT]]*9.81),0)</f>
        <v>0</v>
      </c>
      <c r="T568" s="30">
        <v>0.28999999999999998</v>
      </c>
      <c r="U568" s="27">
        <f>ROUND(IF(IFERROR(PROPERTIES[[#This Row],[TE_COEFFICIENT_CALC]],0)=0,PROPERTIES[[#This Row],[TE_COEFFICIENT_MANUAL]],PROPERTIES[[#This Row],[TE_COEFFICIENT_CALC]]),3)</f>
        <v>0.28999999999999998</v>
      </c>
      <c r="V568" s="6">
        <v>15</v>
      </c>
      <c r="W568" s="10">
        <v>0</v>
      </c>
      <c r="X568" s="10">
        <v>2</v>
      </c>
      <c r="Y568" s="10"/>
      <c r="Z568" t="str">
        <f>"RUNNING_COST_"&amp;IF(PROPERTIES[[#This Row],[ENGINE_CLASS]]="MAGLEV","ELECTRIC",PROPERTIES[[#This Row],[ENGINE_CLASS]])</f>
        <v>RUNNING_COST_ELECTRIC</v>
      </c>
      <c r="AA568" s="10" t="s">
        <v>1012</v>
      </c>
      <c r="AB568" s="10" t="s">
        <v>1013</v>
      </c>
      <c r="AC568" s="10" t="str">
        <f>SUBSTITUTE(SUBSTITUTE(PROPERTIES[[#This Row],[PURCHASECOST_VALUE]], "PURCHASECOST_", ""), "_VALUE", "")</f>
        <v>MAGLEVRAILBUS</v>
      </c>
      <c r="AD568" s="2" t="b">
        <v>0</v>
      </c>
      <c r="AV568"/>
      <c r="AW568"/>
      <c r="AX568"/>
    </row>
    <row r="569" spans="1:50">
      <c r="A569" s="2" t="s">
        <v>596</v>
      </c>
      <c r="B569">
        <v>2005</v>
      </c>
      <c r="C569">
        <v>0</v>
      </c>
      <c r="D569" t="s">
        <v>1854</v>
      </c>
      <c r="E569" t="str">
        <f>_xlfn.XLOOKUP(PROPERTIES[[#This Row],[COUNTRY]],COUNTRIES[COUNTRY_DESCRIPTION],COUNTRIES[COUNTRY_LABEL],"")</f>
        <v>DE</v>
      </c>
      <c r="F569" t="s">
        <v>19</v>
      </c>
      <c r="G569" t="s">
        <v>20</v>
      </c>
      <c r="H569">
        <v>0</v>
      </c>
      <c r="I569">
        <v>8</v>
      </c>
      <c r="J569">
        <v>8</v>
      </c>
      <c r="K569" s="2" t="s">
        <v>20</v>
      </c>
      <c r="L569">
        <f>_xlfn.XLOOKUP("LOADINGSPEEDDEF_"&amp;PROPERTIES[[#This Row],[LOADINGSPEED]],LOADINGSPEEDDEF[TYPE],LOADINGSPEEDDEF[SPEED])</f>
        <v>0</v>
      </c>
      <c r="M569" t="s">
        <v>21</v>
      </c>
      <c r="N569">
        <v>1</v>
      </c>
      <c r="O569" s="34">
        <v>90</v>
      </c>
      <c r="P569">
        <v>18875</v>
      </c>
      <c r="Q569">
        <v>250</v>
      </c>
      <c r="R569" s="31">
        <v>600</v>
      </c>
      <c r="S569" s="30">
        <f>IFERROR(PROPERTIES[[#This Row],[TE_STARTING_KN]]/(PROPERTIES[[#This Row],[WEIGHT]]*9.81),0)</f>
        <v>0.6795786612300373</v>
      </c>
      <c r="T569" s="30">
        <v>0.35</v>
      </c>
      <c r="U569" s="27">
        <f>ROUND(IF(IFERROR(PROPERTIES[[#This Row],[TE_COEFFICIENT_CALC]],0)=0,PROPERTIES[[#This Row],[TE_COEFFICIENT_MANUAL]],PROPERTIES[[#This Row],[TE_COEFFICIENT_CALC]]),3)</f>
        <v>0.68</v>
      </c>
      <c r="V569" s="6">
        <v>40</v>
      </c>
      <c r="W569" s="10">
        <v>0</v>
      </c>
      <c r="X569" s="10">
        <v>0</v>
      </c>
      <c r="Y569" s="10"/>
      <c r="Z569" t="str">
        <f>"RUNNING_COST_"&amp;IF(PROPERTIES[[#This Row],[ENGINE_CLASS]]="MAGLEV","ELECTRIC",PROPERTIES[[#This Row],[ENGINE_CLASS]])</f>
        <v>RUNNING_COST_ELECTRIC</v>
      </c>
      <c r="AA569" s="10" t="s">
        <v>1014</v>
      </c>
      <c r="AB569" s="10" t="s">
        <v>1015</v>
      </c>
      <c r="AC569" s="10" t="str">
        <f>SUBSTITUTE(SUBSTITUTE(PROPERTIES[[#This Row],[PURCHASECOST_VALUE]], "PURCHASECOST_", ""), "_VALUE", "")</f>
        <v>MAGLEVSU</v>
      </c>
      <c r="AD569" s="2" t="b">
        <v>0</v>
      </c>
      <c r="AV569"/>
      <c r="AW569"/>
      <c r="AX569"/>
    </row>
    <row r="570" spans="1:50">
      <c r="A570" s="2" t="s">
        <v>597</v>
      </c>
      <c r="B570">
        <v>2004</v>
      </c>
      <c r="C570">
        <v>1</v>
      </c>
      <c r="D570" t="s">
        <v>1845</v>
      </c>
      <c r="E570" t="str">
        <f>_xlfn.XLOOKUP(PROPERTIES[[#This Row],[COUNTRY]],COUNTRIES[COUNTRY_DESCRIPTION],COUNTRIES[COUNTRY_LABEL],"")</f>
        <v>CN</v>
      </c>
      <c r="F570" t="s">
        <v>19</v>
      </c>
      <c r="G570" t="s">
        <v>18</v>
      </c>
      <c r="H570">
        <v>50</v>
      </c>
      <c r="I570">
        <v>8</v>
      </c>
      <c r="J570">
        <v>8</v>
      </c>
      <c r="K570" s="2" t="s">
        <v>479</v>
      </c>
      <c r="L570">
        <f>_xlfn.XLOOKUP("LOADINGSPEEDDEF_"&amp;PROPERTIES[[#This Row],[LOADINGSPEED]],LOADINGSPEEDDEF[TYPE],LOADINGSPEEDDEF[SPEED])</f>
        <v>16</v>
      </c>
      <c r="M570" t="s">
        <v>21</v>
      </c>
      <c r="N570">
        <v>1</v>
      </c>
      <c r="O570" s="34">
        <v>53</v>
      </c>
      <c r="P570">
        <v>13450</v>
      </c>
      <c r="Q570">
        <v>433</v>
      </c>
      <c r="R570" s="31">
        <v>450</v>
      </c>
      <c r="S570" s="30">
        <f>IFERROR(PROPERTIES[[#This Row],[TE_STARTING_KN]]/(PROPERTIES[[#This Row],[WEIGHT]]*9.81),0)</f>
        <v>0.8655011251514626</v>
      </c>
      <c r="T570" s="30">
        <v>0.3</v>
      </c>
      <c r="U570" s="27">
        <f>ROUND(IF(IFERROR(PROPERTIES[[#This Row],[TE_COEFFICIENT_CALC]],0)=0,PROPERTIES[[#This Row],[TE_COEFFICIENT_MANUAL]],PROPERTIES[[#This Row],[TE_COEFFICIENT_CALC]]),3)</f>
        <v>0.86599999999999999</v>
      </c>
      <c r="V570" s="6">
        <v>25</v>
      </c>
      <c r="W570" s="10">
        <v>55</v>
      </c>
      <c r="X570" s="10">
        <v>8</v>
      </c>
      <c r="Y570" s="10"/>
      <c r="Z570" t="str">
        <f>"RUNNING_COST_"&amp;IF(PROPERTIES[[#This Row],[ENGINE_CLASS]]="MAGLEV","ELECTRIC",PROPERTIES[[#This Row],[ENGINE_CLASS]])</f>
        <v>RUNNING_COST_ELECTRIC</v>
      </c>
      <c r="AA570" s="10" t="s">
        <v>990</v>
      </c>
      <c r="AB570" s="10" t="s">
        <v>991</v>
      </c>
      <c r="AC570" s="10" t="str">
        <f>SUBSTITUTE(SUBSTITUTE(PROPERTIES[[#This Row],[PURCHASECOST_VALUE]], "PURCHASECOST_", ""), "_VALUE", "")</f>
        <v>MAGLEVMU</v>
      </c>
      <c r="AD570" s="2" t="b">
        <v>0</v>
      </c>
      <c r="AV570"/>
      <c r="AW570"/>
      <c r="AX570"/>
    </row>
    <row r="571" spans="1:50">
      <c r="A571" s="2" t="s">
        <v>598</v>
      </c>
      <c r="B571">
        <v>2025</v>
      </c>
      <c r="C571">
        <v>1</v>
      </c>
      <c r="D571" t="s">
        <v>1910</v>
      </c>
      <c r="E571" t="str">
        <f>_xlfn.XLOOKUP(PROPERTIES[[#This Row],[COUNTRY]],COUNTRIES[COUNTRY_DESCRIPTION],COUNTRIES[COUNTRY_LABEL],"")</f>
        <v>JP</v>
      </c>
      <c r="F571" t="s">
        <v>19</v>
      </c>
      <c r="G571" t="s">
        <v>18</v>
      </c>
      <c r="H571">
        <f>38/2</f>
        <v>19</v>
      </c>
      <c r="I571">
        <v>8</v>
      </c>
      <c r="J571">
        <v>8</v>
      </c>
      <c r="K571" s="2" t="s">
        <v>479</v>
      </c>
      <c r="L571">
        <f>_xlfn.XLOOKUP("LOADINGSPEEDDEF_"&amp;PROPERTIES[[#This Row],[LOADINGSPEED]],LOADINGSPEEDDEF[TYPE],LOADINGSPEEDDEF[SPEED])</f>
        <v>16</v>
      </c>
      <c r="M571" t="s">
        <v>21</v>
      </c>
      <c r="N571">
        <v>1</v>
      </c>
      <c r="O571" s="34">
        <v>72</v>
      </c>
      <c r="P571">
        <v>20115</v>
      </c>
      <c r="Q571">
        <v>500</v>
      </c>
      <c r="R571" s="31">
        <v>500</v>
      </c>
      <c r="S571" s="30">
        <f>IFERROR(PROPERTIES[[#This Row],[TE_STARTING_KN]]/(PROPERTIES[[#This Row],[WEIGHT]]*9.81),0)</f>
        <v>0.70789443878128888</v>
      </c>
      <c r="T571" s="30">
        <v>0.3</v>
      </c>
      <c r="U571" s="27">
        <f>ROUND(IF(IFERROR(PROPERTIES[[#This Row],[TE_COEFFICIENT_CALC]],0)=0,PROPERTIES[[#This Row],[TE_COEFFICIENT_MANUAL]],PROPERTIES[[#This Row],[TE_COEFFICIENT_CALC]]),3)</f>
        <v>0.70799999999999996</v>
      </c>
      <c r="V571" s="6">
        <v>25</v>
      </c>
      <c r="W571" s="10">
        <v>60</v>
      </c>
      <c r="X571" s="10">
        <v>8</v>
      </c>
      <c r="Y571" s="10"/>
      <c r="Z571" t="str">
        <f>"RUNNING_COST_"&amp;IF(PROPERTIES[[#This Row],[ENGINE_CLASS]]="MAGLEV","ELECTRIC",PROPERTIES[[#This Row],[ENGINE_CLASS]])</f>
        <v>RUNNING_COST_ELECTRIC</v>
      </c>
      <c r="AA571" s="10" t="s">
        <v>990</v>
      </c>
      <c r="AB571" s="10" t="s">
        <v>991</v>
      </c>
      <c r="AC571" s="10" t="str">
        <f>SUBSTITUTE(SUBSTITUTE(PROPERTIES[[#This Row],[PURCHASECOST_VALUE]], "PURCHASECOST_", ""), "_VALUE", "")</f>
        <v>MAGLEVMU</v>
      </c>
      <c r="AD571" s="2" t="b">
        <v>0</v>
      </c>
      <c r="AV571"/>
      <c r="AW571"/>
      <c r="AX571"/>
    </row>
    <row r="572" spans="1:50">
      <c r="A572" s="2" t="s">
        <v>910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19</v>
      </c>
      <c r="G572" t="s">
        <v>599</v>
      </c>
      <c r="H572">
        <v>74</v>
      </c>
      <c r="I572">
        <v>8</v>
      </c>
      <c r="J572">
        <v>8</v>
      </c>
      <c r="K572" s="2" t="s">
        <v>33</v>
      </c>
      <c r="L572">
        <f>_xlfn.XLOOKUP("LOADINGSPEEDDEF_"&amp;PROPERTIES[[#This Row],[LOADINGSPEED]],LOADINGSPEEDDEF[TYPE],LOADINGSPEEDDEF[SPEED])</f>
        <v>20</v>
      </c>
      <c r="M572" t="s">
        <v>21</v>
      </c>
      <c r="N572">
        <v>0</v>
      </c>
      <c r="O572" s="34">
        <v>27</v>
      </c>
      <c r="P572">
        <v>0</v>
      </c>
      <c r="Q572">
        <v>160</v>
      </c>
      <c r="R572" s="31">
        <v>0</v>
      </c>
      <c r="S572" s="30">
        <f>IFERROR(PROPERTIES[[#This Row],[TE_STARTING_KN]]/(PROPERTIES[[#This Row],[WEIGHT]]*9.81),0)</f>
        <v>0</v>
      </c>
      <c r="T572" s="30">
        <v>0.3</v>
      </c>
      <c r="U572" s="27">
        <f>ROUND(IF(IFERROR(PROPERTIES[[#This Row],[TE_COEFFICIENT_CALC]],0)=0,PROPERTIES[[#This Row],[TE_COEFFICIENT_MANUAL]],PROPERTIES[[#This Row],[TE_COEFFICIENT_CALC]]),3)</f>
        <v>0.3</v>
      </c>
      <c r="V572" s="6">
        <v>25</v>
      </c>
      <c r="W572" s="10">
        <v>0</v>
      </c>
      <c r="X572" s="10">
        <v>0</v>
      </c>
      <c r="Y572" s="10"/>
      <c r="Z572" t="str">
        <f>"RUNNING_COST_"&amp;IF(PROPERTIES[[#This Row],[ENGINE_CLASS]]="MAGLEV","ELECTRIC",PROPERTIES[[#This Row],[ENGINE_CLASS]])</f>
        <v>RUNNING_COST_ELECTRIC</v>
      </c>
      <c r="AA572" s="10" t="s">
        <v>1016</v>
      </c>
      <c r="AB572" s="10" t="s">
        <v>1017</v>
      </c>
      <c r="AC572" s="10" t="str">
        <f>SUBSTITUTE(SUBSTITUTE(PROPERTIES[[#This Row],[PURCHASECOST_VALUE]], "PURCHASECOST_", ""), "_VALUE", "")</f>
        <v>WAGON</v>
      </c>
      <c r="AD572" s="2" t="b">
        <v>0</v>
      </c>
      <c r="AV572"/>
      <c r="AW572"/>
      <c r="AX572"/>
    </row>
    <row r="573" spans="1:50">
      <c r="A573" s="2" t="s">
        <v>893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19</v>
      </c>
      <c r="G573" t="s">
        <v>599</v>
      </c>
      <c r="H573">
        <v>74</v>
      </c>
      <c r="I573">
        <v>8</v>
      </c>
      <c r="J573">
        <v>8</v>
      </c>
      <c r="K573" s="2" t="s">
        <v>33</v>
      </c>
      <c r="L573">
        <f>_xlfn.XLOOKUP("LOADINGSPEEDDEF_"&amp;PROPERTIES[[#This Row],[LOADINGSPEED]],LOADINGSPEEDDEF[TYPE],LOADINGSPEEDDEF[SPEED])</f>
        <v>20</v>
      </c>
      <c r="M573" t="s">
        <v>21</v>
      </c>
      <c r="N573">
        <v>0</v>
      </c>
      <c r="O573" s="34">
        <v>27</v>
      </c>
      <c r="P573">
        <v>0</v>
      </c>
      <c r="Q573">
        <v>160</v>
      </c>
      <c r="R573" s="31">
        <v>0</v>
      </c>
      <c r="S573" s="30">
        <f>IFERROR(PROPERTIES[[#This Row],[TE_STARTING_KN]]/(PROPERTIES[[#This Row],[WEIGHT]]*9.81),0)</f>
        <v>0</v>
      </c>
      <c r="T573" s="30">
        <v>0.3</v>
      </c>
      <c r="U573" s="27">
        <f>ROUND(IF(IFERROR(PROPERTIES[[#This Row],[TE_COEFFICIENT_CALC]],0)=0,PROPERTIES[[#This Row],[TE_COEFFICIENT_MANUAL]],PROPERTIES[[#This Row],[TE_COEFFICIENT_CALC]]),3)</f>
        <v>0.3</v>
      </c>
      <c r="V573" s="6">
        <v>25</v>
      </c>
      <c r="W573" s="10">
        <v>0</v>
      </c>
      <c r="X573" s="10">
        <v>0</v>
      </c>
      <c r="Y573" s="10"/>
      <c r="Z573" t="str">
        <f>"RUNNING_COST_"&amp;IF(PROPERTIES[[#This Row],[ENGINE_CLASS]]="MAGLEV","ELECTRIC",PROPERTIES[[#This Row],[ENGINE_CLASS]])</f>
        <v>RUNNING_COST_ELECTRIC</v>
      </c>
      <c r="AA573" s="10" t="s">
        <v>1016</v>
      </c>
      <c r="AB573" s="10" t="s">
        <v>1017</v>
      </c>
      <c r="AC573" s="10" t="str">
        <f>SUBSTITUTE(SUBSTITUTE(PROPERTIES[[#This Row],[PURCHASECOST_VALUE]], "PURCHASECOST_", ""), "_VALUE", "")</f>
        <v>WAGON</v>
      </c>
      <c r="AD573" s="2" t="b">
        <v>0</v>
      </c>
      <c r="AV573"/>
      <c r="AW573"/>
      <c r="AX573"/>
    </row>
    <row r="574" spans="1:50">
      <c r="A574" s="2" t="s">
        <v>894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19</v>
      </c>
      <c r="G574" t="s">
        <v>600</v>
      </c>
      <c r="H574">
        <v>20</v>
      </c>
      <c r="I574">
        <v>8</v>
      </c>
      <c r="J574">
        <v>8</v>
      </c>
      <c r="K574" s="2" t="s">
        <v>33</v>
      </c>
      <c r="L574">
        <f>_xlfn.XLOOKUP("LOADINGSPEEDDEF_"&amp;PROPERTIES[[#This Row],[LOADINGSPEED]],LOADINGSPEEDDEF[TYPE],LOADINGSPEEDDEF[SPEED])</f>
        <v>20</v>
      </c>
      <c r="M574" t="s">
        <v>21</v>
      </c>
      <c r="N574">
        <v>0</v>
      </c>
      <c r="O574" s="34">
        <v>28</v>
      </c>
      <c r="P574">
        <v>0</v>
      </c>
      <c r="Q574">
        <v>160</v>
      </c>
      <c r="R574" s="31">
        <v>0</v>
      </c>
      <c r="S574" s="30">
        <f>IFERROR(PROPERTIES[[#This Row],[TE_STARTING_KN]]/(PROPERTIES[[#This Row],[WEIGHT]]*9.81),0)</f>
        <v>0</v>
      </c>
      <c r="T574" s="30">
        <v>0.3</v>
      </c>
      <c r="U574" s="27">
        <f>ROUND(IF(IFERROR(PROPERTIES[[#This Row],[TE_COEFFICIENT_CALC]],0)=0,PROPERTIES[[#This Row],[TE_COEFFICIENT_MANUAL]],PROPERTIES[[#This Row],[TE_COEFFICIENT_CALC]]),3)</f>
        <v>0.3</v>
      </c>
      <c r="V574" s="6">
        <v>25</v>
      </c>
      <c r="W574" s="10">
        <v>0</v>
      </c>
      <c r="X574" s="10">
        <v>0</v>
      </c>
      <c r="Y574" s="10"/>
      <c r="Z574" t="str">
        <f>"RUNNING_COST_"&amp;IF(PROPERTIES[[#This Row],[ENGINE_CLASS]]="MAGLEV","ELECTRIC",PROPERTIES[[#This Row],[ENGINE_CLASS]])</f>
        <v>RUNNING_COST_ELECTRIC</v>
      </c>
      <c r="AA574" s="10" t="s">
        <v>1016</v>
      </c>
      <c r="AB574" s="10" t="s">
        <v>1017</v>
      </c>
      <c r="AC574" s="10" t="str">
        <f>SUBSTITUTE(SUBSTITUTE(PROPERTIES[[#This Row],[PURCHASECOST_VALUE]], "PURCHASECOST_", ""), "_VALUE", "")</f>
        <v>WAGON</v>
      </c>
      <c r="AD574" s="2" t="b">
        <v>0</v>
      </c>
      <c r="AV574"/>
      <c r="AW574"/>
      <c r="AX574"/>
    </row>
    <row r="575" spans="1:50">
      <c r="A575" s="2" t="s">
        <v>895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19</v>
      </c>
      <c r="G575" t="s">
        <v>601</v>
      </c>
      <c r="H575">
        <v>65</v>
      </c>
      <c r="I575">
        <v>8</v>
      </c>
      <c r="J575">
        <v>8</v>
      </c>
      <c r="K575" s="2" t="s">
        <v>33</v>
      </c>
      <c r="L575">
        <f>_xlfn.XLOOKUP("LOADINGSPEEDDEF_"&amp;PROPERTIES[[#This Row],[LOADINGSPEED]],LOADINGSPEEDDEF[TYPE],LOADINGSPEEDDEF[SPEED])</f>
        <v>20</v>
      </c>
      <c r="M575" t="s">
        <v>21</v>
      </c>
      <c r="N575">
        <v>0</v>
      </c>
      <c r="O575" s="34">
        <v>40</v>
      </c>
      <c r="P575">
        <v>0</v>
      </c>
      <c r="Q575">
        <v>160</v>
      </c>
      <c r="R575" s="31">
        <v>0</v>
      </c>
      <c r="S575" s="30">
        <f>IFERROR(PROPERTIES[[#This Row],[TE_STARTING_KN]]/(PROPERTIES[[#This Row],[WEIGHT]]*9.81),0)</f>
        <v>0</v>
      </c>
      <c r="T575" s="30">
        <v>0.3</v>
      </c>
      <c r="U575" s="27">
        <f>ROUND(IF(IFERROR(PROPERTIES[[#This Row],[TE_COEFFICIENT_CALC]],0)=0,PROPERTIES[[#This Row],[TE_COEFFICIENT_MANUAL]],PROPERTIES[[#This Row],[TE_COEFFICIENT_CALC]]),3)</f>
        <v>0.3</v>
      </c>
      <c r="V575" s="6">
        <v>25</v>
      </c>
      <c r="W575" s="10">
        <v>0</v>
      </c>
      <c r="X575" s="10">
        <v>0</v>
      </c>
      <c r="Y575" s="10"/>
      <c r="Z575" t="str">
        <f>"RUNNING_COST_"&amp;IF(PROPERTIES[[#This Row],[ENGINE_CLASS]]="MAGLEV","ELECTRIC",PROPERTIES[[#This Row],[ENGINE_CLASS]])</f>
        <v>RUNNING_COST_ELECTRIC</v>
      </c>
      <c r="AA575" s="10" t="s">
        <v>1016</v>
      </c>
      <c r="AB575" s="10" t="s">
        <v>1017</v>
      </c>
      <c r="AC575" s="10" t="str">
        <f>SUBSTITUTE(SUBSTITUTE(PROPERTIES[[#This Row],[PURCHASECOST_VALUE]], "PURCHASECOST_", ""), "_VALUE", "")</f>
        <v>WAGON</v>
      </c>
      <c r="AD575" s="2" t="b">
        <v>0</v>
      </c>
      <c r="AV575"/>
      <c r="AW575"/>
      <c r="AX575"/>
    </row>
    <row r="576" spans="1:50">
      <c r="A576" s="2" t="s">
        <v>896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19</v>
      </c>
      <c r="G576" t="s">
        <v>532</v>
      </c>
      <c r="H576">
        <v>60</v>
      </c>
      <c r="I576">
        <v>8</v>
      </c>
      <c r="J576">
        <v>8</v>
      </c>
      <c r="K576" s="2" t="s">
        <v>33</v>
      </c>
      <c r="L576">
        <f>_xlfn.XLOOKUP("LOADINGSPEEDDEF_"&amp;PROPERTIES[[#This Row],[LOADINGSPEED]],LOADINGSPEEDDEF[TYPE],LOADINGSPEEDDEF[SPEED])</f>
        <v>20</v>
      </c>
      <c r="M576" t="s">
        <v>21</v>
      </c>
      <c r="N576">
        <v>0</v>
      </c>
      <c r="O576" s="34">
        <v>22</v>
      </c>
      <c r="P576">
        <v>0</v>
      </c>
      <c r="Q576">
        <v>160</v>
      </c>
      <c r="R576" s="31">
        <v>0</v>
      </c>
      <c r="S576" s="30">
        <f>IFERROR(PROPERTIES[[#This Row],[TE_STARTING_KN]]/(PROPERTIES[[#This Row],[WEIGHT]]*9.81),0)</f>
        <v>0</v>
      </c>
      <c r="T576" s="30">
        <v>0.3</v>
      </c>
      <c r="U576" s="27">
        <f>ROUND(IF(IFERROR(PROPERTIES[[#This Row],[TE_COEFFICIENT_CALC]],0)=0,PROPERTIES[[#This Row],[TE_COEFFICIENT_MANUAL]],PROPERTIES[[#This Row],[TE_COEFFICIENT_CALC]]),3)</f>
        <v>0.3</v>
      </c>
      <c r="V576" s="6">
        <v>25</v>
      </c>
      <c r="W576" s="10">
        <v>0</v>
      </c>
      <c r="X576" s="10">
        <v>0</v>
      </c>
      <c r="Y576" s="10"/>
      <c r="Z576" t="str">
        <f>"RUNNING_COST_"&amp;IF(PROPERTIES[[#This Row],[ENGINE_CLASS]]="MAGLEV","ELECTRIC",PROPERTIES[[#This Row],[ENGINE_CLASS]])</f>
        <v>RUNNING_COST_ELECTRIC</v>
      </c>
      <c r="AA576" s="10" t="s">
        <v>1016</v>
      </c>
      <c r="AB576" s="10" t="s">
        <v>1017</v>
      </c>
      <c r="AC576" s="10" t="str">
        <f>SUBSTITUTE(SUBSTITUTE(PROPERTIES[[#This Row],[PURCHASECOST_VALUE]], "PURCHASECOST_", ""), "_VALUE", "")</f>
        <v>WAGON</v>
      </c>
      <c r="AD576" s="2" t="b">
        <v>0</v>
      </c>
      <c r="AV576"/>
      <c r="AW576"/>
      <c r="AX576"/>
    </row>
    <row r="577" spans="1:50">
      <c r="A577" s="2" t="s">
        <v>897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19</v>
      </c>
      <c r="G577" t="s">
        <v>602</v>
      </c>
      <c r="H577">
        <v>75</v>
      </c>
      <c r="I577">
        <v>8</v>
      </c>
      <c r="J577">
        <v>8</v>
      </c>
      <c r="K577" s="2" t="s">
        <v>33</v>
      </c>
      <c r="L577">
        <f>_xlfn.XLOOKUP("LOADINGSPEEDDEF_"&amp;PROPERTIES[[#This Row],[LOADINGSPEED]],LOADINGSPEEDDEF[TYPE],LOADINGSPEEDDEF[SPEED])</f>
        <v>20</v>
      </c>
      <c r="M577" t="s">
        <v>21</v>
      </c>
      <c r="N577">
        <v>0</v>
      </c>
      <c r="O577" s="34">
        <v>25</v>
      </c>
      <c r="P577">
        <v>0</v>
      </c>
      <c r="Q577">
        <v>160</v>
      </c>
      <c r="R577" s="31">
        <v>0</v>
      </c>
      <c r="S577" s="30">
        <f>IFERROR(PROPERTIES[[#This Row],[TE_STARTING_KN]]/(PROPERTIES[[#This Row],[WEIGHT]]*9.81),0)</f>
        <v>0</v>
      </c>
      <c r="T577" s="30">
        <v>0.3</v>
      </c>
      <c r="U577" s="27">
        <f>ROUND(IF(IFERROR(PROPERTIES[[#This Row],[TE_COEFFICIENT_CALC]],0)=0,PROPERTIES[[#This Row],[TE_COEFFICIENT_MANUAL]],PROPERTIES[[#This Row],[TE_COEFFICIENT_CALC]]),3)</f>
        <v>0.3</v>
      </c>
      <c r="V577" s="6">
        <v>25</v>
      </c>
      <c r="W577" s="10">
        <v>0</v>
      </c>
      <c r="X577" s="10">
        <v>0</v>
      </c>
      <c r="Y577" s="10"/>
      <c r="Z577" t="str">
        <f>"RUNNING_COST_"&amp;IF(PROPERTIES[[#This Row],[ENGINE_CLASS]]="MAGLEV","ELECTRIC",PROPERTIES[[#This Row],[ENGINE_CLASS]])</f>
        <v>RUNNING_COST_ELECTRIC</v>
      </c>
      <c r="AA577" s="10" t="s">
        <v>1016</v>
      </c>
      <c r="AB577" s="10" t="s">
        <v>1017</v>
      </c>
      <c r="AC577" s="10" t="str">
        <f>SUBSTITUTE(SUBSTITUTE(PROPERTIES[[#This Row],[PURCHASECOST_VALUE]], "PURCHASECOST_", ""), "_VALUE", "")</f>
        <v>WAGON</v>
      </c>
      <c r="AD577" s="2" t="b">
        <v>0</v>
      </c>
      <c r="AV577"/>
      <c r="AW577"/>
      <c r="AX577"/>
    </row>
    <row r="578" spans="1:50">
      <c r="A578" s="2" t="s">
        <v>898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19</v>
      </c>
      <c r="G578" t="s">
        <v>603</v>
      </c>
      <c r="H578">
        <v>72</v>
      </c>
      <c r="I578">
        <v>8</v>
      </c>
      <c r="J578">
        <v>8</v>
      </c>
      <c r="K578" s="2" t="s">
        <v>33</v>
      </c>
      <c r="L578">
        <f>_xlfn.XLOOKUP("LOADINGSPEEDDEF_"&amp;PROPERTIES[[#This Row],[LOADINGSPEED]],LOADINGSPEEDDEF[TYPE],LOADINGSPEEDDEF[SPEED])</f>
        <v>20</v>
      </c>
      <c r="M578" t="s">
        <v>21</v>
      </c>
      <c r="N578">
        <v>0</v>
      </c>
      <c r="O578" s="34">
        <v>23</v>
      </c>
      <c r="P578">
        <v>0</v>
      </c>
      <c r="Q578">
        <v>160</v>
      </c>
      <c r="R578" s="31">
        <v>0</v>
      </c>
      <c r="S578" s="30">
        <f>IFERROR(PROPERTIES[[#This Row],[TE_STARTING_KN]]/(PROPERTIES[[#This Row],[WEIGHT]]*9.81),0)</f>
        <v>0</v>
      </c>
      <c r="T578" s="30">
        <v>0.3</v>
      </c>
      <c r="U578" s="27">
        <f>ROUND(IF(IFERROR(PROPERTIES[[#This Row],[TE_COEFFICIENT_CALC]],0)=0,PROPERTIES[[#This Row],[TE_COEFFICIENT_MANUAL]],PROPERTIES[[#This Row],[TE_COEFFICIENT_CALC]]),3)</f>
        <v>0.3</v>
      </c>
      <c r="V578" s="6">
        <v>25</v>
      </c>
      <c r="W578" s="10">
        <v>0</v>
      </c>
      <c r="X578" s="10">
        <v>0</v>
      </c>
      <c r="Y578" s="10"/>
      <c r="Z578" t="str">
        <f>"RUNNING_COST_"&amp;IF(PROPERTIES[[#This Row],[ENGINE_CLASS]]="MAGLEV","ELECTRIC",PROPERTIES[[#This Row],[ENGINE_CLASS]])</f>
        <v>RUNNING_COST_ELECTRIC</v>
      </c>
      <c r="AA578" s="10" t="s">
        <v>1016</v>
      </c>
      <c r="AB578" s="10" t="s">
        <v>1017</v>
      </c>
      <c r="AC578" s="10" t="str">
        <f>SUBSTITUTE(SUBSTITUTE(PROPERTIES[[#This Row],[PURCHASECOST_VALUE]], "PURCHASECOST_", ""), "_VALUE", "")</f>
        <v>WAGON</v>
      </c>
      <c r="AD578" s="2" t="b">
        <v>0</v>
      </c>
      <c r="AV578"/>
      <c r="AW578"/>
      <c r="AX578"/>
    </row>
    <row r="579" spans="1:50">
      <c r="A579" s="2" t="s">
        <v>899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19</v>
      </c>
      <c r="G579" t="s">
        <v>604</v>
      </c>
      <c r="H579">
        <v>75</v>
      </c>
      <c r="I579">
        <v>8</v>
      </c>
      <c r="J579">
        <v>8</v>
      </c>
      <c r="K579" s="2" t="s">
        <v>33</v>
      </c>
      <c r="L579">
        <f>_xlfn.XLOOKUP("LOADINGSPEEDDEF_"&amp;PROPERTIES[[#This Row],[LOADINGSPEED]],LOADINGSPEEDDEF[TYPE],LOADINGSPEEDDEF[SPEED])</f>
        <v>20</v>
      </c>
      <c r="M579" t="s">
        <v>21</v>
      </c>
      <c r="N579">
        <v>0</v>
      </c>
      <c r="O579" s="34">
        <v>22</v>
      </c>
      <c r="P579">
        <v>0</v>
      </c>
      <c r="Q579">
        <v>160</v>
      </c>
      <c r="R579" s="31">
        <v>0</v>
      </c>
      <c r="S579" s="30">
        <f>IFERROR(PROPERTIES[[#This Row],[TE_STARTING_KN]]/(PROPERTIES[[#This Row],[WEIGHT]]*9.81),0)</f>
        <v>0</v>
      </c>
      <c r="T579" s="30">
        <v>0.3</v>
      </c>
      <c r="U579" s="27">
        <f>ROUND(IF(IFERROR(PROPERTIES[[#This Row],[TE_COEFFICIENT_CALC]],0)=0,PROPERTIES[[#This Row],[TE_COEFFICIENT_MANUAL]],PROPERTIES[[#This Row],[TE_COEFFICIENT_CALC]]),3)</f>
        <v>0.3</v>
      </c>
      <c r="V579" s="6">
        <v>25</v>
      </c>
      <c r="W579" s="10">
        <v>0</v>
      </c>
      <c r="X579" s="10">
        <v>0</v>
      </c>
      <c r="Y579" s="10"/>
      <c r="Z579" t="str">
        <f>"RUNNING_COST_"&amp;IF(PROPERTIES[[#This Row],[ENGINE_CLASS]]="MAGLEV","ELECTRIC",PROPERTIES[[#This Row],[ENGINE_CLASS]])</f>
        <v>RUNNING_COST_ELECTRIC</v>
      </c>
      <c r="AA579" s="10" t="s">
        <v>1016</v>
      </c>
      <c r="AB579" s="10" t="s">
        <v>1017</v>
      </c>
      <c r="AC579" s="10" t="str">
        <f>SUBSTITUTE(SUBSTITUTE(PROPERTIES[[#This Row],[PURCHASECOST_VALUE]], "PURCHASECOST_", ""), "_VALUE", "")</f>
        <v>WAGON</v>
      </c>
      <c r="AD579" s="2" t="b">
        <v>0</v>
      </c>
      <c r="AV579"/>
      <c r="AW579"/>
      <c r="AX579"/>
    </row>
    <row r="580" spans="1:50">
      <c r="A580" s="2" t="s">
        <v>900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19</v>
      </c>
      <c r="G580" t="s">
        <v>605</v>
      </c>
      <c r="H580">
        <v>96</v>
      </c>
      <c r="I580">
        <v>8</v>
      </c>
      <c r="J580">
        <v>8</v>
      </c>
      <c r="K580" s="2" t="s">
        <v>33</v>
      </c>
      <c r="L580">
        <f>_xlfn.XLOOKUP("LOADINGSPEEDDEF_"&amp;PROPERTIES[[#This Row],[LOADINGSPEED]],LOADINGSPEEDDEF[TYPE],LOADINGSPEEDDEF[SPEED])</f>
        <v>20</v>
      </c>
      <c r="M580" t="s">
        <v>21</v>
      </c>
      <c r="N580">
        <v>0</v>
      </c>
      <c r="O580" s="34">
        <v>42</v>
      </c>
      <c r="P580">
        <v>0</v>
      </c>
      <c r="Q580">
        <v>140</v>
      </c>
      <c r="R580" s="31">
        <v>0</v>
      </c>
      <c r="S580" s="30">
        <f>IFERROR(PROPERTIES[[#This Row],[TE_STARTING_KN]]/(PROPERTIES[[#This Row],[WEIGHT]]*9.81),0)</f>
        <v>0</v>
      </c>
      <c r="T580" s="30">
        <v>0.3</v>
      </c>
      <c r="U580" s="27">
        <f>ROUND(IF(IFERROR(PROPERTIES[[#This Row],[TE_COEFFICIENT_CALC]],0)=0,PROPERTIES[[#This Row],[TE_COEFFICIENT_MANUAL]],PROPERTIES[[#This Row],[TE_COEFFICIENT_CALC]]),3)</f>
        <v>0.3</v>
      </c>
      <c r="V580" s="6">
        <v>25</v>
      </c>
      <c r="W580" s="10">
        <v>0</v>
      </c>
      <c r="X580" s="10">
        <v>0</v>
      </c>
      <c r="Y580" s="10"/>
      <c r="Z580" t="str">
        <f>"RUNNING_COST_"&amp;IF(PROPERTIES[[#This Row],[ENGINE_CLASS]]="MAGLEV","ELECTRIC",PROPERTIES[[#This Row],[ENGINE_CLASS]])</f>
        <v>RUNNING_COST_ELECTRIC</v>
      </c>
      <c r="AA580" s="10" t="s">
        <v>1016</v>
      </c>
      <c r="AB580" s="10" t="s">
        <v>1017</v>
      </c>
      <c r="AC580" s="10" t="str">
        <f>SUBSTITUTE(SUBSTITUTE(PROPERTIES[[#This Row],[PURCHASECOST_VALUE]], "PURCHASECOST_", ""), "_VALUE", "")</f>
        <v>WAGON</v>
      </c>
      <c r="AD580" s="2" t="b">
        <v>0</v>
      </c>
      <c r="AV580"/>
      <c r="AW580"/>
      <c r="AX580"/>
    </row>
    <row r="581" spans="1:50">
      <c r="A581" s="2" t="s">
        <v>901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19</v>
      </c>
      <c r="G581" t="s">
        <v>606</v>
      </c>
      <c r="H581">
        <v>75</v>
      </c>
      <c r="I581">
        <v>8</v>
      </c>
      <c r="J581">
        <v>8</v>
      </c>
      <c r="K581" s="2" t="s">
        <v>33</v>
      </c>
      <c r="L581">
        <f>_xlfn.XLOOKUP("LOADINGSPEEDDEF_"&amp;PROPERTIES[[#This Row],[LOADINGSPEED]],LOADINGSPEEDDEF[TYPE],LOADINGSPEEDDEF[SPEED])</f>
        <v>20</v>
      </c>
      <c r="M581" t="s">
        <v>21</v>
      </c>
      <c r="N581">
        <v>0</v>
      </c>
      <c r="O581" s="34">
        <v>26</v>
      </c>
      <c r="P581">
        <v>0</v>
      </c>
      <c r="Q581">
        <v>160</v>
      </c>
      <c r="R581" s="31">
        <v>0</v>
      </c>
      <c r="S581" s="30">
        <f>IFERROR(PROPERTIES[[#This Row],[TE_STARTING_KN]]/(PROPERTIES[[#This Row],[WEIGHT]]*9.81),0)</f>
        <v>0</v>
      </c>
      <c r="T581" s="30">
        <v>0.3</v>
      </c>
      <c r="U581" s="27">
        <f>ROUND(IF(IFERROR(PROPERTIES[[#This Row],[TE_COEFFICIENT_CALC]],0)=0,PROPERTIES[[#This Row],[TE_COEFFICIENT_MANUAL]],PROPERTIES[[#This Row],[TE_COEFFICIENT_CALC]]),3)</f>
        <v>0.3</v>
      </c>
      <c r="V581" s="6">
        <v>25</v>
      </c>
      <c r="W581" s="10">
        <v>0</v>
      </c>
      <c r="X581" s="10">
        <v>0</v>
      </c>
      <c r="Y581" s="10"/>
      <c r="Z581" t="str">
        <f>"RUNNING_COST_"&amp;IF(PROPERTIES[[#This Row],[ENGINE_CLASS]]="MAGLEV","ELECTRIC",PROPERTIES[[#This Row],[ENGINE_CLASS]])</f>
        <v>RUNNING_COST_ELECTRIC</v>
      </c>
      <c r="AA581" s="10" t="s">
        <v>1016</v>
      </c>
      <c r="AB581" s="10" t="s">
        <v>1017</v>
      </c>
      <c r="AC581" s="10" t="str">
        <f>SUBSTITUTE(SUBSTITUTE(PROPERTIES[[#This Row],[PURCHASECOST_VALUE]], "PURCHASECOST_", ""), "_VALUE", "")</f>
        <v>WAGON</v>
      </c>
      <c r="AD581" s="2" t="b">
        <v>0</v>
      </c>
      <c r="AV581"/>
      <c r="AW581"/>
      <c r="AX581"/>
    </row>
    <row r="582" spans="1:50">
      <c r="A582" s="2" t="s">
        <v>902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19</v>
      </c>
      <c r="G582" t="s">
        <v>606</v>
      </c>
      <c r="H582">
        <v>75</v>
      </c>
      <c r="I582">
        <v>8</v>
      </c>
      <c r="J582">
        <v>8</v>
      </c>
      <c r="K582" s="2" t="s">
        <v>33</v>
      </c>
      <c r="L582">
        <f>_xlfn.XLOOKUP("LOADINGSPEEDDEF_"&amp;PROPERTIES[[#This Row],[LOADINGSPEED]],LOADINGSPEEDDEF[TYPE],LOADINGSPEEDDEF[SPEED])</f>
        <v>20</v>
      </c>
      <c r="M582" t="s">
        <v>21</v>
      </c>
      <c r="N582">
        <v>0</v>
      </c>
      <c r="O582" s="34">
        <v>26</v>
      </c>
      <c r="P582">
        <v>0</v>
      </c>
      <c r="Q582">
        <v>160</v>
      </c>
      <c r="R582" s="31">
        <v>0</v>
      </c>
      <c r="S582" s="30">
        <f>IFERROR(PROPERTIES[[#This Row],[TE_STARTING_KN]]/(PROPERTIES[[#This Row],[WEIGHT]]*9.81),0)</f>
        <v>0</v>
      </c>
      <c r="T582" s="30">
        <v>0.3</v>
      </c>
      <c r="U582" s="27">
        <f>ROUND(IF(IFERROR(PROPERTIES[[#This Row],[TE_COEFFICIENT_CALC]],0)=0,PROPERTIES[[#This Row],[TE_COEFFICIENT_MANUAL]],PROPERTIES[[#This Row],[TE_COEFFICIENT_CALC]]),3)</f>
        <v>0.3</v>
      </c>
      <c r="V582" s="6">
        <v>25</v>
      </c>
      <c r="W582" s="10">
        <v>0</v>
      </c>
      <c r="X582" s="10">
        <v>0</v>
      </c>
      <c r="Y582" s="10"/>
      <c r="Z582" t="str">
        <f>"RUNNING_COST_"&amp;IF(PROPERTIES[[#This Row],[ENGINE_CLASS]]="MAGLEV","ELECTRIC",PROPERTIES[[#This Row],[ENGINE_CLASS]])</f>
        <v>RUNNING_COST_ELECTRIC</v>
      </c>
      <c r="AA582" s="10" t="s">
        <v>1016</v>
      </c>
      <c r="AB582" s="10" t="s">
        <v>1017</v>
      </c>
      <c r="AC582" s="10" t="str">
        <f>SUBSTITUTE(SUBSTITUTE(PROPERTIES[[#This Row],[PURCHASECOST_VALUE]], "PURCHASECOST_", ""), "_VALUE", "")</f>
        <v>WAGON</v>
      </c>
      <c r="AD582" s="2" t="b">
        <v>0</v>
      </c>
      <c r="AV582"/>
      <c r="AW582"/>
      <c r="AX582"/>
    </row>
    <row r="583" spans="1:50">
      <c r="A583" s="2" t="s">
        <v>903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19</v>
      </c>
      <c r="G583" t="s">
        <v>607</v>
      </c>
      <c r="H583">
        <v>75</v>
      </c>
      <c r="I583">
        <v>8</v>
      </c>
      <c r="J583">
        <v>8</v>
      </c>
      <c r="K583" s="2" t="s">
        <v>33</v>
      </c>
      <c r="L583">
        <f>_xlfn.XLOOKUP("LOADINGSPEEDDEF_"&amp;PROPERTIES[[#This Row],[LOADINGSPEED]],LOADINGSPEEDDEF[TYPE],LOADINGSPEEDDEF[SPEED])</f>
        <v>20</v>
      </c>
      <c r="M583" t="s">
        <v>21</v>
      </c>
      <c r="N583">
        <v>0</v>
      </c>
      <c r="O583" s="34">
        <v>27</v>
      </c>
      <c r="P583">
        <v>0</v>
      </c>
      <c r="Q583">
        <v>160</v>
      </c>
      <c r="R583" s="31">
        <v>0</v>
      </c>
      <c r="S583" s="30">
        <f>IFERROR(PROPERTIES[[#This Row],[TE_STARTING_KN]]/(PROPERTIES[[#This Row],[WEIGHT]]*9.81),0)</f>
        <v>0</v>
      </c>
      <c r="T583" s="30">
        <v>0.3</v>
      </c>
      <c r="U583" s="27">
        <f>ROUND(IF(IFERROR(PROPERTIES[[#This Row],[TE_COEFFICIENT_CALC]],0)=0,PROPERTIES[[#This Row],[TE_COEFFICIENT_MANUAL]],PROPERTIES[[#This Row],[TE_COEFFICIENT_CALC]]),3)</f>
        <v>0.3</v>
      </c>
      <c r="V583" s="6">
        <v>25</v>
      </c>
      <c r="W583" s="10">
        <v>0</v>
      </c>
      <c r="X583" s="10">
        <v>0</v>
      </c>
      <c r="Y583" s="10"/>
      <c r="Z583" t="str">
        <f>"RUNNING_COST_"&amp;IF(PROPERTIES[[#This Row],[ENGINE_CLASS]]="MAGLEV","ELECTRIC",PROPERTIES[[#This Row],[ENGINE_CLASS]])</f>
        <v>RUNNING_COST_ELECTRIC</v>
      </c>
      <c r="AA583" s="10" t="s">
        <v>1016</v>
      </c>
      <c r="AB583" s="10" t="s">
        <v>1017</v>
      </c>
      <c r="AC583" s="10" t="str">
        <f>SUBSTITUTE(SUBSTITUTE(PROPERTIES[[#This Row],[PURCHASECOST_VALUE]], "PURCHASECOST_", ""), "_VALUE", "")</f>
        <v>WAGON</v>
      </c>
      <c r="AD583" s="2" t="b">
        <v>0</v>
      </c>
      <c r="AV583"/>
      <c r="AW583"/>
      <c r="AX583"/>
    </row>
    <row r="584" spans="1:50">
      <c r="A584" s="2" t="s">
        <v>904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19</v>
      </c>
      <c r="G584" t="s">
        <v>607</v>
      </c>
      <c r="H584">
        <v>75</v>
      </c>
      <c r="I584">
        <v>8</v>
      </c>
      <c r="J584">
        <v>8</v>
      </c>
      <c r="K584" s="2" t="s">
        <v>33</v>
      </c>
      <c r="L584">
        <f>_xlfn.XLOOKUP("LOADINGSPEEDDEF_"&amp;PROPERTIES[[#This Row],[LOADINGSPEED]],LOADINGSPEEDDEF[TYPE],LOADINGSPEEDDEF[SPEED])</f>
        <v>20</v>
      </c>
      <c r="M584" t="s">
        <v>21</v>
      </c>
      <c r="N584">
        <v>0</v>
      </c>
      <c r="O584" s="34">
        <v>27</v>
      </c>
      <c r="P584">
        <v>0</v>
      </c>
      <c r="Q584">
        <v>160</v>
      </c>
      <c r="R584" s="31">
        <v>0</v>
      </c>
      <c r="S584" s="30">
        <f>IFERROR(PROPERTIES[[#This Row],[TE_STARTING_KN]]/(PROPERTIES[[#This Row],[WEIGHT]]*9.81),0)</f>
        <v>0</v>
      </c>
      <c r="T584" s="30">
        <v>0.3</v>
      </c>
      <c r="U584" s="27">
        <f>ROUND(IF(IFERROR(PROPERTIES[[#This Row],[TE_COEFFICIENT_CALC]],0)=0,PROPERTIES[[#This Row],[TE_COEFFICIENT_MANUAL]],PROPERTIES[[#This Row],[TE_COEFFICIENT_CALC]]),3)</f>
        <v>0.3</v>
      </c>
      <c r="V584" s="6">
        <v>25</v>
      </c>
      <c r="W584" s="10">
        <v>0</v>
      </c>
      <c r="X584" s="10">
        <v>0</v>
      </c>
      <c r="Y584" s="10"/>
      <c r="Z584" t="str">
        <f>"RUNNING_COST_"&amp;IF(PROPERTIES[[#This Row],[ENGINE_CLASS]]="MAGLEV","ELECTRIC",PROPERTIES[[#This Row],[ENGINE_CLASS]])</f>
        <v>RUNNING_COST_ELECTRIC</v>
      </c>
      <c r="AA584" s="10" t="s">
        <v>1016</v>
      </c>
      <c r="AB584" s="10" t="s">
        <v>1017</v>
      </c>
      <c r="AC584" s="10" t="str">
        <f>SUBSTITUTE(SUBSTITUTE(PROPERTIES[[#This Row],[PURCHASECOST_VALUE]], "PURCHASECOST_", ""), "_VALUE", "")</f>
        <v>WAGON</v>
      </c>
      <c r="AD584" s="2" t="b">
        <v>0</v>
      </c>
      <c r="AV584"/>
      <c r="AW584"/>
      <c r="AX584"/>
    </row>
    <row r="585" spans="1:50">
      <c r="A585" s="2" t="s">
        <v>905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19</v>
      </c>
      <c r="G585" t="s">
        <v>608</v>
      </c>
      <c r="H585">
        <v>65</v>
      </c>
      <c r="I585">
        <v>4</v>
      </c>
      <c r="J585">
        <v>12</v>
      </c>
      <c r="K585" s="2" t="s">
        <v>33</v>
      </c>
      <c r="L585">
        <f>_xlfn.XLOOKUP("LOADINGSPEEDDEF_"&amp;PROPERTIES[[#This Row],[LOADINGSPEED]],LOADINGSPEEDDEF[TYPE],LOADINGSPEEDDEF[SPEED])</f>
        <v>20</v>
      </c>
      <c r="M585" t="s">
        <v>21</v>
      </c>
      <c r="N585">
        <v>0</v>
      </c>
      <c r="O585" s="34">
        <v>50</v>
      </c>
      <c r="P585">
        <v>0</v>
      </c>
      <c r="Q585">
        <v>140</v>
      </c>
      <c r="R585" s="31">
        <v>0</v>
      </c>
      <c r="S585" s="30">
        <f>IFERROR(PROPERTIES[[#This Row],[TE_STARTING_KN]]/(PROPERTIES[[#This Row],[WEIGHT]]*9.81),0)</f>
        <v>0</v>
      </c>
      <c r="T585" s="30">
        <v>0.3</v>
      </c>
      <c r="U585" s="27">
        <f>ROUND(IF(IFERROR(PROPERTIES[[#This Row],[TE_COEFFICIENT_CALC]],0)=0,PROPERTIES[[#This Row],[TE_COEFFICIENT_MANUAL]],PROPERTIES[[#This Row],[TE_COEFFICIENT_CALC]]),3)</f>
        <v>0.3</v>
      </c>
      <c r="V585" s="6">
        <v>25</v>
      </c>
      <c r="W585" s="10">
        <v>0</v>
      </c>
      <c r="X585" s="10">
        <v>0</v>
      </c>
      <c r="Y585" s="10"/>
      <c r="Z585" t="str">
        <f>"RUNNING_COST_"&amp;IF(PROPERTIES[[#This Row],[ENGINE_CLASS]]="MAGLEV","ELECTRIC",PROPERTIES[[#This Row],[ENGINE_CLASS]])</f>
        <v>RUNNING_COST_ELECTRIC</v>
      </c>
      <c r="AA585" s="10" t="s">
        <v>1016</v>
      </c>
      <c r="AB585" s="10" t="s">
        <v>1017</v>
      </c>
      <c r="AC585" s="10" t="str">
        <f>SUBSTITUTE(SUBSTITUTE(PROPERTIES[[#This Row],[PURCHASECOST_VALUE]], "PURCHASECOST_", ""), "_VALUE", "")</f>
        <v>WAGON</v>
      </c>
      <c r="AD585" s="2" t="b">
        <v>0</v>
      </c>
      <c r="AV585"/>
      <c r="AW585"/>
      <c r="AX585"/>
    </row>
    <row r="586" spans="1:50">
      <c r="A586" s="2" t="s">
        <v>906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19</v>
      </c>
      <c r="G586" t="s">
        <v>609</v>
      </c>
      <c r="H586">
        <v>105</v>
      </c>
      <c r="I586">
        <v>8</v>
      </c>
      <c r="J586">
        <v>8</v>
      </c>
      <c r="K586" s="2" t="s">
        <v>33</v>
      </c>
      <c r="L586">
        <f>_xlfn.XLOOKUP("LOADINGSPEEDDEF_"&amp;PROPERTIES[[#This Row],[LOADINGSPEED]],LOADINGSPEEDDEF[TYPE],LOADINGSPEEDDEF[SPEED])</f>
        <v>20</v>
      </c>
      <c r="M586" t="s">
        <v>21</v>
      </c>
      <c r="N586">
        <v>0</v>
      </c>
      <c r="O586" s="34">
        <v>24</v>
      </c>
      <c r="P586">
        <v>0</v>
      </c>
      <c r="Q586">
        <v>160</v>
      </c>
      <c r="R586" s="31">
        <v>0</v>
      </c>
      <c r="S586" s="30">
        <f>IFERROR(PROPERTIES[[#This Row],[TE_STARTING_KN]]/(PROPERTIES[[#This Row],[WEIGHT]]*9.81),0)</f>
        <v>0</v>
      </c>
      <c r="T586" s="30">
        <v>0.3</v>
      </c>
      <c r="U586" s="27">
        <f>ROUND(IF(IFERROR(PROPERTIES[[#This Row],[TE_COEFFICIENT_CALC]],0)=0,PROPERTIES[[#This Row],[TE_COEFFICIENT_MANUAL]],PROPERTIES[[#This Row],[TE_COEFFICIENT_CALC]]),3)</f>
        <v>0.3</v>
      </c>
      <c r="V586" s="6">
        <v>25</v>
      </c>
      <c r="W586" s="10">
        <v>0</v>
      </c>
      <c r="X586" s="10">
        <v>0</v>
      </c>
      <c r="Y586" s="10"/>
      <c r="Z586" t="str">
        <f>"RUNNING_COST_"&amp;IF(PROPERTIES[[#This Row],[ENGINE_CLASS]]="MAGLEV","ELECTRIC",PROPERTIES[[#This Row],[ENGINE_CLASS]])</f>
        <v>RUNNING_COST_ELECTRIC</v>
      </c>
      <c r="AA586" s="10" t="s">
        <v>1016</v>
      </c>
      <c r="AB586" s="10" t="s">
        <v>1017</v>
      </c>
      <c r="AC586" s="10" t="str">
        <f>SUBSTITUTE(SUBSTITUTE(PROPERTIES[[#This Row],[PURCHASECOST_VALUE]], "PURCHASECOST_", ""), "_VALUE", "")</f>
        <v>WAGON</v>
      </c>
      <c r="AD586" s="2" t="b">
        <v>0</v>
      </c>
      <c r="AV586"/>
      <c r="AW586"/>
      <c r="AX586"/>
    </row>
    <row r="587" spans="1:50">
      <c r="A587" s="2" t="s">
        <v>610</v>
      </c>
      <c r="B587">
        <v>1990</v>
      </c>
      <c r="C587">
        <v>0</v>
      </c>
      <c r="D587" t="s">
        <v>1910</v>
      </c>
      <c r="E587" t="str">
        <f>_xlfn.XLOOKUP(PROPERTIES[[#This Row],[COUNTRY]],COUNTRIES[COUNTRY_DESCRIPTION],COUNTRIES[COUNTRY_LABEL],"")</f>
        <v>JP</v>
      </c>
      <c r="F587" t="s">
        <v>35</v>
      </c>
      <c r="G587" t="s">
        <v>18</v>
      </c>
      <c r="H587">
        <v>151</v>
      </c>
      <c r="I587">
        <v>7</v>
      </c>
      <c r="J587">
        <v>7</v>
      </c>
      <c r="K587" s="2" t="s">
        <v>24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4">
        <v>32</v>
      </c>
      <c r="P587">
        <v>400</v>
      </c>
      <c r="Q587">
        <v>110</v>
      </c>
      <c r="R587" s="31">
        <v>65</v>
      </c>
      <c r="S587" s="30">
        <f>IFERROR(PROPERTIES[[#This Row],[TE_STARTING_KN]]/(PROPERTIES[[#This Row],[WEIGHT]]*9.81),0)</f>
        <v>0.207059123343527</v>
      </c>
      <c r="T587" s="30">
        <v>0.34</v>
      </c>
      <c r="U587" s="27">
        <f>ROUND(IF(IFERROR(PROPERTIES[[#This Row],[TE_COEFFICIENT_CALC]],0)=0,PROPERTIES[[#This Row],[TE_COEFFICIENT_MANUAL]],PROPERTIES[[#This Row],[TE_COEFFICIENT_CALC]]),3)</f>
        <v>0.20699999999999999</v>
      </c>
      <c r="V587" s="6">
        <v>15</v>
      </c>
      <c r="W587" s="10">
        <v>0</v>
      </c>
      <c r="X587" s="10">
        <v>0</v>
      </c>
      <c r="Y587" s="10"/>
      <c r="Z587" t="str">
        <f>"RUNNING_COST_"&amp;IF(PROPERTIES[[#This Row],[ENGINE_CLASS]]="MAGLEV","ELECTRIC",PROPERTIES[[#This Row],[ENGINE_CLASS]])</f>
        <v>RUNNING_COST_DIESEL</v>
      </c>
      <c r="AA587" s="10" t="s">
        <v>994</v>
      </c>
      <c r="AB587" s="10" t="s">
        <v>995</v>
      </c>
      <c r="AC587" s="10" t="str">
        <f>SUBSTITUTE(SUBSTITUTE(PROPERTIES[[#This Row],[PURCHASECOST_VALUE]], "PURCHASECOST_", ""), "_VALUE", "")</f>
        <v>DIESELRAILBUS</v>
      </c>
      <c r="AD587" s="2" t="b">
        <v>0</v>
      </c>
      <c r="AV587"/>
      <c r="AW587"/>
      <c r="AX587"/>
    </row>
    <row r="588" spans="1:50">
      <c r="A588" s="2" t="s">
        <v>611</v>
      </c>
      <c r="B588">
        <v>2008</v>
      </c>
      <c r="C588">
        <v>0</v>
      </c>
      <c r="D588" t="s">
        <v>1910</v>
      </c>
      <c r="E588" t="str">
        <f>_xlfn.XLOOKUP(PROPERTIES[[#This Row],[COUNTRY]],COUNTRIES[COUNTRY_DESCRIPTION],COUNTRIES[COUNTRY_LABEL],"")</f>
        <v>JP</v>
      </c>
      <c r="F588" t="s">
        <v>35</v>
      </c>
      <c r="G588" t="s">
        <v>18</v>
      </c>
      <c r="H588">
        <v>114</v>
      </c>
      <c r="I588">
        <v>8</v>
      </c>
      <c r="J588">
        <v>8</v>
      </c>
      <c r="K588" s="2" t="s">
        <v>24</v>
      </c>
      <c r="L588">
        <f>_xlfn.XLOOKUP("LOADINGSPEEDDEF_"&amp;PROPERTIES[[#This Row],[LOADINGSPEED]],LOADINGSPEEDDEF[TYPE],LOADINGSPEEDDEF[SPEED])</f>
        <v>40</v>
      </c>
      <c r="M588" t="s">
        <v>21</v>
      </c>
      <c r="N588">
        <v>1</v>
      </c>
      <c r="O588" s="34">
        <v>39</v>
      </c>
      <c r="P588">
        <v>444</v>
      </c>
      <c r="Q588">
        <v>100</v>
      </c>
      <c r="R588" s="31">
        <v>60</v>
      </c>
      <c r="S588" s="30">
        <f>IFERROR(PROPERTIES[[#This Row],[TE_STARTING_KN]]/(PROPERTIES[[#This Row],[WEIGHT]]*9.81),0)</f>
        <v>0.15682584489923937</v>
      </c>
      <c r="T588" s="30">
        <v>0.26</v>
      </c>
      <c r="U588" s="27">
        <f>ROUND(IF(IFERROR(PROPERTIES[[#This Row],[TE_COEFFICIENT_CALC]],0)=0,PROPERTIES[[#This Row],[TE_COEFFICIENT_MANUAL]],PROPERTIES[[#This Row],[TE_COEFFICIENT_CALC]]),3)</f>
        <v>0.157</v>
      </c>
      <c r="V588" s="6">
        <v>15</v>
      </c>
      <c r="W588" s="10">
        <v>0</v>
      </c>
      <c r="X588" s="10">
        <v>0</v>
      </c>
      <c r="Y588" s="10"/>
      <c r="Z588" t="str">
        <f>"RUNNING_COST_"&amp;IF(PROPERTIES[[#This Row],[ENGINE_CLASS]]="MAGLEV","ELECTRIC",PROPERTIES[[#This Row],[ENGINE_CLASS]])</f>
        <v>RUNNING_COST_DIESEL</v>
      </c>
      <c r="AA588" s="10" t="s">
        <v>994</v>
      </c>
      <c r="AB588" s="10" t="s">
        <v>995</v>
      </c>
      <c r="AC588" s="10" t="str">
        <f>SUBSTITUTE(SUBSTITUTE(PROPERTIES[[#This Row],[PURCHASECOST_VALUE]], "PURCHASECOST_", ""), "_VALUE", "")</f>
        <v>DIESELRAILBUS</v>
      </c>
      <c r="AD588" s="2" t="b">
        <v>0</v>
      </c>
      <c r="AV588"/>
      <c r="AW588"/>
      <c r="AX588"/>
    </row>
    <row r="589" spans="1:50">
      <c r="A589" s="2" t="s">
        <v>612</v>
      </c>
      <c r="B589">
        <v>1961</v>
      </c>
      <c r="C589">
        <v>0</v>
      </c>
      <c r="D589" t="s">
        <v>1843</v>
      </c>
      <c r="E589" t="str">
        <f>_xlfn.XLOOKUP(PROPERTIES[[#This Row],[COUNTRY]],COUNTRIES[COUNTRY_DESCRIPTION],COUNTRIES[COUNTRY_LABEL],"")</f>
        <v>CL</v>
      </c>
      <c r="F589" t="s">
        <v>35</v>
      </c>
      <c r="G589" t="s">
        <v>18</v>
      </c>
      <c r="H589">
        <v>40</v>
      </c>
      <c r="I589">
        <v>8</v>
      </c>
      <c r="J589">
        <v>8</v>
      </c>
      <c r="K589" s="2" t="s">
        <v>24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4">
        <v>20</v>
      </c>
      <c r="P589">
        <v>180</v>
      </c>
      <c r="Q589">
        <v>60</v>
      </c>
      <c r="R589" s="31">
        <v>22</v>
      </c>
      <c r="S589" s="30">
        <f>IFERROR(PROPERTIES[[#This Row],[TE_STARTING_KN]]/(PROPERTIES[[#This Row],[WEIGHT]]*9.81),0)</f>
        <v>0.11213047910295616</v>
      </c>
      <c r="T589" s="30">
        <v>0.22</v>
      </c>
      <c r="U589" s="27">
        <f>ROUND(IF(IFERROR(PROPERTIES[[#This Row],[TE_COEFFICIENT_CALC]],0)=0,PROPERTIES[[#This Row],[TE_COEFFICIENT_MANUAL]],PROPERTIES[[#This Row],[TE_COEFFICIENT_CALC]]),3)</f>
        <v>0.112</v>
      </c>
      <c r="V589" s="6">
        <v>15</v>
      </c>
      <c r="W589" s="10">
        <v>0</v>
      </c>
      <c r="X589" s="10">
        <v>0</v>
      </c>
      <c r="Y589" s="10"/>
      <c r="Z589" t="str">
        <f>"RUNNING_COST_"&amp;IF(PROPERTIES[[#This Row],[ENGINE_CLASS]]="MAGLEV","ELECTRIC",PROPERTIES[[#This Row],[ENGINE_CLASS]])</f>
        <v>RUNNING_COST_DIESEL</v>
      </c>
      <c r="AA589" s="10" t="s">
        <v>994</v>
      </c>
      <c r="AB589" s="10" t="s">
        <v>995</v>
      </c>
      <c r="AC589" s="10" t="str">
        <f>SUBSTITUTE(SUBSTITUTE(PROPERTIES[[#This Row],[PURCHASECOST_VALUE]], "PURCHASECOST_", ""), "_VALUE", "")</f>
        <v>DIESELRAILBUS</v>
      </c>
      <c r="AD589" s="2" t="b">
        <v>0</v>
      </c>
      <c r="AV589"/>
      <c r="AW589"/>
      <c r="AX589"/>
    </row>
    <row r="590" spans="1:50">
      <c r="A590" s="2" t="s">
        <v>613</v>
      </c>
      <c r="B590">
        <v>1935</v>
      </c>
      <c r="C590">
        <v>0</v>
      </c>
      <c r="D590" t="s">
        <v>1807</v>
      </c>
      <c r="E590" t="str">
        <f>_xlfn.XLOOKUP(PROPERTIES[[#This Row],[COUNTRY]],COUNTRIES[COUNTRY_DESCRIPTION],COUNTRIES[COUNTRY_LABEL],"")</f>
        <v>AR</v>
      </c>
      <c r="F590" t="s">
        <v>35</v>
      </c>
      <c r="G590" t="s">
        <v>18</v>
      </c>
      <c r="H590">
        <v>40</v>
      </c>
      <c r="I590">
        <v>7</v>
      </c>
      <c r="J590">
        <v>7</v>
      </c>
      <c r="K590" s="2" t="s">
        <v>24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4">
        <v>37</v>
      </c>
      <c r="P590">
        <v>270</v>
      </c>
      <c r="Q590">
        <v>80</v>
      </c>
      <c r="R590" s="31">
        <v>42</v>
      </c>
      <c r="S590" s="30">
        <f>IFERROR(PROPERTIES[[#This Row],[TE_STARTING_KN]]/(PROPERTIES[[#This Row],[WEIGHT]]*9.81),0)</f>
        <v>0.11571204231754689</v>
      </c>
      <c r="T590" s="30">
        <v>0.14000000000000001</v>
      </c>
      <c r="U590" s="27">
        <f>ROUND(IF(IFERROR(PROPERTIES[[#This Row],[TE_COEFFICIENT_CALC]],0)=0,PROPERTIES[[#This Row],[TE_COEFFICIENT_MANUAL]],PROPERTIES[[#This Row],[TE_COEFFICIENT_CALC]]),3)</f>
        <v>0.11600000000000001</v>
      </c>
      <c r="V590" s="6">
        <v>15</v>
      </c>
      <c r="W590" s="10">
        <v>0</v>
      </c>
      <c r="X590" s="10">
        <v>0</v>
      </c>
      <c r="Y590" s="10"/>
      <c r="Z590" t="str">
        <f>"RUNNING_COST_"&amp;IF(PROPERTIES[[#This Row],[ENGINE_CLASS]]="MAGLEV","ELECTRIC",PROPERTIES[[#This Row],[ENGINE_CLASS]])</f>
        <v>RUNNING_COST_DIESEL</v>
      </c>
      <c r="AA590" s="10" t="s">
        <v>994</v>
      </c>
      <c r="AB590" s="10" t="s">
        <v>995</v>
      </c>
      <c r="AC590" s="10" t="str">
        <f>SUBSTITUTE(SUBSTITUTE(PROPERTIES[[#This Row],[PURCHASECOST_VALUE]], "PURCHASECOST_", ""), "_VALUE", "")</f>
        <v>DIESELRAILBUS</v>
      </c>
      <c r="AD590" s="2" t="b">
        <v>0</v>
      </c>
      <c r="AV590"/>
      <c r="AW590"/>
      <c r="AX590"/>
    </row>
    <row r="591" spans="1:50">
      <c r="A591" s="2" t="s">
        <v>614</v>
      </c>
      <c r="B591">
        <v>1937</v>
      </c>
      <c r="C591">
        <v>0</v>
      </c>
      <c r="D591" t="s">
        <v>1864</v>
      </c>
      <c r="E591" t="str">
        <f>_xlfn.XLOOKUP(PROPERTIES[[#This Row],[COUNTRY]],COUNTRIES[COUNTRY_DESCRIPTION],COUNTRIES[COUNTRY_LABEL],"")</f>
        <v>ER</v>
      </c>
      <c r="F591" t="s">
        <v>35</v>
      </c>
      <c r="G591" t="s">
        <v>18</v>
      </c>
      <c r="H591">
        <v>62</v>
      </c>
      <c r="I591">
        <v>7</v>
      </c>
      <c r="J591">
        <v>7</v>
      </c>
      <c r="K591" s="2" t="s">
        <v>24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4">
        <v>24</v>
      </c>
      <c r="P591">
        <v>290</v>
      </c>
      <c r="Q591">
        <v>80</v>
      </c>
      <c r="R591" s="31">
        <v>32</v>
      </c>
      <c r="S591" s="30">
        <f>IFERROR(PROPERTIES[[#This Row],[TE_STARTING_KN]]/(PROPERTIES[[#This Row],[WEIGHT]]*9.81),0)</f>
        <v>0.13591573224600748</v>
      </c>
      <c r="T591" s="30">
        <v>0.26</v>
      </c>
      <c r="U591" s="27">
        <f>ROUND(IF(IFERROR(PROPERTIES[[#This Row],[TE_COEFFICIENT_CALC]],0)=0,PROPERTIES[[#This Row],[TE_COEFFICIENT_MANUAL]],PROPERTIES[[#This Row],[TE_COEFFICIENT_CALC]]),3)</f>
        <v>0.13600000000000001</v>
      </c>
      <c r="V591" s="6">
        <v>15</v>
      </c>
      <c r="W591" s="10">
        <v>0</v>
      </c>
      <c r="X591" s="10">
        <v>0</v>
      </c>
      <c r="Y591" s="10"/>
      <c r="Z591" t="str">
        <f>"RUNNING_COST_"&amp;IF(PROPERTIES[[#This Row],[ENGINE_CLASS]]="MAGLEV","ELECTRIC",PROPERTIES[[#This Row],[ENGINE_CLASS]])</f>
        <v>RUNNING_COST_DIESEL</v>
      </c>
      <c r="AA591" s="10" t="s">
        <v>994</v>
      </c>
      <c r="AB591" s="10" t="s">
        <v>995</v>
      </c>
      <c r="AC591" s="10" t="str">
        <f>SUBSTITUTE(SUBSTITUTE(PROPERTIES[[#This Row],[PURCHASECOST_VALUE]], "PURCHASECOST_", ""), "_VALUE", "")</f>
        <v>DIESELRAILBUS</v>
      </c>
      <c r="AD591" s="2" t="b">
        <v>0</v>
      </c>
      <c r="AV591"/>
      <c r="AW591"/>
      <c r="AX591"/>
    </row>
    <row r="592" spans="1:50">
      <c r="A592" s="2" t="s">
        <v>615</v>
      </c>
      <c r="B592">
        <v>1911</v>
      </c>
      <c r="C592">
        <v>0</v>
      </c>
      <c r="D592" t="s">
        <v>1840</v>
      </c>
      <c r="E592" t="str">
        <f>_xlfn.XLOOKUP(PROPERTIES[[#This Row],[COUNTRY]],COUNTRIES[COUNTRY_DESCRIPTION],COUNTRIES[COUNTRY_LABEL],"")</f>
        <v>CH</v>
      </c>
      <c r="F592" t="s">
        <v>74</v>
      </c>
      <c r="G592" t="s">
        <v>18</v>
      </c>
      <c r="H592">
        <v>32</v>
      </c>
      <c r="I592">
        <v>6</v>
      </c>
      <c r="J592">
        <v>6</v>
      </c>
      <c r="K592" s="2" t="s">
        <v>24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4">
        <v>34</v>
      </c>
      <c r="P592">
        <v>340</v>
      </c>
      <c r="Q592">
        <v>35</v>
      </c>
      <c r="R592" s="31">
        <v>78</v>
      </c>
      <c r="S592" s="30">
        <f>IFERROR(PROPERTIES[[#This Row],[TE_STARTING_KN]]/(PROPERTIES[[#This Row],[WEIGHT]]*9.81),0)</f>
        <v>0.23385500989386579</v>
      </c>
      <c r="T592" s="30">
        <v>0.15</v>
      </c>
      <c r="U592" s="27">
        <f>ROUND(IF(IFERROR(PROPERTIES[[#This Row],[TE_COEFFICIENT_CALC]],0)=0,PROPERTIES[[#This Row],[TE_COEFFICIENT_MANUAL]],PROPERTIES[[#This Row],[TE_COEFFICIENT_CALC]]),3)</f>
        <v>0.23400000000000001</v>
      </c>
      <c r="V592" s="6">
        <v>15</v>
      </c>
      <c r="W592" s="10">
        <v>0</v>
      </c>
      <c r="X592" s="10">
        <v>0</v>
      </c>
      <c r="Y592" s="10"/>
      <c r="Z592" t="str">
        <f>"RUNNING_COST_"&amp;IF(PROPERTIES[[#This Row],[ENGINE_CLASS]]="MAGLEV","ELECTRIC",PROPERTIES[[#This Row],[ENGINE_CLASS]])</f>
        <v>RUNNING_COST_ELECTRIC</v>
      </c>
      <c r="AA592" s="10" t="s">
        <v>996</v>
      </c>
      <c r="AB592" s="10" t="s">
        <v>997</v>
      </c>
      <c r="AC592" s="10" t="str">
        <f>SUBSTITUTE(SUBSTITUTE(PROPERTIES[[#This Row],[PURCHASECOST_VALUE]], "PURCHASECOST_", ""), "_VALUE", "")</f>
        <v>ELECTRICRAILBUS</v>
      </c>
      <c r="AD592" s="2" t="b">
        <v>0</v>
      </c>
      <c r="AV592"/>
      <c r="AW592"/>
      <c r="AX592"/>
    </row>
    <row r="593" spans="1:50">
      <c r="A593" s="2" t="s">
        <v>616</v>
      </c>
      <c r="B593">
        <v>1907</v>
      </c>
      <c r="C593">
        <v>0</v>
      </c>
      <c r="D593" t="s">
        <v>1840</v>
      </c>
      <c r="E593" t="str">
        <f>_xlfn.XLOOKUP(PROPERTIES[[#This Row],[COUNTRY]],COUNTRIES[COUNTRY_DESCRIPTION],COUNTRIES[COUNTRY_LABEL],"")</f>
        <v>CH</v>
      </c>
      <c r="F593" t="s">
        <v>74</v>
      </c>
      <c r="G593" t="s">
        <v>18</v>
      </c>
      <c r="H593">
        <v>20</v>
      </c>
      <c r="I593">
        <v>4</v>
      </c>
      <c r="J593">
        <v>4</v>
      </c>
      <c r="K593" s="2" t="s">
        <v>24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4">
        <v>15</v>
      </c>
      <c r="P593">
        <v>320</v>
      </c>
      <c r="Q593">
        <v>25</v>
      </c>
      <c r="R593" s="31">
        <v>45</v>
      </c>
      <c r="S593" s="30">
        <f>IFERROR(PROPERTIES[[#This Row],[TE_STARTING_KN]]/(PROPERTIES[[#This Row],[WEIGHT]]*9.81),0)</f>
        <v>0.3058103975535168</v>
      </c>
      <c r="T593" s="30">
        <v>0.33</v>
      </c>
      <c r="U593" s="27">
        <f>ROUND(IF(IFERROR(PROPERTIES[[#This Row],[TE_COEFFICIENT_CALC]],0)=0,PROPERTIES[[#This Row],[TE_COEFFICIENT_MANUAL]],PROPERTIES[[#This Row],[TE_COEFFICIENT_CALC]]),3)</f>
        <v>0.30599999999999999</v>
      </c>
      <c r="V593" s="6">
        <v>15</v>
      </c>
      <c r="W593" s="10">
        <v>0</v>
      </c>
      <c r="X593" s="10">
        <v>0</v>
      </c>
      <c r="Y593" s="10"/>
      <c r="Z593" t="str">
        <f>"RUNNING_COST_"&amp;IF(PROPERTIES[[#This Row],[ENGINE_CLASS]]="MAGLEV","ELECTRIC",PROPERTIES[[#This Row],[ENGINE_CLASS]])</f>
        <v>RUNNING_COST_ELECTRIC</v>
      </c>
      <c r="AA593" s="10" t="s">
        <v>996</v>
      </c>
      <c r="AB593" s="10" t="s">
        <v>997</v>
      </c>
      <c r="AC593" s="10" t="str">
        <f>SUBSTITUTE(SUBSTITUTE(PROPERTIES[[#This Row],[PURCHASECOST_VALUE]], "PURCHASECOST_", ""), "_VALUE", "")</f>
        <v>ELECTRICRAILBUS</v>
      </c>
      <c r="AD593" s="2" t="b">
        <v>0</v>
      </c>
      <c r="AV593"/>
      <c r="AW593"/>
      <c r="AX593"/>
    </row>
    <row r="594" spans="1:50">
      <c r="A594" s="2" t="s">
        <v>617</v>
      </c>
      <c r="B594">
        <v>1998</v>
      </c>
      <c r="C594">
        <v>0</v>
      </c>
      <c r="D594" t="s">
        <v>1840</v>
      </c>
      <c r="E594" t="str">
        <f>_xlfn.XLOOKUP(PROPERTIES[[#This Row],[COUNTRY]],COUNTRIES[COUNTRY_DESCRIPTION],COUNTRIES[COUNTRY_LABEL],"")</f>
        <v>CH</v>
      </c>
      <c r="F594" t="s">
        <v>74</v>
      </c>
      <c r="G594" t="s">
        <v>18</v>
      </c>
      <c r="H594">
        <v>52</v>
      </c>
      <c r="I594">
        <v>8</v>
      </c>
      <c r="J594">
        <v>8</v>
      </c>
      <c r="K594" s="2" t="s">
        <v>24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4">
        <v>32</v>
      </c>
      <c r="P594">
        <v>574</v>
      </c>
      <c r="Q594">
        <v>50</v>
      </c>
      <c r="R594" s="31">
        <v>110</v>
      </c>
      <c r="S594" s="30">
        <f>IFERROR(PROPERTIES[[#This Row],[TE_STARTING_KN]]/(PROPERTIES[[#This Row],[WEIGHT]]*9.81),0)</f>
        <v>0.35040774719673801</v>
      </c>
      <c r="T594" s="30">
        <v>0.27</v>
      </c>
      <c r="U594" s="27">
        <f>ROUND(IF(IFERROR(PROPERTIES[[#This Row],[TE_COEFFICIENT_CALC]],0)=0,PROPERTIES[[#This Row],[TE_COEFFICIENT_MANUAL]],PROPERTIES[[#This Row],[TE_COEFFICIENT_CALC]]),3)</f>
        <v>0.35</v>
      </c>
      <c r="V594" s="6">
        <v>15</v>
      </c>
      <c r="W594" s="10">
        <v>0</v>
      </c>
      <c r="X594" s="10">
        <v>0</v>
      </c>
      <c r="Y594" s="10"/>
      <c r="Z594" t="str">
        <f>"RUNNING_COST_"&amp;IF(PROPERTIES[[#This Row],[ENGINE_CLASS]]="MAGLEV","ELECTRIC",PROPERTIES[[#This Row],[ENGINE_CLASS]])</f>
        <v>RUNNING_COST_ELECTRIC</v>
      </c>
      <c r="AA594" s="10" t="s">
        <v>996</v>
      </c>
      <c r="AB594" s="10" t="s">
        <v>997</v>
      </c>
      <c r="AC594" s="10" t="str">
        <f>SUBSTITUTE(SUBSTITUTE(PROPERTIES[[#This Row],[PURCHASECOST_VALUE]], "PURCHASECOST_", ""), "_VALUE", "")</f>
        <v>ELECTRICRAILBUS</v>
      </c>
      <c r="AD594" s="2" t="b">
        <v>0</v>
      </c>
      <c r="AV594"/>
      <c r="AW594"/>
      <c r="AX594"/>
    </row>
    <row r="595" spans="1:50">
      <c r="A595" s="2" t="s">
        <v>618</v>
      </c>
      <c r="B595">
        <v>1929</v>
      </c>
      <c r="C595">
        <v>0</v>
      </c>
      <c r="D595" t="s">
        <v>1865</v>
      </c>
      <c r="E595" t="str">
        <f>_xlfn.XLOOKUP(PROPERTIES[[#This Row],[COUNTRY]],COUNTRIES[COUNTRY_DESCRIPTION],COUNTRIES[COUNTRY_LABEL],"")</f>
        <v>ES</v>
      </c>
      <c r="F595" t="s">
        <v>74</v>
      </c>
      <c r="G595" t="s">
        <v>18</v>
      </c>
      <c r="H595">
        <v>36</v>
      </c>
      <c r="I595">
        <v>6</v>
      </c>
      <c r="J595">
        <v>6</v>
      </c>
      <c r="K595" s="2" t="s">
        <v>24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4">
        <v>33</v>
      </c>
      <c r="P595">
        <v>350</v>
      </c>
      <c r="Q595">
        <v>45</v>
      </c>
      <c r="R595" s="31">
        <v>52</v>
      </c>
      <c r="S595" s="30">
        <f>IFERROR(PROPERTIES[[#This Row],[TE_STARTING_KN]]/(PROPERTIES[[#This Row],[WEIGHT]]*9.81),0)</f>
        <v>0.16062768356346338</v>
      </c>
      <c r="T595" s="30">
        <v>0.05</v>
      </c>
      <c r="U595" s="27">
        <f>ROUND(IF(IFERROR(PROPERTIES[[#This Row],[TE_COEFFICIENT_CALC]],0)=0,PROPERTIES[[#This Row],[TE_COEFFICIENT_MANUAL]],PROPERTIES[[#This Row],[TE_COEFFICIENT_CALC]]),3)</f>
        <v>0.161</v>
      </c>
      <c r="V595" s="6">
        <v>15</v>
      </c>
      <c r="W595" s="10">
        <v>0</v>
      </c>
      <c r="X595" s="10">
        <v>0</v>
      </c>
      <c r="Y595" s="10"/>
      <c r="Z595" t="str">
        <f>"RUNNING_COST_"&amp;IF(PROPERTIES[[#This Row],[ENGINE_CLASS]]="MAGLEV","ELECTRIC",PROPERTIES[[#This Row],[ENGINE_CLASS]])</f>
        <v>RUNNING_COST_ELECTRIC</v>
      </c>
      <c r="AA595" s="10" t="s">
        <v>996</v>
      </c>
      <c r="AB595" s="10" t="s">
        <v>997</v>
      </c>
      <c r="AC595" s="10" t="str">
        <f>SUBSTITUTE(SUBSTITUTE(PROPERTIES[[#This Row],[PURCHASECOST_VALUE]], "PURCHASECOST_", ""), "_VALUE", "")</f>
        <v>ELECTRICRAILBUS</v>
      </c>
      <c r="AD595" s="2" t="b">
        <v>0</v>
      </c>
      <c r="AV595"/>
      <c r="AW595"/>
      <c r="AX595"/>
    </row>
    <row r="596" spans="1:50">
      <c r="A596" s="2" t="s">
        <v>619</v>
      </c>
      <c r="B596">
        <v>1960</v>
      </c>
      <c r="C596">
        <v>0</v>
      </c>
      <c r="D596" t="s">
        <v>1910</v>
      </c>
      <c r="E596" t="str">
        <f>_xlfn.XLOOKUP(PROPERTIES[[#This Row],[COUNTRY]],COUNTRIES[COUNTRY_DESCRIPTION],COUNTRIES[COUNTRY_LABEL],"")</f>
        <v>JP</v>
      </c>
      <c r="F596" t="s">
        <v>74</v>
      </c>
      <c r="G596" t="s">
        <v>18</v>
      </c>
      <c r="H596">
        <v>34</v>
      </c>
      <c r="I596">
        <v>7</v>
      </c>
      <c r="J596">
        <v>7</v>
      </c>
      <c r="K596" s="2" t="s">
        <v>24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4">
        <v>31</v>
      </c>
      <c r="P596">
        <v>402</v>
      </c>
      <c r="Q596">
        <v>40</v>
      </c>
      <c r="R596" s="31">
        <v>54</v>
      </c>
      <c r="S596" s="30">
        <f>IFERROR(PROPERTIES[[#This Row],[TE_STARTING_KN]]/(PROPERTIES[[#This Row],[WEIGHT]]*9.81),0)</f>
        <v>0.17756732761171942</v>
      </c>
      <c r="T596" s="30">
        <v>0.18</v>
      </c>
      <c r="U596" s="27">
        <f>ROUND(IF(IFERROR(PROPERTIES[[#This Row],[TE_COEFFICIENT_CALC]],0)=0,PROPERTIES[[#This Row],[TE_COEFFICIENT_MANUAL]],PROPERTIES[[#This Row],[TE_COEFFICIENT_CALC]]),3)</f>
        <v>0.17799999999999999</v>
      </c>
      <c r="V596" s="6">
        <v>15</v>
      </c>
      <c r="W596" s="10">
        <v>0</v>
      </c>
      <c r="X596" s="10">
        <v>0</v>
      </c>
      <c r="Y596" s="10"/>
      <c r="Z596" t="str">
        <f>"RUNNING_COST_"&amp;IF(PROPERTIES[[#This Row],[ENGINE_CLASS]]="MAGLEV","ELECTRIC",PROPERTIES[[#This Row],[ENGINE_CLASS]])</f>
        <v>RUNNING_COST_ELECTRIC</v>
      </c>
      <c r="AA596" s="10" t="s">
        <v>996</v>
      </c>
      <c r="AB596" s="10" t="s">
        <v>997</v>
      </c>
      <c r="AC596" s="10" t="str">
        <f>SUBSTITUTE(SUBSTITUTE(PROPERTIES[[#This Row],[PURCHASECOST_VALUE]], "PURCHASECOST_", ""), "_VALUE", "")</f>
        <v>ELECTRICRAILBUS</v>
      </c>
      <c r="AD596" s="2" t="b">
        <v>0</v>
      </c>
      <c r="AV596"/>
      <c r="AW596"/>
      <c r="AX596"/>
    </row>
    <row r="597" spans="1:50">
      <c r="A597" s="2" t="s">
        <v>620</v>
      </c>
      <c r="B597">
        <v>1889</v>
      </c>
      <c r="C597">
        <v>0</v>
      </c>
      <c r="D597" t="s">
        <v>1840</v>
      </c>
      <c r="E597" t="str">
        <f>_xlfn.XLOOKUP(PROPERTIES[[#This Row],[COUNTRY]],COUNTRIES[COUNTRY_DESCRIPTION],COUNTRIES[COUNTRY_LABEL],"")</f>
        <v>CH</v>
      </c>
      <c r="F597" t="s">
        <v>23</v>
      </c>
      <c r="G597" t="s">
        <v>18</v>
      </c>
      <c r="H597">
        <v>0</v>
      </c>
      <c r="I597">
        <v>6</v>
      </c>
      <c r="J597">
        <v>6</v>
      </c>
      <c r="K597" s="2" t="s">
        <v>20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4">
        <v>30</v>
      </c>
      <c r="P597">
        <v>247</v>
      </c>
      <c r="Q597">
        <v>45</v>
      </c>
      <c r="R597" s="31">
        <v>38</v>
      </c>
      <c r="S597" s="30">
        <f>IFERROR(PROPERTIES[[#This Row],[TE_STARTING_KN]]/(PROPERTIES[[#This Row],[WEIGHT]]*9.81),0)</f>
        <v>0.1291199456337071</v>
      </c>
      <c r="T597" s="30">
        <v>0.19</v>
      </c>
      <c r="U597" s="27">
        <f>ROUND(IF(IFERROR(PROPERTIES[[#This Row],[TE_COEFFICIENT_CALC]],0)=0,PROPERTIES[[#This Row],[TE_COEFFICIENT_MANUAL]],PROPERTIES[[#This Row],[TE_COEFFICIENT_CALC]]),3)</f>
        <v>0.129</v>
      </c>
      <c r="V597" s="6">
        <v>40</v>
      </c>
      <c r="W597" s="10">
        <v>0</v>
      </c>
      <c r="X597" s="10">
        <v>0</v>
      </c>
      <c r="Y597" s="10"/>
      <c r="Z597" t="str">
        <f>"RUNNING_COST_"&amp;IF(PROPERTIES[[#This Row],[ENGINE_CLASS]]="MAGLEV","ELECTRIC",PROPERTIES[[#This Row],[ENGINE_CLASS]])</f>
        <v>RUNNING_COST_STEAM</v>
      </c>
      <c r="AA597" s="10" t="s">
        <v>998</v>
      </c>
      <c r="AB597" s="10" t="s">
        <v>999</v>
      </c>
      <c r="AC597" s="10" t="str">
        <f>SUBSTITUTE(SUBSTITUTE(PROPERTIES[[#This Row],[PURCHASECOST_VALUE]], "PURCHASECOST_", ""), "_VALUE", "")</f>
        <v>STEAMENGINE</v>
      </c>
      <c r="AD597" s="2" t="b">
        <v>0</v>
      </c>
      <c r="AV597"/>
      <c r="AW597"/>
      <c r="AX597"/>
    </row>
    <row r="598" spans="1:50">
      <c r="A598" s="2" t="s">
        <v>621</v>
      </c>
      <c r="B598">
        <v>1948</v>
      </c>
      <c r="C598">
        <v>0</v>
      </c>
      <c r="D598" t="s">
        <v>1910</v>
      </c>
      <c r="E598" t="str">
        <f>_xlfn.XLOOKUP(PROPERTIES[[#This Row],[COUNTRY]],COUNTRIES[COUNTRY_DESCRIPTION],COUNTRIES[COUNTRY_LABEL],"")</f>
        <v>JP</v>
      </c>
      <c r="F598" t="s">
        <v>23</v>
      </c>
      <c r="G598" t="s">
        <v>18</v>
      </c>
      <c r="H598">
        <v>0</v>
      </c>
      <c r="I598">
        <v>7</v>
      </c>
      <c r="J598">
        <v>7</v>
      </c>
      <c r="K598" s="2" t="s">
        <v>20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4">
        <v>102</v>
      </c>
      <c r="P598">
        <v>1340</v>
      </c>
      <c r="Q598">
        <v>65</v>
      </c>
      <c r="R598" s="31">
        <v>213</v>
      </c>
      <c r="S598" s="30">
        <f>IFERROR(PROPERTIES[[#This Row],[TE_STARTING_KN]]/(PROPERTIES[[#This Row],[WEIGHT]]*9.81),0)</f>
        <v>0.21286802182646758</v>
      </c>
      <c r="T598" s="30">
        <v>0.21</v>
      </c>
      <c r="U598" s="27">
        <f>ROUND(IF(IFERROR(PROPERTIES[[#This Row],[TE_COEFFICIENT_CALC]],0)=0,PROPERTIES[[#This Row],[TE_COEFFICIENT_MANUAL]],PROPERTIES[[#This Row],[TE_COEFFICIENT_CALC]]),3)</f>
        <v>0.21299999999999999</v>
      </c>
      <c r="V598" s="6">
        <v>40</v>
      </c>
      <c r="W598" s="10">
        <v>0</v>
      </c>
      <c r="X598" s="10">
        <v>0</v>
      </c>
      <c r="Y598" s="10"/>
      <c r="Z598" t="str">
        <f>"RUNNING_COST_"&amp;IF(PROPERTIES[[#This Row],[ENGINE_CLASS]]="MAGLEV","ELECTRIC",PROPERTIES[[#This Row],[ENGINE_CLASS]])</f>
        <v>RUNNING_COST_STEAM</v>
      </c>
      <c r="AA598" s="10" t="s">
        <v>998</v>
      </c>
      <c r="AB598" s="10" t="s">
        <v>999</v>
      </c>
      <c r="AC598" s="10" t="str">
        <f>SUBSTITUTE(SUBSTITUTE(PROPERTIES[[#This Row],[PURCHASECOST_VALUE]], "PURCHASECOST_", ""), "_VALUE", "")</f>
        <v>STEAMENGINE</v>
      </c>
      <c r="AD598" s="2" t="b">
        <v>0</v>
      </c>
      <c r="AV598"/>
      <c r="AW598"/>
      <c r="AX598"/>
    </row>
    <row r="599" spans="1:50">
      <c r="A599" s="2" t="s">
        <v>622</v>
      </c>
      <c r="B599">
        <v>1880</v>
      </c>
      <c r="C599">
        <v>0</v>
      </c>
      <c r="D599" t="s">
        <v>1910</v>
      </c>
      <c r="E599" t="str">
        <f>_xlfn.XLOOKUP(PROPERTIES[[#This Row],[COUNTRY]],COUNTRIES[COUNTRY_DESCRIPTION],COUNTRIES[COUNTRY_LABEL],"")</f>
        <v>JP</v>
      </c>
      <c r="F599" t="s">
        <v>23</v>
      </c>
      <c r="G599" t="s">
        <v>20</v>
      </c>
      <c r="H599">
        <v>0</v>
      </c>
      <c r="I599">
        <v>5</v>
      </c>
      <c r="J599">
        <v>6</v>
      </c>
      <c r="K599" s="2" t="s">
        <v>24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4">
        <v>31</v>
      </c>
      <c r="P599">
        <v>200</v>
      </c>
      <c r="Q599">
        <v>36</v>
      </c>
      <c r="R599" s="31">
        <v>22</v>
      </c>
      <c r="S599" s="30">
        <f>IFERROR(PROPERTIES[[#This Row],[TE_STARTING_KN]]/(PROPERTIES[[#This Row],[WEIGHT]]*9.81),0)</f>
        <v>7.2342244582552367E-2</v>
      </c>
      <c r="T599" s="30">
        <v>7.0000000000000007E-2</v>
      </c>
      <c r="U599" s="27">
        <f>ROUND(IF(IFERROR(PROPERTIES[[#This Row],[TE_COEFFICIENT_CALC]],0)=0,PROPERTIES[[#This Row],[TE_COEFFICIENT_MANUAL]],PROPERTIES[[#This Row],[TE_COEFFICIENT_CALC]]),3)</f>
        <v>7.1999999999999995E-2</v>
      </c>
      <c r="V599" s="6">
        <v>40</v>
      </c>
      <c r="W599" s="10">
        <v>0</v>
      </c>
      <c r="X599" s="10">
        <v>3</v>
      </c>
      <c r="Y599" s="10"/>
      <c r="Z599" t="str">
        <f>"RUNNING_COST_"&amp;IF(PROPERTIES[[#This Row],[ENGINE_CLASS]]="MAGLEV","ELECTRIC",PROPERTIES[[#This Row],[ENGINE_CLASS]])</f>
        <v>RUNNING_COST_STEAM</v>
      </c>
      <c r="AA599" s="10" t="s">
        <v>998</v>
      </c>
      <c r="AB599" s="10" t="s">
        <v>999</v>
      </c>
      <c r="AC599" s="10" t="str">
        <f>SUBSTITUTE(SUBSTITUTE(PROPERTIES[[#This Row],[PURCHASECOST_VALUE]], "PURCHASECOST_", ""), "_VALUE", "")</f>
        <v>STEAMENGINE</v>
      </c>
      <c r="AD599" s="2" t="b">
        <v>0</v>
      </c>
      <c r="AV599"/>
      <c r="AW599"/>
      <c r="AX599"/>
    </row>
    <row r="600" spans="1:50">
      <c r="A600" s="2" t="s">
        <v>623</v>
      </c>
      <c r="B600">
        <v>1893</v>
      </c>
      <c r="C600">
        <v>0</v>
      </c>
      <c r="D600" t="s">
        <v>1910</v>
      </c>
      <c r="E600" t="str">
        <f>_xlfn.XLOOKUP(PROPERTIES[[#This Row],[COUNTRY]],COUNTRIES[COUNTRY_DESCRIPTION],COUNTRIES[COUNTRY_LABEL],"")</f>
        <v>JP</v>
      </c>
      <c r="F600" t="s">
        <v>23</v>
      </c>
      <c r="G600" t="s">
        <v>20</v>
      </c>
      <c r="H600">
        <v>0</v>
      </c>
      <c r="I600">
        <v>5</v>
      </c>
      <c r="J600">
        <v>5</v>
      </c>
      <c r="K600" s="2" t="s">
        <v>24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4">
        <v>32</v>
      </c>
      <c r="P600">
        <v>186</v>
      </c>
      <c r="Q600">
        <v>48</v>
      </c>
      <c r="R600" s="31">
        <v>48</v>
      </c>
      <c r="S600" s="30">
        <f>IFERROR(PROPERTIES[[#This Row],[TE_STARTING_KN]]/(PROPERTIES[[#This Row],[WEIGHT]]*9.81),0)</f>
        <v>0.1529051987767584</v>
      </c>
      <c r="T600" s="30">
        <v>0.15</v>
      </c>
      <c r="U600" s="27">
        <f>ROUND(IF(IFERROR(PROPERTIES[[#This Row],[TE_COEFFICIENT_CALC]],0)=0,PROPERTIES[[#This Row],[TE_COEFFICIENT_MANUAL]],PROPERTIES[[#This Row],[TE_COEFFICIENT_CALC]]),3)</f>
        <v>0.153</v>
      </c>
      <c r="V600" s="6">
        <v>40</v>
      </c>
      <c r="W600" s="10">
        <v>0</v>
      </c>
      <c r="X600" s="10">
        <v>0</v>
      </c>
      <c r="Y600" s="10"/>
      <c r="Z600" t="str">
        <f>"RUNNING_COST_"&amp;IF(PROPERTIES[[#This Row],[ENGINE_CLASS]]="MAGLEV","ELECTRIC",PROPERTIES[[#This Row],[ENGINE_CLASS]])</f>
        <v>RUNNING_COST_STEAM</v>
      </c>
      <c r="AA600" s="10" t="s">
        <v>998</v>
      </c>
      <c r="AB600" s="10" t="s">
        <v>999</v>
      </c>
      <c r="AC600" s="10" t="str">
        <f>SUBSTITUTE(SUBSTITUTE(PROPERTIES[[#This Row],[PURCHASECOST_VALUE]], "PURCHASECOST_", ""), "_VALUE", "")</f>
        <v>STEAMENGINE</v>
      </c>
      <c r="AD600" s="2" t="b">
        <v>0</v>
      </c>
      <c r="AV600"/>
      <c r="AW600"/>
      <c r="AX600"/>
    </row>
    <row r="601" spans="1:50">
      <c r="A601" s="2" t="s">
        <v>624</v>
      </c>
      <c r="B601">
        <v>1913</v>
      </c>
      <c r="C601">
        <v>0</v>
      </c>
      <c r="D601" t="s">
        <v>1910</v>
      </c>
      <c r="E601" t="str">
        <f>_xlfn.XLOOKUP(PROPERTIES[[#This Row],[COUNTRY]],COUNTRIES[COUNTRY_DESCRIPTION],COUNTRIES[COUNTRY_LABEL],"")</f>
        <v>JP</v>
      </c>
      <c r="F601" t="s">
        <v>23</v>
      </c>
      <c r="G601" t="s">
        <v>20</v>
      </c>
      <c r="H601">
        <v>0</v>
      </c>
      <c r="I601">
        <v>7</v>
      </c>
      <c r="J601">
        <v>8</v>
      </c>
      <c r="K601" s="2" t="s">
        <v>24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4">
        <v>95</v>
      </c>
      <c r="P601">
        <v>870</v>
      </c>
      <c r="Q601">
        <v>65</v>
      </c>
      <c r="R601" s="31">
        <v>139</v>
      </c>
      <c r="S601" s="30">
        <f>IFERROR(PROPERTIES[[#This Row],[TE_STARTING_KN]]/(PROPERTIES[[#This Row],[WEIGHT]]*9.81),0)</f>
        <v>0.14914963249101346</v>
      </c>
      <c r="T601" s="30">
        <v>0.15</v>
      </c>
      <c r="U601" s="27">
        <f>ROUND(IF(IFERROR(PROPERTIES[[#This Row],[TE_COEFFICIENT_CALC]],0)=0,PROPERTIES[[#This Row],[TE_COEFFICIENT_MANUAL]],PROPERTIES[[#This Row],[TE_COEFFICIENT_CALC]]),3)</f>
        <v>0.14899999999999999</v>
      </c>
      <c r="V601" s="6">
        <v>40</v>
      </c>
      <c r="W601" s="10">
        <v>0</v>
      </c>
      <c r="X601" s="10">
        <v>4</v>
      </c>
      <c r="Y601" s="10"/>
      <c r="Z601" t="str">
        <f>"RUNNING_COST_"&amp;IF(PROPERTIES[[#This Row],[ENGINE_CLASS]]="MAGLEV","ELECTRIC",PROPERTIES[[#This Row],[ENGINE_CLASS]])</f>
        <v>RUNNING_COST_STEAM</v>
      </c>
      <c r="AA601" s="10" t="s">
        <v>998</v>
      </c>
      <c r="AB601" s="10" t="s">
        <v>999</v>
      </c>
      <c r="AC601" s="10" t="str">
        <f>SUBSTITUTE(SUBSTITUTE(PROPERTIES[[#This Row],[PURCHASECOST_VALUE]], "PURCHASECOST_", ""), "_VALUE", "")</f>
        <v>STEAMENGINE</v>
      </c>
      <c r="AD601" s="2" t="b">
        <v>0</v>
      </c>
      <c r="AV601"/>
      <c r="AW601"/>
      <c r="AX601"/>
    </row>
    <row r="602" spans="1:50">
      <c r="A602" s="2" t="s">
        <v>625</v>
      </c>
      <c r="B602">
        <v>1923</v>
      </c>
      <c r="C602">
        <v>0</v>
      </c>
      <c r="D602" t="s">
        <v>1910</v>
      </c>
      <c r="E602" t="str">
        <f>_xlfn.XLOOKUP(PROPERTIES[[#This Row],[COUNTRY]],COUNTRIES[COUNTRY_DESCRIPTION],COUNTRIES[COUNTRY_LABEL],"")</f>
        <v>JP</v>
      </c>
      <c r="F602" t="s">
        <v>23</v>
      </c>
      <c r="G602" t="s">
        <v>20</v>
      </c>
      <c r="H602">
        <v>0</v>
      </c>
      <c r="I602">
        <v>6</v>
      </c>
      <c r="J602">
        <v>8</v>
      </c>
      <c r="K602" s="2" t="s">
        <v>20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4">
        <v>122</v>
      </c>
      <c r="P602">
        <v>1280</v>
      </c>
      <c r="Q602">
        <v>70</v>
      </c>
      <c r="R602" s="31">
        <v>166</v>
      </c>
      <c r="S602" s="30">
        <f>IFERROR(PROPERTIES[[#This Row],[TE_STARTING_KN]]/(PROPERTIES[[#This Row],[WEIGHT]]*9.81),0)</f>
        <v>0.13870089069367153</v>
      </c>
      <c r="T602" s="30">
        <v>0.16</v>
      </c>
      <c r="U602" s="27">
        <f>ROUND(IF(IFERROR(PROPERTIES[[#This Row],[TE_COEFFICIENT_CALC]],0)=0,PROPERTIES[[#This Row],[TE_COEFFICIENT_MANUAL]],PROPERTIES[[#This Row],[TE_COEFFICIENT_CALC]]),3)</f>
        <v>0.13900000000000001</v>
      </c>
      <c r="V602" s="6">
        <v>40</v>
      </c>
      <c r="W602" s="10">
        <v>0</v>
      </c>
      <c r="X602" s="10">
        <v>4</v>
      </c>
      <c r="Y602" s="10"/>
      <c r="Z602" t="str">
        <f>"RUNNING_COST_"&amp;IF(PROPERTIES[[#This Row],[ENGINE_CLASS]]="MAGLEV","ELECTRIC",PROPERTIES[[#This Row],[ENGINE_CLASS]])</f>
        <v>RUNNING_COST_STEAM</v>
      </c>
      <c r="AA602" s="10" t="s">
        <v>998</v>
      </c>
      <c r="AB602" s="10" t="s">
        <v>999</v>
      </c>
      <c r="AC602" s="10" t="str">
        <f>SUBSTITUTE(SUBSTITUTE(PROPERTIES[[#This Row],[PURCHASECOST_VALUE]], "PURCHASECOST_", ""), "_VALUE", "")</f>
        <v>STEAMENGINE</v>
      </c>
      <c r="AD602" s="2" t="b">
        <v>0</v>
      </c>
      <c r="AV602"/>
      <c r="AW602"/>
      <c r="AX602"/>
    </row>
    <row r="603" spans="1:50">
      <c r="A603" s="2" t="s">
        <v>626</v>
      </c>
      <c r="B603">
        <v>1957</v>
      </c>
      <c r="C603">
        <v>0</v>
      </c>
      <c r="D603" t="s">
        <v>1910</v>
      </c>
      <c r="E603" t="str">
        <f>_xlfn.XLOOKUP(PROPERTIES[[#This Row],[COUNTRY]],COUNTRIES[COUNTRY_DESCRIPTION],COUNTRIES[COUNTRY_LABEL],"")</f>
        <v>JP</v>
      </c>
      <c r="F603" t="s">
        <v>35</v>
      </c>
      <c r="G603" t="s">
        <v>20</v>
      </c>
      <c r="H603">
        <v>0</v>
      </c>
      <c r="I603">
        <v>7</v>
      </c>
      <c r="J603">
        <v>7</v>
      </c>
      <c r="K603" s="2" t="s">
        <v>20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4">
        <v>85</v>
      </c>
      <c r="P603">
        <v>1060</v>
      </c>
      <c r="Q603">
        <v>90</v>
      </c>
      <c r="R603" s="31">
        <v>123</v>
      </c>
      <c r="S603" s="30">
        <f>IFERROR(PROPERTIES[[#This Row],[TE_STARTING_KN]]/(PROPERTIES[[#This Row],[WEIGHT]]*9.81),0)</f>
        <v>0.14750854470228458</v>
      </c>
      <c r="T603" s="30">
        <v>0.28999999999999998</v>
      </c>
      <c r="U603" s="27">
        <f>ROUND(IF(IFERROR(PROPERTIES[[#This Row],[TE_COEFFICIENT_CALC]],0)=0,PROPERTIES[[#This Row],[TE_COEFFICIENT_MANUAL]],PROPERTIES[[#This Row],[TE_COEFFICIENT_CALC]]),3)</f>
        <v>0.14799999999999999</v>
      </c>
      <c r="V603" s="6">
        <v>40</v>
      </c>
      <c r="W603" s="10">
        <v>0</v>
      </c>
      <c r="X603" s="10">
        <v>0</v>
      </c>
      <c r="Y603" s="10"/>
      <c r="Z603" t="str">
        <f>"RUNNING_COST_"&amp;IF(PROPERTIES[[#This Row],[ENGINE_CLASS]]="MAGLEV","ELECTRIC",PROPERTIES[[#This Row],[ENGINE_CLASS]])</f>
        <v>RUNNING_COST_DIESEL</v>
      </c>
      <c r="AA603" s="10" t="s">
        <v>1000</v>
      </c>
      <c r="AB603" s="10" t="s">
        <v>1001</v>
      </c>
      <c r="AC603" s="10" t="str">
        <f>SUBSTITUTE(SUBSTITUTE(PROPERTIES[[#This Row],[PURCHASECOST_VALUE]], "PURCHASECOST_", ""), "_VALUE", "")</f>
        <v>DIESELENGINE</v>
      </c>
      <c r="AD603" s="2" t="b">
        <v>0</v>
      </c>
      <c r="AV603"/>
      <c r="AW603"/>
      <c r="AX603"/>
    </row>
    <row r="604" spans="1:50">
      <c r="A604" s="2" t="s">
        <v>627</v>
      </c>
      <c r="B604">
        <v>1909</v>
      </c>
      <c r="C604">
        <v>0</v>
      </c>
      <c r="D604" t="s">
        <v>1840</v>
      </c>
      <c r="E604" t="str">
        <f>_xlfn.XLOOKUP(PROPERTIES[[#This Row],[COUNTRY]],COUNTRIES[COUNTRY_DESCRIPTION],COUNTRIES[COUNTRY_LABEL],"")</f>
        <v>CH</v>
      </c>
      <c r="F604" t="s">
        <v>74</v>
      </c>
      <c r="G604" t="s">
        <v>20</v>
      </c>
      <c r="H604">
        <v>0</v>
      </c>
      <c r="I604">
        <v>5</v>
      </c>
      <c r="J604">
        <v>5</v>
      </c>
      <c r="K604" s="2" t="s">
        <v>20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4">
        <v>16</v>
      </c>
      <c r="P604">
        <v>200</v>
      </c>
      <c r="Q604">
        <v>45</v>
      </c>
      <c r="R604" s="31">
        <v>24.5</v>
      </c>
      <c r="S604" s="30">
        <f>IFERROR(PROPERTIES[[#This Row],[TE_STARTING_KN]]/(PROPERTIES[[#This Row],[WEIGHT]]*9.81),0)</f>
        <v>0.1560907237512742</v>
      </c>
      <c r="T604" s="30">
        <v>0.3</v>
      </c>
      <c r="U604" s="27">
        <f>ROUND(IF(IFERROR(PROPERTIES[[#This Row],[TE_COEFFICIENT_CALC]],0)=0,PROPERTIES[[#This Row],[TE_COEFFICIENT_MANUAL]],PROPERTIES[[#This Row],[TE_COEFFICIENT_CALC]]),3)</f>
        <v>0.156</v>
      </c>
      <c r="V604" s="6">
        <v>40</v>
      </c>
      <c r="W604" s="10">
        <v>0</v>
      </c>
      <c r="X604" s="10">
        <v>0</v>
      </c>
      <c r="Y604" s="10"/>
      <c r="Z604" t="str">
        <f>"RUNNING_COST_"&amp;IF(PROPERTIES[[#This Row],[ENGINE_CLASS]]="MAGLEV","ELECTRIC",PROPERTIES[[#This Row],[ENGINE_CLASS]])</f>
        <v>RUNNING_COST_ELECTRIC</v>
      </c>
      <c r="AA604" s="10" t="s">
        <v>1004</v>
      </c>
      <c r="AB604" s="10" t="s">
        <v>1005</v>
      </c>
      <c r="AC604" s="10" t="str">
        <f>SUBSTITUTE(SUBSTITUTE(PROPERTIES[[#This Row],[PURCHASECOST_VALUE]], "PURCHASECOST_", ""), "_VALUE", "")</f>
        <v>ELECTRICENGINE</v>
      </c>
      <c r="AD604" s="2" t="b">
        <v>0</v>
      </c>
      <c r="AV604"/>
      <c r="AW604"/>
      <c r="AX604"/>
    </row>
    <row r="605" spans="1:50">
      <c r="A605" s="2" t="s">
        <v>628</v>
      </c>
      <c r="B605">
        <v>1954</v>
      </c>
      <c r="C605">
        <v>0</v>
      </c>
      <c r="D605" t="s">
        <v>1910</v>
      </c>
      <c r="E605" t="str">
        <f>_xlfn.XLOOKUP(PROPERTIES[[#This Row],[COUNTRY]],COUNTRIES[COUNTRY_DESCRIPTION],COUNTRIES[COUNTRY_LABEL],"")</f>
        <v>JP</v>
      </c>
      <c r="F605" t="s">
        <v>74</v>
      </c>
      <c r="G605" t="s">
        <v>20</v>
      </c>
      <c r="H605">
        <v>0</v>
      </c>
      <c r="I605">
        <v>7</v>
      </c>
      <c r="J605">
        <v>14</v>
      </c>
      <c r="K605" s="2" t="s">
        <v>20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4">
        <v>116</v>
      </c>
      <c r="P605">
        <v>3390</v>
      </c>
      <c r="Q605">
        <v>110</v>
      </c>
      <c r="R605" s="31">
        <v>238</v>
      </c>
      <c r="S605" s="30">
        <f>IFERROR(PROPERTIES[[#This Row],[TE_STARTING_KN]]/(PROPERTIES[[#This Row],[WEIGHT]]*9.81),0)</f>
        <v>0.20914619143027874</v>
      </c>
      <c r="T605" s="30">
        <v>0.16</v>
      </c>
      <c r="U605" s="27">
        <f>ROUND(IF(IFERROR(PROPERTIES[[#This Row],[TE_COEFFICIENT_CALC]],0)=0,PROPERTIES[[#This Row],[TE_COEFFICIENT_MANUAL]],PROPERTIES[[#This Row],[TE_COEFFICIENT_CALC]]),3)</f>
        <v>0.20899999999999999</v>
      </c>
      <c r="V605" s="6">
        <v>40</v>
      </c>
      <c r="W605" s="10">
        <v>0</v>
      </c>
      <c r="X605" s="10">
        <v>7</v>
      </c>
      <c r="Y605" s="10"/>
      <c r="Z605" t="str">
        <f>"RUNNING_COST_"&amp;IF(PROPERTIES[[#This Row],[ENGINE_CLASS]]="MAGLEV","ELECTRIC",PROPERTIES[[#This Row],[ENGINE_CLASS]])</f>
        <v>RUNNING_COST_ELECTRIC</v>
      </c>
      <c r="AA605" s="10" t="s">
        <v>1004</v>
      </c>
      <c r="AB605" s="10" t="s">
        <v>1005</v>
      </c>
      <c r="AC605" s="10" t="str">
        <f>SUBSTITUTE(SUBSTITUTE(PROPERTIES[[#This Row],[PURCHASECOST_VALUE]], "PURCHASECOST_", ""), "_VALUE", "")</f>
        <v>ELECTRICENGINE</v>
      </c>
      <c r="AD605" s="2" t="b">
        <v>0</v>
      </c>
      <c r="AV605"/>
      <c r="AW605"/>
      <c r="AX605"/>
    </row>
    <row r="606" spans="1:50">
      <c r="A606" s="2" t="s">
        <v>629</v>
      </c>
      <c r="B606">
        <v>1964</v>
      </c>
      <c r="C606">
        <v>0</v>
      </c>
      <c r="D606" t="s">
        <v>1910</v>
      </c>
      <c r="E606" t="str">
        <f>_xlfn.XLOOKUP(PROPERTIES[[#This Row],[COUNTRY]],COUNTRIES[COUNTRY_DESCRIPTION],COUNTRIES[COUNTRY_LABEL],"")</f>
        <v>JP</v>
      </c>
      <c r="F606" t="s">
        <v>74</v>
      </c>
      <c r="G606" t="s">
        <v>20</v>
      </c>
      <c r="H606">
        <v>0</v>
      </c>
      <c r="I606">
        <v>8</v>
      </c>
      <c r="J606">
        <v>8</v>
      </c>
      <c r="K606" s="2" t="s">
        <v>20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4">
        <v>96</v>
      </c>
      <c r="P606">
        <v>3420</v>
      </c>
      <c r="Q606">
        <v>100</v>
      </c>
      <c r="R606" s="31">
        <v>196</v>
      </c>
      <c r="S606" s="30">
        <f>IFERROR(PROPERTIES[[#This Row],[TE_STARTING_KN]]/(PROPERTIES[[#This Row],[WEIGHT]]*9.81),0)</f>
        <v>0.20812096500169894</v>
      </c>
      <c r="T606" s="30">
        <v>0.3</v>
      </c>
      <c r="U606" s="27">
        <f>ROUND(IF(IFERROR(PROPERTIES[[#This Row],[TE_COEFFICIENT_CALC]],0)=0,PROPERTIES[[#This Row],[TE_COEFFICIENT_MANUAL]],PROPERTIES[[#This Row],[TE_COEFFICIENT_CALC]]),3)</f>
        <v>0.20799999999999999</v>
      </c>
      <c r="V606" s="6">
        <v>40</v>
      </c>
      <c r="W606" s="10">
        <v>0</v>
      </c>
      <c r="X606" s="10">
        <v>0</v>
      </c>
      <c r="Y606" s="10"/>
      <c r="Z606" t="str">
        <f>"RUNNING_COST_"&amp;IF(PROPERTIES[[#This Row],[ENGINE_CLASS]]="MAGLEV","ELECTRIC",PROPERTIES[[#This Row],[ENGINE_CLASS]])</f>
        <v>RUNNING_COST_ELECTRIC</v>
      </c>
      <c r="AA606" s="10" t="s">
        <v>1004</v>
      </c>
      <c r="AB606" s="10" t="s">
        <v>1005</v>
      </c>
      <c r="AC606" s="10" t="str">
        <f>SUBSTITUTE(SUBSTITUTE(PROPERTIES[[#This Row],[PURCHASECOST_VALUE]], "PURCHASECOST_", ""), "_VALUE", "")</f>
        <v>ELECTRICENGINE</v>
      </c>
      <c r="AD606" s="2" t="b">
        <v>0</v>
      </c>
      <c r="AV606"/>
      <c r="AW606"/>
      <c r="AX606"/>
    </row>
    <row r="607" spans="1:50">
      <c r="A607" s="2" t="s">
        <v>630</v>
      </c>
      <c r="B607">
        <v>1923</v>
      </c>
      <c r="C607">
        <v>0</v>
      </c>
      <c r="D607" t="s">
        <v>1967</v>
      </c>
      <c r="E607" t="str">
        <f>_xlfn.XLOOKUP(PROPERTIES[[#This Row],[COUNTRY]],COUNTRIES[COUNTRY_DESCRIPTION],COUNTRIES[COUNTRY_LABEL],"")</f>
        <v>NZ</v>
      </c>
      <c r="F607" t="s">
        <v>74</v>
      </c>
      <c r="G607" t="s">
        <v>20</v>
      </c>
      <c r="H607">
        <v>0</v>
      </c>
      <c r="I607">
        <v>7</v>
      </c>
      <c r="J607">
        <v>7</v>
      </c>
      <c r="K607" s="2" t="s">
        <v>20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4">
        <v>50</v>
      </c>
      <c r="P607">
        <v>680</v>
      </c>
      <c r="Q607">
        <v>64</v>
      </c>
      <c r="R607" s="31">
        <v>63</v>
      </c>
      <c r="S607" s="30">
        <f>IFERROR(PROPERTIES[[#This Row],[TE_STARTING_KN]]/(PROPERTIES[[#This Row],[WEIGHT]]*9.81),0)</f>
        <v>0.12844036697247707</v>
      </c>
      <c r="T607" s="30">
        <v>0.13</v>
      </c>
      <c r="U607" s="27">
        <f>ROUND(IF(IFERROR(PROPERTIES[[#This Row],[TE_COEFFICIENT_CALC]],0)=0,PROPERTIES[[#This Row],[TE_COEFFICIENT_MANUAL]],PROPERTIES[[#This Row],[TE_COEFFICIENT_CALC]]),3)</f>
        <v>0.128</v>
      </c>
      <c r="V607" s="6">
        <v>40</v>
      </c>
      <c r="W607" s="10">
        <v>0</v>
      </c>
      <c r="X607" s="10">
        <v>0</v>
      </c>
      <c r="Y607" s="10"/>
      <c r="Z607" t="str">
        <f>"RUNNING_COST_"&amp;IF(PROPERTIES[[#This Row],[ENGINE_CLASS]]="MAGLEV","ELECTRIC",PROPERTIES[[#This Row],[ENGINE_CLASS]])</f>
        <v>RUNNING_COST_ELECTRIC</v>
      </c>
      <c r="AA607" s="10" t="s">
        <v>1004</v>
      </c>
      <c r="AB607" s="10" t="s">
        <v>1005</v>
      </c>
      <c r="AC607" s="10" t="str">
        <f>SUBSTITUTE(SUBSTITUTE(PROPERTIES[[#This Row],[PURCHASECOST_VALUE]], "PURCHASECOST_", ""), "_VALUE", "")</f>
        <v>ELECTRICENGINE</v>
      </c>
      <c r="AD607" s="2" t="b">
        <v>0</v>
      </c>
      <c r="AV607"/>
      <c r="AW607"/>
      <c r="AX607"/>
    </row>
    <row r="608" spans="1:50">
      <c r="A608" s="2" t="s">
        <v>631</v>
      </c>
      <c r="B608">
        <v>1952</v>
      </c>
      <c r="C608">
        <v>0</v>
      </c>
      <c r="D608" t="s">
        <v>1810</v>
      </c>
      <c r="E608" t="str">
        <f>_xlfn.XLOOKUP(PROPERTIES[[#This Row],[COUNTRY]],COUNTRIES[COUNTRY_DESCRIPTION],COUNTRIES[COUNTRY_LABEL],"")</f>
        <v>AU</v>
      </c>
      <c r="F608" t="s">
        <v>74</v>
      </c>
      <c r="G608" t="s">
        <v>20</v>
      </c>
      <c r="H608">
        <v>0</v>
      </c>
      <c r="I608">
        <v>7</v>
      </c>
      <c r="J608">
        <v>7</v>
      </c>
      <c r="K608" s="2" t="s">
        <v>20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4">
        <v>110</v>
      </c>
      <c r="P608">
        <v>2700</v>
      </c>
      <c r="Q608">
        <v>113</v>
      </c>
      <c r="R608" s="31">
        <v>267</v>
      </c>
      <c r="S608" s="30">
        <f>IFERROR(PROPERTIES[[#This Row],[TE_STARTING_KN]]/(PROPERTIES[[#This Row],[WEIGHT]]*9.81),0)</f>
        <v>0.24742841256602721</v>
      </c>
      <c r="T608" s="30">
        <v>0.11</v>
      </c>
      <c r="U608" s="27">
        <f>ROUND(IF(IFERROR(PROPERTIES[[#This Row],[TE_COEFFICIENT_CALC]],0)=0,PROPERTIES[[#This Row],[TE_COEFFICIENT_MANUAL]],PROPERTIES[[#This Row],[TE_COEFFICIENT_CALC]]),3)</f>
        <v>0.247</v>
      </c>
      <c r="V608" s="6">
        <v>40</v>
      </c>
      <c r="W608" s="10">
        <v>0</v>
      </c>
      <c r="X608" s="10">
        <v>0</v>
      </c>
      <c r="Y608" s="10"/>
      <c r="Z608" t="str">
        <f>"RUNNING_COST_"&amp;IF(PROPERTIES[[#This Row],[ENGINE_CLASS]]="MAGLEV","ELECTRIC",PROPERTIES[[#This Row],[ENGINE_CLASS]])</f>
        <v>RUNNING_COST_ELECTRIC</v>
      </c>
      <c r="AA608" s="10" t="s">
        <v>1004</v>
      </c>
      <c r="AB608" s="10" t="s">
        <v>1005</v>
      </c>
      <c r="AC608" s="10" t="str">
        <f>SUBSTITUTE(SUBSTITUTE(PROPERTIES[[#This Row],[PURCHASECOST_VALUE]], "PURCHASECOST_", ""), "_VALUE", "")</f>
        <v>ELECTRICENGINE</v>
      </c>
      <c r="AD608" s="2" t="b">
        <v>0</v>
      </c>
      <c r="AV608"/>
      <c r="AW608"/>
      <c r="AX608"/>
    </row>
    <row r="609" spans="1:50">
      <c r="A609" s="2" t="s">
        <v>632</v>
      </c>
      <c r="B609">
        <v>1952</v>
      </c>
      <c r="C609">
        <v>0</v>
      </c>
      <c r="D609" t="s">
        <v>2043</v>
      </c>
      <c r="E609" t="str">
        <f>_xlfn.XLOOKUP(PROPERTIES[[#This Row],[COUNTRY]],COUNTRIES[COUNTRY_DESCRIPTION],COUNTRIES[COUNTRY_LABEL],"")</f>
        <v>ZA</v>
      </c>
      <c r="F609" t="s">
        <v>74</v>
      </c>
      <c r="G609" t="s">
        <v>20</v>
      </c>
      <c r="H609">
        <v>0</v>
      </c>
      <c r="I609">
        <v>8</v>
      </c>
      <c r="J609">
        <v>8</v>
      </c>
      <c r="K609" s="2" t="s">
        <v>20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4">
        <v>155</v>
      </c>
      <c r="P609">
        <v>2520</v>
      </c>
      <c r="Q609">
        <v>97</v>
      </c>
      <c r="R609" s="31">
        <v>322</v>
      </c>
      <c r="S609" s="30">
        <f>IFERROR(PROPERTIES[[#This Row],[TE_STARTING_KN]]/(PROPERTIES[[#This Row],[WEIGHT]]*9.81),0)</f>
        <v>0.21176547959619871</v>
      </c>
      <c r="T609" s="30">
        <v>0.09</v>
      </c>
      <c r="U609" s="27">
        <f>ROUND(IF(IFERROR(PROPERTIES[[#This Row],[TE_COEFFICIENT_CALC]],0)=0,PROPERTIES[[#This Row],[TE_COEFFICIENT_MANUAL]],PROPERTIES[[#This Row],[TE_COEFFICIENT_CALC]]),3)</f>
        <v>0.21199999999999999</v>
      </c>
      <c r="V609" s="6">
        <v>40</v>
      </c>
      <c r="W609" s="10">
        <v>0</v>
      </c>
      <c r="X609" s="10">
        <v>0</v>
      </c>
      <c r="Y609" s="10"/>
      <c r="Z609" t="str">
        <f>"RUNNING_COST_"&amp;IF(PROPERTIES[[#This Row],[ENGINE_CLASS]]="MAGLEV","ELECTRIC",PROPERTIES[[#This Row],[ENGINE_CLASS]])</f>
        <v>RUNNING_COST_ELECTRIC</v>
      </c>
      <c r="AA609" s="10" t="s">
        <v>1004</v>
      </c>
      <c r="AB609" s="10" t="s">
        <v>1005</v>
      </c>
      <c r="AC609" s="10" t="str">
        <f>SUBSTITUTE(SUBSTITUTE(PROPERTIES[[#This Row],[PURCHASECOST_VALUE]], "PURCHASECOST_", ""), "_VALUE", "")</f>
        <v>ELECTRICENGINE</v>
      </c>
      <c r="AD609" s="2" t="b">
        <v>0</v>
      </c>
      <c r="AV609"/>
      <c r="AW609"/>
      <c r="AX609"/>
    </row>
    <row r="610" spans="1:50">
      <c r="A610" s="2" t="s">
        <v>633</v>
      </c>
      <c r="B610">
        <v>1965</v>
      </c>
      <c r="C610">
        <v>0</v>
      </c>
      <c r="D610" t="s">
        <v>2043</v>
      </c>
      <c r="E610" t="str">
        <f>_xlfn.XLOOKUP(PROPERTIES[[#This Row],[COUNTRY]],COUNTRIES[COUNTRY_DESCRIPTION],COUNTRIES[COUNTRY_LABEL],"")</f>
        <v>ZA</v>
      </c>
      <c r="F610" t="s">
        <v>74</v>
      </c>
      <c r="G610" t="s">
        <v>20</v>
      </c>
      <c r="H610">
        <v>0</v>
      </c>
      <c r="I610">
        <v>7</v>
      </c>
      <c r="J610">
        <v>7</v>
      </c>
      <c r="K610" s="2" t="s">
        <v>20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4">
        <v>86</v>
      </c>
      <c r="P610">
        <v>1953</v>
      </c>
      <c r="Q610">
        <v>97</v>
      </c>
      <c r="R610" s="31">
        <v>250</v>
      </c>
      <c r="S610" s="30">
        <f>IFERROR(PROPERTIES[[#This Row],[TE_STARTING_KN]]/(PROPERTIES[[#This Row],[WEIGHT]]*9.81),0)</f>
        <v>0.29632790460612091</v>
      </c>
      <c r="T610" s="30">
        <v>0.15</v>
      </c>
      <c r="U610" s="27">
        <f>ROUND(IF(IFERROR(PROPERTIES[[#This Row],[TE_COEFFICIENT_CALC]],0)=0,PROPERTIES[[#This Row],[TE_COEFFICIENT_MANUAL]],PROPERTIES[[#This Row],[TE_COEFFICIENT_CALC]]),3)</f>
        <v>0.29599999999999999</v>
      </c>
      <c r="V610" s="6">
        <v>40</v>
      </c>
      <c r="W610" s="10">
        <v>0</v>
      </c>
      <c r="X610" s="10">
        <v>0</v>
      </c>
      <c r="Y610" s="10"/>
      <c r="Z610" t="str">
        <f>"RUNNING_COST_"&amp;IF(PROPERTIES[[#This Row],[ENGINE_CLASS]]="MAGLEV","ELECTRIC",PROPERTIES[[#This Row],[ENGINE_CLASS]])</f>
        <v>RUNNING_COST_ELECTRIC</v>
      </c>
      <c r="AA610" s="10" t="s">
        <v>1004</v>
      </c>
      <c r="AB610" s="10" t="s">
        <v>1005</v>
      </c>
      <c r="AC610" s="10" t="str">
        <f>SUBSTITUTE(SUBSTITUTE(PROPERTIES[[#This Row],[PURCHASECOST_VALUE]], "PURCHASECOST_", ""), "_VALUE", "")</f>
        <v>ELECTRICENGINE</v>
      </c>
      <c r="AD610" s="2" t="b">
        <v>0</v>
      </c>
      <c r="AV610"/>
      <c r="AW610"/>
      <c r="AX610"/>
    </row>
    <row r="611" spans="1:50">
      <c r="A611" s="2" t="s">
        <v>634</v>
      </c>
      <c r="B611">
        <v>1970</v>
      </c>
      <c r="C611">
        <v>0</v>
      </c>
      <c r="D611" t="s">
        <v>2043</v>
      </c>
      <c r="E611" t="str">
        <f>_xlfn.XLOOKUP(PROPERTIES[[#This Row],[COUNTRY]],COUNTRIES[COUNTRY_DESCRIPTION],COUNTRIES[COUNTRY_LABEL],"")</f>
        <v>ZA</v>
      </c>
      <c r="F611" t="s">
        <v>74</v>
      </c>
      <c r="G611" t="s">
        <v>20</v>
      </c>
      <c r="H611">
        <v>0</v>
      </c>
      <c r="I611">
        <v>8</v>
      </c>
      <c r="J611">
        <v>8</v>
      </c>
      <c r="K611" s="2" t="s">
        <v>20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4">
        <v>89</v>
      </c>
      <c r="P611">
        <v>3020</v>
      </c>
      <c r="Q611">
        <v>113</v>
      </c>
      <c r="R611" s="31">
        <v>311</v>
      </c>
      <c r="S611" s="30">
        <f>IFERROR(PROPERTIES[[#This Row],[TE_STARTING_KN]]/(PROPERTIES[[#This Row],[WEIGHT]]*9.81),0)</f>
        <v>0.35620611849866562</v>
      </c>
      <c r="T611" s="30">
        <v>0.22</v>
      </c>
      <c r="U611" s="27">
        <f>ROUND(IF(IFERROR(PROPERTIES[[#This Row],[TE_COEFFICIENT_CALC]],0)=0,PROPERTIES[[#This Row],[TE_COEFFICIENT_MANUAL]],PROPERTIES[[#This Row],[TE_COEFFICIENT_CALC]]),3)</f>
        <v>0.35599999999999998</v>
      </c>
      <c r="V611" s="6">
        <v>40</v>
      </c>
      <c r="W611" s="10">
        <v>0</v>
      </c>
      <c r="X611" s="10">
        <v>0</v>
      </c>
      <c r="Y611" s="10"/>
      <c r="Z611" t="str">
        <f>"RUNNING_COST_"&amp;IF(PROPERTIES[[#This Row],[ENGINE_CLASS]]="MAGLEV","ELECTRIC",PROPERTIES[[#This Row],[ENGINE_CLASS]])</f>
        <v>RUNNING_COST_ELECTRIC</v>
      </c>
      <c r="AA611" s="10" t="s">
        <v>1004</v>
      </c>
      <c r="AB611" s="10" t="s">
        <v>1005</v>
      </c>
      <c r="AC611" s="10" t="str">
        <f>SUBSTITUTE(SUBSTITUTE(PROPERTIES[[#This Row],[PURCHASECOST_VALUE]], "PURCHASECOST_", ""), "_VALUE", "")</f>
        <v>ELECTRICENGINE</v>
      </c>
      <c r="AD611" s="2" t="b">
        <v>0</v>
      </c>
      <c r="AV611"/>
      <c r="AW611"/>
      <c r="AX611"/>
    </row>
    <row r="612" spans="1:50">
      <c r="A612" s="2" t="s">
        <v>635</v>
      </c>
      <c r="B612">
        <v>1947</v>
      </c>
      <c r="C612">
        <v>0</v>
      </c>
      <c r="D612" t="s">
        <v>1840</v>
      </c>
      <c r="E612" t="str">
        <f>_xlfn.XLOOKUP(PROPERTIES[[#This Row],[COUNTRY]],COUNTRIES[COUNTRY_DESCRIPTION],COUNTRIES[COUNTRY_LABEL],"")</f>
        <v>CH</v>
      </c>
      <c r="F612" t="s">
        <v>74</v>
      </c>
      <c r="G612" t="s">
        <v>20</v>
      </c>
      <c r="H612">
        <v>0</v>
      </c>
      <c r="I612">
        <v>8</v>
      </c>
      <c r="J612">
        <v>8</v>
      </c>
      <c r="K612" s="2" t="s">
        <v>20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4">
        <v>47</v>
      </c>
      <c r="P612">
        <v>1590</v>
      </c>
      <c r="Q612">
        <v>80</v>
      </c>
      <c r="R612" s="31">
        <v>135</v>
      </c>
      <c r="S612" s="30">
        <f>IFERROR(PROPERTIES[[#This Row],[TE_STARTING_KN]]/(PROPERTIES[[#This Row],[WEIGHT]]*9.81),0)</f>
        <v>0.29279718914698416</v>
      </c>
      <c r="T612" s="30">
        <v>0.3</v>
      </c>
      <c r="U612" s="27">
        <f>ROUND(IF(IFERROR(PROPERTIES[[#This Row],[TE_COEFFICIENT_CALC]],0)=0,PROPERTIES[[#This Row],[TE_COEFFICIENT_MANUAL]],PROPERTIES[[#This Row],[TE_COEFFICIENT_CALC]]),3)</f>
        <v>0.29299999999999998</v>
      </c>
      <c r="V612" s="6">
        <v>40</v>
      </c>
      <c r="W612" s="10">
        <v>0</v>
      </c>
      <c r="X612" s="10">
        <v>0</v>
      </c>
      <c r="Y612" s="10"/>
      <c r="Z612" t="str">
        <f>"RUNNING_COST_"&amp;IF(PROPERTIES[[#This Row],[ENGINE_CLASS]]="MAGLEV","ELECTRIC",PROPERTIES[[#This Row],[ENGINE_CLASS]])</f>
        <v>RUNNING_COST_ELECTRIC</v>
      </c>
      <c r="AA612" s="10" t="s">
        <v>1004</v>
      </c>
      <c r="AB612" s="10" t="s">
        <v>1005</v>
      </c>
      <c r="AC612" s="10" t="str">
        <f>SUBSTITUTE(SUBSTITUTE(PROPERTIES[[#This Row],[PURCHASECOST_VALUE]], "PURCHASECOST_", ""), "_VALUE", "")</f>
        <v>ELECTRICENGINE</v>
      </c>
      <c r="AD612" s="2" t="b">
        <v>0</v>
      </c>
      <c r="AV612"/>
      <c r="AW612"/>
      <c r="AX612"/>
    </row>
    <row r="613" spans="1:50">
      <c r="A613" s="2" t="s">
        <v>636</v>
      </c>
      <c r="B613">
        <v>1921</v>
      </c>
      <c r="C613">
        <v>0</v>
      </c>
      <c r="D613" t="s">
        <v>1840</v>
      </c>
      <c r="E613" t="str">
        <f>_xlfn.XLOOKUP(PROPERTIES[[#This Row],[COUNTRY]],COUNTRIES[COUNTRY_DESCRIPTION],COUNTRIES[COUNTRY_LABEL],"")</f>
        <v>CH</v>
      </c>
      <c r="F613" t="s">
        <v>74</v>
      </c>
      <c r="G613" t="s">
        <v>20</v>
      </c>
      <c r="H613">
        <v>0</v>
      </c>
      <c r="I613">
        <v>8</v>
      </c>
      <c r="J613">
        <v>8</v>
      </c>
      <c r="K613" s="2" t="s">
        <v>20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4">
        <v>66</v>
      </c>
      <c r="P613">
        <v>1260</v>
      </c>
      <c r="Q613">
        <v>55</v>
      </c>
      <c r="R613" s="31">
        <v>131</v>
      </c>
      <c r="S613" s="30">
        <f>IFERROR(PROPERTIES[[#This Row],[TE_STARTING_KN]]/(PROPERTIES[[#This Row],[WEIGHT]]*9.81),0)</f>
        <v>0.20232910141167021</v>
      </c>
      <c r="T613" s="30">
        <v>0.26</v>
      </c>
      <c r="U613" s="27">
        <f>ROUND(IF(IFERROR(PROPERTIES[[#This Row],[TE_COEFFICIENT_CALC]],0)=0,PROPERTIES[[#This Row],[TE_COEFFICIENT_MANUAL]],PROPERTIES[[#This Row],[TE_COEFFICIENT_CALC]]),3)</f>
        <v>0.20200000000000001</v>
      </c>
      <c r="V613" s="6">
        <v>40</v>
      </c>
      <c r="W613" s="10">
        <v>0</v>
      </c>
      <c r="X613" s="10">
        <v>0</v>
      </c>
      <c r="Y613" s="10"/>
      <c r="Z613" t="str">
        <f>"RUNNING_COST_"&amp;IF(PROPERTIES[[#This Row],[ENGINE_CLASS]]="MAGLEV","ELECTRIC",PROPERTIES[[#This Row],[ENGINE_CLASS]])</f>
        <v>RUNNING_COST_ELECTRIC</v>
      </c>
      <c r="AA613" s="10" t="s">
        <v>1004</v>
      </c>
      <c r="AB613" s="10" t="s">
        <v>1005</v>
      </c>
      <c r="AC613" s="10" t="str">
        <f>SUBSTITUTE(SUBSTITUTE(PROPERTIES[[#This Row],[PURCHASECOST_VALUE]], "PURCHASECOST_", ""), "_VALUE", "")</f>
        <v>ELECTRICENGINE</v>
      </c>
      <c r="AD613" s="2" t="b">
        <v>0</v>
      </c>
      <c r="AV613"/>
      <c r="AW613"/>
      <c r="AX613"/>
    </row>
    <row r="614" spans="1:50">
      <c r="A614" s="2" t="s">
        <v>637</v>
      </c>
      <c r="B614">
        <v>2012</v>
      </c>
      <c r="C614">
        <v>0</v>
      </c>
      <c r="D614" t="s">
        <v>1828</v>
      </c>
      <c r="E614" t="str">
        <f>_xlfn.XLOOKUP(PROPERTIES[[#This Row],[COUNTRY]],COUNTRIES[COUNTRY_DESCRIPTION],COUNTRIES[COUNTRY_LABEL],"")</f>
        <v>BR</v>
      </c>
      <c r="F614" t="s">
        <v>74</v>
      </c>
      <c r="G614" t="s">
        <v>20</v>
      </c>
      <c r="H614">
        <v>0</v>
      </c>
      <c r="I614">
        <v>7</v>
      </c>
      <c r="J614">
        <v>7</v>
      </c>
      <c r="K614" s="2" t="s">
        <v>24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4">
        <v>121</v>
      </c>
      <c r="P614">
        <v>6710</v>
      </c>
      <c r="Q614">
        <v>60</v>
      </c>
      <c r="R614" s="31">
        <v>760</v>
      </c>
      <c r="S614" s="30">
        <f>IFERROR(PROPERTIES[[#This Row],[TE_STARTING_KN]]/(PROPERTIES[[#This Row],[WEIGHT]]*9.81),0)</f>
        <v>0.64026419322499395</v>
      </c>
      <c r="T614" s="30">
        <v>0.63</v>
      </c>
      <c r="U614" s="27">
        <f>ROUND(IF(IFERROR(PROPERTIES[[#This Row],[TE_COEFFICIENT_CALC]],0)=0,PROPERTIES[[#This Row],[TE_COEFFICIENT_MANUAL]],PROPERTIES[[#This Row],[TE_COEFFICIENT_CALC]]),3)</f>
        <v>0.64</v>
      </c>
      <c r="V614" s="6">
        <v>40</v>
      </c>
      <c r="W614" s="10">
        <v>0</v>
      </c>
      <c r="X614" s="10">
        <v>0</v>
      </c>
      <c r="Y614" s="10"/>
      <c r="Z614" t="str">
        <f>"RUNNING_COST_"&amp;IF(PROPERTIES[[#This Row],[ENGINE_CLASS]]="MAGLEV","ELECTRIC",PROPERTIES[[#This Row],[ENGINE_CLASS]])</f>
        <v>RUNNING_COST_ELECTRIC</v>
      </c>
      <c r="AA614" s="10" t="s">
        <v>1004</v>
      </c>
      <c r="AB614" s="10" t="s">
        <v>1005</v>
      </c>
      <c r="AC614" s="10" t="str">
        <f>SUBSTITUTE(SUBSTITUTE(PROPERTIES[[#This Row],[PURCHASECOST_VALUE]], "PURCHASECOST_", ""), "_VALUE", "")</f>
        <v>ELECTRICENGINE</v>
      </c>
      <c r="AD614" s="2" t="b">
        <v>0</v>
      </c>
      <c r="AV614"/>
      <c r="AW614"/>
      <c r="AX614"/>
    </row>
    <row r="615" spans="1:50">
      <c r="A615" s="2" t="s">
        <v>638</v>
      </c>
      <c r="B615">
        <v>1978</v>
      </c>
      <c r="C615">
        <v>0</v>
      </c>
      <c r="D615" t="s">
        <v>2043</v>
      </c>
      <c r="E615" t="str">
        <f>_xlfn.XLOOKUP(PROPERTIES[[#This Row],[COUNTRY]],COUNTRIES[COUNTRY_DESCRIPTION],COUNTRIES[COUNTRY_LABEL],"")</f>
        <v>ZA</v>
      </c>
      <c r="F615" t="s">
        <v>74</v>
      </c>
      <c r="G615" t="s">
        <v>20</v>
      </c>
      <c r="H615">
        <v>0</v>
      </c>
      <c r="I615">
        <v>7</v>
      </c>
      <c r="J615">
        <v>7</v>
      </c>
      <c r="K615" s="2" t="s">
        <v>24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4">
        <v>124</v>
      </c>
      <c r="P615">
        <v>4000</v>
      </c>
      <c r="Q615">
        <v>100</v>
      </c>
      <c r="R615" s="31">
        <v>450</v>
      </c>
      <c r="S615" s="30">
        <f>IFERROR(PROPERTIES[[#This Row],[TE_STARTING_KN]]/(PROPERTIES[[#This Row],[WEIGHT]]*9.81),0)</f>
        <v>0.36993193252441547</v>
      </c>
      <c r="T615" s="30">
        <v>0.25</v>
      </c>
      <c r="U615" s="27">
        <f>ROUND(IF(IFERROR(PROPERTIES[[#This Row],[TE_COEFFICIENT_CALC]],0)=0,PROPERTIES[[#This Row],[TE_COEFFICIENT_MANUAL]],PROPERTIES[[#This Row],[TE_COEFFICIENT_CALC]]),3)</f>
        <v>0.37</v>
      </c>
      <c r="V615" s="6">
        <v>40</v>
      </c>
      <c r="W615" s="10">
        <v>0</v>
      </c>
      <c r="X615" s="10">
        <v>0</v>
      </c>
      <c r="Y615" s="10"/>
      <c r="Z615" t="str">
        <f>"RUNNING_COST_"&amp;IF(PROPERTIES[[#This Row],[ENGINE_CLASS]]="MAGLEV","ELECTRIC",PROPERTIES[[#This Row],[ENGINE_CLASS]])</f>
        <v>RUNNING_COST_ELECTRIC</v>
      </c>
      <c r="AA615" s="10" t="s">
        <v>1004</v>
      </c>
      <c r="AB615" s="10" t="s">
        <v>1005</v>
      </c>
      <c r="AC615" s="10" t="str">
        <f>SUBSTITUTE(SUBSTITUTE(PROPERTIES[[#This Row],[PURCHASECOST_VALUE]], "PURCHASECOST_", ""), "_VALUE", "")</f>
        <v>ELECTRICENGINE</v>
      </c>
      <c r="AD615" s="2" t="b">
        <v>0</v>
      </c>
      <c r="AV615"/>
      <c r="AW615"/>
      <c r="AX615"/>
    </row>
    <row r="616" spans="1:50">
      <c r="A616" s="2" t="s">
        <v>639</v>
      </c>
      <c r="B616">
        <v>1985</v>
      </c>
      <c r="C616">
        <v>0</v>
      </c>
      <c r="D616" t="s">
        <v>2043</v>
      </c>
      <c r="E616" t="str">
        <f>_xlfn.XLOOKUP(PROPERTIES[[#This Row],[COUNTRY]],COUNTRIES[COUNTRY_DESCRIPTION],COUNTRIES[COUNTRY_LABEL],"")</f>
        <v>ZA</v>
      </c>
      <c r="F616" t="s">
        <v>74</v>
      </c>
      <c r="G616" t="s">
        <v>20</v>
      </c>
      <c r="H616">
        <v>0</v>
      </c>
      <c r="I616">
        <v>8</v>
      </c>
      <c r="J616">
        <v>8</v>
      </c>
      <c r="K616" s="2" t="s">
        <v>24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4">
        <v>172</v>
      </c>
      <c r="P616">
        <v>5200</v>
      </c>
      <c r="Q616">
        <v>90</v>
      </c>
      <c r="R616" s="31">
        <v>580</v>
      </c>
      <c r="S616" s="30">
        <f>IFERROR(PROPERTIES[[#This Row],[TE_STARTING_KN]]/(PROPERTIES[[#This Row],[WEIGHT]]*9.81),0)</f>
        <v>0.34374036934310026</v>
      </c>
      <c r="T616" s="30">
        <v>0.23</v>
      </c>
      <c r="U616" s="27">
        <f>ROUND(IF(IFERROR(PROPERTIES[[#This Row],[TE_COEFFICIENT_CALC]],0)=0,PROPERTIES[[#This Row],[TE_COEFFICIENT_MANUAL]],PROPERTIES[[#This Row],[TE_COEFFICIENT_CALC]]),3)</f>
        <v>0.34399999999999997</v>
      </c>
      <c r="V616" s="6">
        <v>40</v>
      </c>
      <c r="W616" s="10">
        <v>0</v>
      </c>
      <c r="X616" s="10">
        <v>0</v>
      </c>
      <c r="Y616" s="10"/>
      <c r="Z616" t="str">
        <f>"RUNNING_COST_"&amp;IF(PROPERTIES[[#This Row],[ENGINE_CLASS]]="MAGLEV","ELECTRIC",PROPERTIES[[#This Row],[ENGINE_CLASS]])</f>
        <v>RUNNING_COST_ELECTRIC</v>
      </c>
      <c r="AA616" s="10" t="s">
        <v>1004</v>
      </c>
      <c r="AB616" s="10" t="s">
        <v>1005</v>
      </c>
      <c r="AC616" s="10" t="str">
        <f>SUBSTITUTE(SUBSTITUTE(PROPERTIES[[#This Row],[PURCHASECOST_VALUE]], "PURCHASECOST_", ""), "_VALUE", "")</f>
        <v>ELECTRICENGINE</v>
      </c>
      <c r="AD616" s="2" t="b">
        <v>0</v>
      </c>
      <c r="AV616"/>
      <c r="AW616"/>
      <c r="AX616"/>
    </row>
    <row r="617" spans="1:50">
      <c r="A617" s="2" t="s">
        <v>640</v>
      </c>
      <c r="B617">
        <v>1986</v>
      </c>
      <c r="C617">
        <v>0</v>
      </c>
      <c r="D617" t="s">
        <v>1967</v>
      </c>
      <c r="E617" t="str">
        <f>_xlfn.XLOOKUP(PROPERTIES[[#This Row],[COUNTRY]],COUNTRIES[COUNTRY_DESCRIPTION],COUNTRIES[COUNTRY_LABEL],"")</f>
        <v>NZ</v>
      </c>
      <c r="F617" t="s">
        <v>74</v>
      </c>
      <c r="G617" t="s">
        <v>20</v>
      </c>
      <c r="H617">
        <v>0</v>
      </c>
      <c r="I617">
        <v>8</v>
      </c>
      <c r="J617">
        <v>8</v>
      </c>
      <c r="K617" s="2" t="s">
        <v>20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4">
        <v>107</v>
      </c>
      <c r="P617">
        <v>4000</v>
      </c>
      <c r="Q617">
        <v>105</v>
      </c>
      <c r="R617" s="31">
        <v>360</v>
      </c>
      <c r="S617" s="30">
        <f>IFERROR(PROPERTIES[[#This Row],[TE_STARTING_KN]]/(PROPERTIES[[#This Row],[WEIGHT]]*9.81),0)</f>
        <v>0.3429649318357198</v>
      </c>
      <c r="T617" s="30">
        <v>0.21</v>
      </c>
      <c r="U617" s="27">
        <f>ROUND(IF(IFERROR(PROPERTIES[[#This Row],[TE_COEFFICIENT_CALC]],0)=0,PROPERTIES[[#This Row],[TE_COEFFICIENT_MANUAL]],PROPERTIES[[#This Row],[TE_COEFFICIENT_CALC]]),3)</f>
        <v>0.34300000000000003</v>
      </c>
      <c r="V617" s="6">
        <v>40</v>
      </c>
      <c r="W617" s="10">
        <v>0</v>
      </c>
      <c r="X617" s="10">
        <v>0</v>
      </c>
      <c r="Y617" s="10"/>
      <c r="Z617" t="str">
        <f>"RUNNING_COST_"&amp;IF(PROPERTIES[[#This Row],[ENGINE_CLASS]]="MAGLEV","ELECTRIC",PROPERTIES[[#This Row],[ENGINE_CLASS]])</f>
        <v>RUNNING_COST_ELECTRIC</v>
      </c>
      <c r="AA617" s="10" t="s">
        <v>1004</v>
      </c>
      <c r="AB617" s="10" t="s">
        <v>1005</v>
      </c>
      <c r="AC617" s="10" t="str">
        <f>SUBSTITUTE(SUBSTITUTE(PROPERTIES[[#This Row],[PURCHASECOST_VALUE]], "PURCHASECOST_", ""), "_VALUE", "")</f>
        <v>ELECTRICENGINE</v>
      </c>
      <c r="AD617" s="2" t="b">
        <v>0</v>
      </c>
      <c r="AV617"/>
      <c r="AW617"/>
      <c r="AX617"/>
    </row>
    <row r="618" spans="1:50">
      <c r="A618" s="2" t="s">
        <v>641</v>
      </c>
      <c r="B618">
        <v>1962</v>
      </c>
      <c r="C618">
        <v>1</v>
      </c>
      <c r="D618" t="s">
        <v>1910</v>
      </c>
      <c r="E618" t="str">
        <f>_xlfn.XLOOKUP(PROPERTIES[[#This Row],[COUNTRY]],COUNTRIES[COUNTRY_DESCRIPTION],COUNTRIES[COUNTRY_LABEL],"")</f>
        <v>JP</v>
      </c>
      <c r="F618" t="s">
        <v>74</v>
      </c>
      <c r="G618" t="s">
        <v>18</v>
      </c>
      <c r="H618">
        <v>48</v>
      </c>
      <c r="I618">
        <v>8</v>
      </c>
      <c r="J618">
        <v>8</v>
      </c>
      <c r="K618" s="2" t="s">
        <v>24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4">
        <v>28.4</v>
      </c>
      <c r="P618">
        <f>536*2</f>
        <v>1072</v>
      </c>
      <c r="Q618">
        <v>110</v>
      </c>
      <c r="R618" s="31">
        <v>35</v>
      </c>
      <c r="S618" s="30">
        <f>IFERROR(PROPERTIES[[#This Row],[TE_STARTING_KN]]/(PROPERTIES[[#This Row],[WEIGHT]]*9.81),0)</f>
        <v>0.12562633702315831</v>
      </c>
      <c r="T618" s="30">
        <v>0.27</v>
      </c>
      <c r="U618" s="27">
        <f>ROUND(IF(IFERROR(PROPERTIES[[#This Row],[TE_COEFFICIENT_CALC]],0)=0,PROPERTIES[[#This Row],[TE_COEFFICIENT_MANUAL]],PROPERTIES[[#This Row],[TE_COEFFICIENT_CALC]]),3)</f>
        <v>0.126</v>
      </c>
      <c r="V618" s="6">
        <v>25</v>
      </c>
      <c r="W618" s="10">
        <v>42</v>
      </c>
      <c r="X618" s="10">
        <v>8</v>
      </c>
      <c r="Y618" s="10"/>
      <c r="Z618" t="str">
        <f>"RUNNING_COST_"&amp;IF(PROPERTIES[[#This Row],[ENGINE_CLASS]]="MAGLEV","ELECTRIC",PROPERTIES[[#This Row],[ENGINE_CLASS]])</f>
        <v>RUNNING_COST_ELECTRIC</v>
      </c>
      <c r="AA618" s="10" t="s">
        <v>1008</v>
      </c>
      <c r="AB618" s="10" t="s">
        <v>1009</v>
      </c>
      <c r="AC618" s="10" t="str">
        <f>SUBSTITUTE(SUBSTITUTE(PROPERTIES[[#This Row],[PURCHASECOST_VALUE]], "PURCHASECOST_", ""), "_VALUE", "")</f>
        <v>EMU</v>
      </c>
      <c r="AD618" s="2" t="b">
        <v>0</v>
      </c>
      <c r="AV618"/>
      <c r="AW618"/>
      <c r="AX618"/>
    </row>
    <row r="619" spans="1:50">
      <c r="A619" s="2" t="s">
        <v>642</v>
      </c>
      <c r="B619">
        <v>1986</v>
      </c>
      <c r="C619">
        <v>1</v>
      </c>
      <c r="D619" t="s">
        <v>1910</v>
      </c>
      <c r="E619" t="str">
        <f>_xlfn.XLOOKUP(PROPERTIES[[#This Row],[COUNTRY]],COUNTRIES[COUNTRY_DESCRIPTION],COUNTRIES[COUNTRY_LABEL],"")</f>
        <v>JP</v>
      </c>
      <c r="F619" t="s">
        <v>74</v>
      </c>
      <c r="G619" t="s">
        <v>18</v>
      </c>
      <c r="H619">
        <v>46</v>
      </c>
      <c r="I619">
        <v>8</v>
      </c>
      <c r="J619">
        <v>8</v>
      </c>
      <c r="K619" s="2" t="s">
        <v>24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4">
        <v>32.700000000000003</v>
      </c>
      <c r="P619">
        <v>1550</v>
      </c>
      <c r="Q619">
        <v>110</v>
      </c>
      <c r="R619" s="31">
        <v>42</v>
      </c>
      <c r="S619" s="30">
        <f>IFERROR(PROPERTIES[[#This Row],[TE_STARTING_KN]]/(PROPERTIES[[#This Row],[WEIGHT]]*9.81),0)</f>
        <v>0.13092799895257601</v>
      </c>
      <c r="T619" s="30">
        <v>0.22</v>
      </c>
      <c r="U619" s="27">
        <f>ROUND(IF(IFERROR(PROPERTIES[[#This Row],[TE_COEFFICIENT_CALC]],0)=0,PROPERTIES[[#This Row],[TE_COEFFICIENT_MANUAL]],PROPERTIES[[#This Row],[TE_COEFFICIENT_CALC]]),3)</f>
        <v>0.13100000000000001</v>
      </c>
      <c r="V619" s="6">
        <v>25</v>
      </c>
      <c r="W619" s="10">
        <v>44</v>
      </c>
      <c r="X619" s="10">
        <v>8</v>
      </c>
      <c r="Y619" s="10"/>
      <c r="Z619" t="str">
        <f>"RUNNING_COST_"&amp;IF(PROPERTIES[[#This Row],[ENGINE_CLASS]]="MAGLEV","ELECTRIC",PROPERTIES[[#This Row],[ENGINE_CLASS]])</f>
        <v>RUNNING_COST_ELECTRIC</v>
      </c>
      <c r="AA619" s="10" t="s">
        <v>1008</v>
      </c>
      <c r="AB619" s="10" t="s">
        <v>1009</v>
      </c>
      <c r="AC619" s="10" t="str">
        <f>SUBSTITUTE(SUBSTITUTE(PROPERTIES[[#This Row],[PURCHASECOST_VALUE]], "PURCHASECOST_", ""), "_VALUE", "")</f>
        <v>EMU</v>
      </c>
      <c r="AD619" s="2" t="b">
        <v>0</v>
      </c>
      <c r="AV619"/>
      <c r="AW619"/>
      <c r="AX619"/>
    </row>
    <row r="620" spans="1:50">
      <c r="A620" s="2" t="s">
        <v>643</v>
      </c>
      <c r="B620">
        <v>1972</v>
      </c>
      <c r="C620">
        <v>1</v>
      </c>
      <c r="D620" t="s">
        <v>1810</v>
      </c>
      <c r="E620" t="str">
        <f>_xlfn.XLOOKUP(PROPERTIES[[#This Row],[COUNTRY]],COUNTRIES[COUNTRY_DESCRIPTION],COUNTRIES[COUNTRY_LABEL],"")</f>
        <v>AU</v>
      </c>
      <c r="F620" t="s">
        <v>74</v>
      </c>
      <c r="G620" t="s">
        <v>18</v>
      </c>
      <c r="H620">
        <v>112</v>
      </c>
      <c r="I620">
        <v>8</v>
      </c>
      <c r="J620">
        <v>8</v>
      </c>
      <c r="K620" s="2" t="s">
        <v>24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4">
        <v>47</v>
      </c>
      <c r="P620">
        <v>1600</v>
      </c>
      <c r="Q620">
        <v>115</v>
      </c>
      <c r="R620" s="31">
        <v>110</v>
      </c>
      <c r="S620" s="30">
        <f>IFERROR(PROPERTIES[[#This Row],[TE_STARTING_KN]]/(PROPERTIES[[#This Row],[WEIGHT]]*9.81),0)</f>
        <v>0.2385754874530982</v>
      </c>
      <c r="T620" s="30">
        <v>0.31</v>
      </c>
      <c r="U620" s="27">
        <f>ROUND(IF(IFERROR(PROPERTIES[[#This Row],[TE_COEFFICIENT_CALC]],0)=0,PROPERTIES[[#This Row],[TE_COEFFICIENT_MANUAL]],PROPERTIES[[#This Row],[TE_COEFFICIENT_CALC]]),3)</f>
        <v>0.23899999999999999</v>
      </c>
      <c r="V620" s="6">
        <v>25</v>
      </c>
      <c r="W620" s="10">
        <v>130</v>
      </c>
      <c r="X620" s="10">
        <v>8</v>
      </c>
      <c r="Y620" s="10"/>
      <c r="Z620" t="str">
        <f>"RUNNING_COST_"&amp;IF(PROPERTIES[[#This Row],[ENGINE_CLASS]]="MAGLEV","ELECTRIC",PROPERTIES[[#This Row],[ENGINE_CLASS]])</f>
        <v>RUNNING_COST_ELECTRIC</v>
      </c>
      <c r="AA620" s="10" t="s">
        <v>1008</v>
      </c>
      <c r="AB620" s="10" t="s">
        <v>1009</v>
      </c>
      <c r="AC620" s="10" t="str">
        <f>SUBSTITUTE(SUBSTITUTE(PROPERTIES[[#This Row],[PURCHASECOST_VALUE]], "PURCHASECOST_", ""), "_VALUE", "")</f>
        <v>EMU</v>
      </c>
      <c r="AD620" s="2" t="b">
        <v>0</v>
      </c>
      <c r="AV620"/>
      <c r="AW620"/>
      <c r="AX620"/>
    </row>
    <row r="621" spans="1:50">
      <c r="A621" s="2" t="s">
        <v>644</v>
      </c>
      <c r="B621">
        <v>2007</v>
      </c>
      <c r="C621">
        <v>1</v>
      </c>
      <c r="D621" t="s">
        <v>1810</v>
      </c>
      <c r="E621" t="str">
        <f>_xlfn.XLOOKUP(PROPERTIES[[#This Row],[COUNTRY]],COUNTRIES[COUNTRY_DESCRIPTION],COUNTRIES[COUNTRY_LABEL],"")</f>
        <v>AU</v>
      </c>
      <c r="F621" t="s">
        <v>74</v>
      </c>
      <c r="G621" t="s">
        <v>18</v>
      </c>
      <c r="H621">
        <v>120</v>
      </c>
      <c r="I621">
        <v>8</v>
      </c>
      <c r="J621">
        <v>8</v>
      </c>
      <c r="K621" s="2" t="s">
        <v>24</v>
      </c>
      <c r="L621">
        <f>_xlfn.XLOOKUP("LOADINGSPEEDDEF_"&amp;PROPERTIES[[#This Row],[LOADINGSPEED]],LOADINGSPEEDDEF[TYPE],LOADINGSPEEDDEF[SPEED])</f>
        <v>40</v>
      </c>
      <c r="M621" t="s">
        <v>21</v>
      </c>
      <c r="N621">
        <v>1</v>
      </c>
      <c r="O621" s="34">
        <v>57</v>
      </c>
      <c r="P621">
        <f>1072*2</f>
        <v>2144</v>
      </c>
      <c r="Q621">
        <v>130</v>
      </c>
      <c r="R621" s="31">
        <v>110</v>
      </c>
      <c r="S621" s="30">
        <f>IFERROR(PROPERTIES[[#This Row],[TE_STARTING_KN]]/(PROPERTIES[[#This Row],[WEIGHT]]*9.81),0)</f>
        <v>0.19672013877711605</v>
      </c>
      <c r="T621" s="30">
        <v>0.41</v>
      </c>
      <c r="U621" s="27">
        <f>ROUND(IF(IFERROR(PROPERTIES[[#This Row],[TE_COEFFICIENT_CALC]],0)=0,PROPERTIES[[#This Row],[TE_COEFFICIENT_MANUAL]],PROPERTIES[[#This Row],[TE_COEFFICIENT_CALC]]),3)</f>
        <v>0.19700000000000001</v>
      </c>
      <c r="V621" s="6">
        <v>25</v>
      </c>
      <c r="W621" s="10">
        <v>120</v>
      </c>
      <c r="X621" s="10">
        <v>8</v>
      </c>
      <c r="Y621" s="10"/>
      <c r="Z621" t="str">
        <f>"RUNNING_COST_"&amp;IF(PROPERTIES[[#This Row],[ENGINE_CLASS]]="MAGLEV","ELECTRIC",PROPERTIES[[#This Row],[ENGINE_CLASS]])</f>
        <v>RUNNING_COST_ELECTRIC</v>
      </c>
      <c r="AA621" s="10" t="s">
        <v>1008</v>
      </c>
      <c r="AB621" s="10" t="s">
        <v>1009</v>
      </c>
      <c r="AC621" s="10" t="str">
        <f>SUBSTITUTE(SUBSTITUTE(PROPERTIES[[#This Row],[PURCHASECOST_VALUE]], "PURCHASECOST_", ""), "_VALUE", "")</f>
        <v>EMU</v>
      </c>
      <c r="AD621" s="2" t="b">
        <v>0</v>
      </c>
      <c r="AV621"/>
      <c r="AW621"/>
      <c r="AX621"/>
    </row>
    <row r="622" spans="1:50">
      <c r="A622" s="2" t="s">
        <v>645</v>
      </c>
      <c r="B622">
        <v>1917</v>
      </c>
      <c r="C622">
        <v>1</v>
      </c>
      <c r="D622" t="s">
        <v>1810</v>
      </c>
      <c r="E622" t="str">
        <f>_xlfn.XLOOKUP(PROPERTIES[[#This Row],[COUNTRY]],COUNTRIES[COUNTRY_DESCRIPTION],COUNTRIES[COUNTRY_LABEL],"")</f>
        <v>AU</v>
      </c>
      <c r="F622" t="s">
        <v>74</v>
      </c>
      <c r="G622" t="s">
        <v>18</v>
      </c>
      <c r="H622">
        <v>48</v>
      </c>
      <c r="I622">
        <v>8</v>
      </c>
      <c r="J622">
        <v>8</v>
      </c>
      <c r="K622" s="2" t="s">
        <v>24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4">
        <v>47</v>
      </c>
      <c r="P622">
        <v>563</v>
      </c>
      <c r="Q622">
        <v>83</v>
      </c>
      <c r="R622" s="31">
        <f>110/2</f>
        <v>55</v>
      </c>
      <c r="S622" s="30">
        <f>IFERROR(PROPERTIES[[#This Row],[TE_STARTING_KN]]/(PROPERTIES[[#This Row],[WEIGHT]]*9.81),0)</f>
        <v>0.1192877437265491</v>
      </c>
      <c r="T622" s="30">
        <v>0.16</v>
      </c>
      <c r="U622" s="27">
        <f>ROUND(IF(IFERROR(PROPERTIES[[#This Row],[TE_COEFFICIENT_CALC]],0)=0,PROPERTIES[[#This Row],[TE_COEFFICIENT_MANUAL]],PROPERTIES[[#This Row],[TE_COEFFICIENT_CALC]]),3)</f>
        <v>0.11899999999999999</v>
      </c>
      <c r="V622" s="6">
        <v>25</v>
      </c>
      <c r="W622" s="10">
        <v>75</v>
      </c>
      <c r="X622" s="10">
        <v>8</v>
      </c>
      <c r="Y622" s="10"/>
      <c r="Z622" t="str">
        <f>"RUNNING_COST_"&amp;IF(PROPERTIES[[#This Row],[ENGINE_CLASS]]="MAGLEV","ELECTRIC",PROPERTIES[[#This Row],[ENGINE_CLASS]])</f>
        <v>RUNNING_COST_ELECTRIC</v>
      </c>
      <c r="AA622" s="10" t="s">
        <v>1008</v>
      </c>
      <c r="AB622" s="10" t="s">
        <v>1009</v>
      </c>
      <c r="AC622" s="10" t="str">
        <f>SUBSTITUTE(SUBSTITUTE(PROPERTIES[[#This Row],[PURCHASECOST_VALUE]], "PURCHASECOST_", ""), "_VALUE", "")</f>
        <v>EMU</v>
      </c>
      <c r="AD622" s="2" t="b">
        <v>0</v>
      </c>
      <c r="AV622"/>
      <c r="AW622"/>
      <c r="AX622"/>
    </row>
    <row r="623" spans="1:50">
      <c r="A623" s="2" t="s">
        <v>646</v>
      </c>
      <c r="B623">
        <v>1979</v>
      </c>
      <c r="C623">
        <v>1</v>
      </c>
      <c r="D623" t="s">
        <v>1967</v>
      </c>
      <c r="E623" t="str">
        <f>_xlfn.XLOOKUP(PROPERTIES[[#This Row],[COUNTRY]],COUNTRIES[COUNTRY_DESCRIPTION],COUNTRIES[COUNTRY_LABEL],"")</f>
        <v>NZ</v>
      </c>
      <c r="F623" t="s">
        <v>74</v>
      </c>
      <c r="G623" t="s">
        <v>18</v>
      </c>
      <c r="H623">
        <v>74</v>
      </c>
      <c r="I623">
        <v>8</v>
      </c>
      <c r="J623">
        <v>8</v>
      </c>
      <c r="K623" s="2" t="s">
        <v>24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4">
        <v>37.6</v>
      </c>
      <c r="P623">
        <v>540</v>
      </c>
      <c r="Q623">
        <v>95</v>
      </c>
      <c r="R623" s="31">
        <v>50</v>
      </c>
      <c r="S623" s="30">
        <f>IFERROR(PROPERTIES[[#This Row],[TE_STARTING_KN]]/(PROPERTIES[[#This Row],[WEIGHT]]*9.81),0)</f>
        <v>0.13555425423471487</v>
      </c>
      <c r="T623" s="30">
        <v>0.26</v>
      </c>
      <c r="U623" s="27">
        <f>ROUND(IF(IFERROR(PROPERTIES[[#This Row],[TE_COEFFICIENT_CALC]],0)=0,PROPERTIES[[#This Row],[TE_COEFFICIENT_MANUAL]],PROPERTIES[[#This Row],[TE_COEFFICIENT_CALC]]),3)</f>
        <v>0.13600000000000001</v>
      </c>
      <c r="V623" s="6">
        <v>25</v>
      </c>
      <c r="W623" s="10">
        <v>74</v>
      </c>
      <c r="X623" s="10">
        <v>8</v>
      </c>
      <c r="Y623" s="10"/>
      <c r="Z623" t="str">
        <f>"RUNNING_COST_"&amp;IF(PROPERTIES[[#This Row],[ENGINE_CLASS]]="MAGLEV","ELECTRIC",PROPERTIES[[#This Row],[ENGINE_CLASS]])</f>
        <v>RUNNING_COST_ELECTRIC</v>
      </c>
      <c r="AA623" s="10" t="s">
        <v>1008</v>
      </c>
      <c r="AB623" s="10" t="s">
        <v>1009</v>
      </c>
      <c r="AC623" s="10" t="str">
        <f>SUBSTITUTE(SUBSTITUTE(PROPERTIES[[#This Row],[PURCHASECOST_VALUE]], "PURCHASECOST_", ""), "_VALUE", "")</f>
        <v>EMU</v>
      </c>
      <c r="AD623" s="2" t="b">
        <v>0</v>
      </c>
      <c r="AV623"/>
      <c r="AW623"/>
      <c r="AX623"/>
    </row>
    <row r="624" spans="1:50">
      <c r="A624" s="2" t="s">
        <v>647</v>
      </c>
      <c r="B624">
        <v>1958</v>
      </c>
      <c r="C624">
        <v>1</v>
      </c>
      <c r="D624" t="s">
        <v>2043</v>
      </c>
      <c r="E624" t="str">
        <f>_xlfn.XLOOKUP(PROPERTIES[[#This Row],[COUNTRY]],COUNTRIES[COUNTRY_DESCRIPTION],COUNTRIES[COUNTRY_LABEL],"")</f>
        <v>ZA</v>
      </c>
      <c r="F624" t="s">
        <v>74</v>
      </c>
      <c r="G624" t="s">
        <v>18</v>
      </c>
      <c r="H624">
        <f>INT(176/2)</f>
        <v>88</v>
      </c>
      <c r="I624">
        <v>7</v>
      </c>
      <c r="J624">
        <v>7</v>
      </c>
      <c r="K624" s="2" t="s">
        <v>24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4">
        <v>60</v>
      </c>
      <c r="P624">
        <v>2480</v>
      </c>
      <c r="Q624">
        <v>100</v>
      </c>
      <c r="R624" s="31">
        <v>160</v>
      </c>
      <c r="S624" s="30">
        <f>IFERROR(PROPERTIES[[#This Row],[TE_STARTING_KN]]/(PROPERTIES[[#This Row],[WEIGHT]]*9.81),0)</f>
        <v>0.27183146449201495</v>
      </c>
      <c r="T624" s="30">
        <v>0.27</v>
      </c>
      <c r="U624" s="27">
        <f>ROUND(IF(IFERROR(PROPERTIES[[#This Row],[TE_COEFFICIENT_CALC]],0)=0,PROPERTIES[[#This Row],[TE_COEFFICIENT_MANUAL]],PROPERTIES[[#This Row],[TE_COEFFICIENT_CALC]]),3)</f>
        <v>0.27200000000000002</v>
      </c>
      <c r="V624" s="6">
        <v>25</v>
      </c>
      <c r="W624" s="10">
        <f>149+52</f>
        <v>201</v>
      </c>
      <c r="X624" s="10">
        <v>7</v>
      </c>
      <c r="Y624" s="10"/>
      <c r="Z624" t="str">
        <f>"RUNNING_COST_"&amp;IF(PROPERTIES[[#This Row],[ENGINE_CLASS]]="MAGLEV","ELECTRIC",PROPERTIES[[#This Row],[ENGINE_CLASS]])</f>
        <v>RUNNING_COST_ELECTRIC</v>
      </c>
      <c r="AA624" s="10" t="s">
        <v>1008</v>
      </c>
      <c r="AB624" s="10" t="s">
        <v>1009</v>
      </c>
      <c r="AC624" s="10" t="str">
        <f>SUBSTITUTE(SUBSTITUTE(PROPERTIES[[#This Row],[PURCHASECOST_VALUE]], "PURCHASECOST_", ""), "_VALUE", "")</f>
        <v>EMU</v>
      </c>
      <c r="AD624" s="2" t="b">
        <v>0</v>
      </c>
      <c r="AV624"/>
      <c r="AW624"/>
      <c r="AX624"/>
    </row>
    <row r="625" spans="1:50">
      <c r="A625" s="2" t="s">
        <v>648</v>
      </c>
      <c r="B625">
        <v>2005</v>
      </c>
      <c r="C625">
        <v>1</v>
      </c>
      <c r="D625" t="s">
        <v>1843</v>
      </c>
      <c r="E625" t="str">
        <f>_xlfn.XLOOKUP(PROPERTIES[[#This Row],[COUNTRY]],COUNTRIES[COUNTRY_DESCRIPTION],COUNTRIES[COUNTRY_LABEL],"")</f>
        <v>CL</v>
      </c>
      <c r="F625" t="s">
        <v>74</v>
      </c>
      <c r="G625" t="s">
        <v>18</v>
      </c>
      <c r="H625">
        <v>72</v>
      </c>
      <c r="I625">
        <v>8</v>
      </c>
      <c r="J625">
        <v>8</v>
      </c>
      <c r="K625" s="2" t="s">
        <v>24</v>
      </c>
      <c r="L625">
        <f>_xlfn.XLOOKUP("LOADINGSPEEDDEF_"&amp;PROPERTIES[[#This Row],[LOADINGSPEED]],LOADINGSPEEDDEF[TYPE],LOADINGSPEEDDEF[SPEED])</f>
        <v>40</v>
      </c>
      <c r="M625" t="s">
        <v>21</v>
      </c>
      <c r="N625">
        <v>1</v>
      </c>
      <c r="O625" s="34">
        <v>43</v>
      </c>
      <c r="P625">
        <v>1930</v>
      </c>
      <c r="Q625">
        <v>130</v>
      </c>
      <c r="R625" s="31">
        <v>95</v>
      </c>
      <c r="S625" s="30">
        <f>IFERROR(PROPERTIES[[#This Row],[TE_STARTING_KN]]/(PROPERTIES[[#This Row],[WEIGHT]]*9.81),0)</f>
        <v>0.2252092075006519</v>
      </c>
      <c r="T625" s="30">
        <v>0.28999999999999998</v>
      </c>
      <c r="U625" s="27">
        <f>ROUND(IF(IFERROR(PROPERTIES[[#This Row],[TE_COEFFICIENT_CALC]],0)=0,PROPERTIES[[#This Row],[TE_COEFFICIENT_MANUAL]],PROPERTIES[[#This Row],[TE_COEFFICIENT_CALC]]),3)</f>
        <v>0.22500000000000001</v>
      </c>
      <c r="V625" s="6">
        <v>40</v>
      </c>
      <c r="W625" s="10">
        <v>96</v>
      </c>
      <c r="X625" s="10">
        <v>8</v>
      </c>
      <c r="Y625" s="10"/>
      <c r="Z625" t="str">
        <f>"RUNNING_COST_"&amp;IF(PROPERTIES[[#This Row],[ENGINE_CLASS]]="MAGLEV","ELECTRIC",PROPERTIES[[#This Row],[ENGINE_CLASS]])</f>
        <v>RUNNING_COST_ELECTRIC</v>
      </c>
      <c r="AA625" s="10" t="s">
        <v>1008</v>
      </c>
      <c r="AB625" s="10" t="s">
        <v>1009</v>
      </c>
      <c r="AC625" s="10" t="str">
        <f>SUBSTITUTE(SUBSTITUTE(PROPERTIES[[#This Row],[PURCHASECOST_VALUE]], "PURCHASECOST_", ""), "_VALUE", "")</f>
        <v>EMU</v>
      </c>
      <c r="AD625" s="2" t="b">
        <v>0</v>
      </c>
      <c r="AV625"/>
      <c r="AW625"/>
      <c r="AX625"/>
    </row>
    <row r="626" spans="1:50">
      <c r="A626" s="2" t="s">
        <v>649</v>
      </c>
      <c r="B626">
        <v>1976</v>
      </c>
      <c r="C626">
        <v>1</v>
      </c>
      <c r="D626" t="s">
        <v>1843</v>
      </c>
      <c r="E626" t="str">
        <f>_xlfn.XLOOKUP(PROPERTIES[[#This Row],[COUNTRY]],COUNTRIES[COUNTRY_DESCRIPTION],COUNTRIES[COUNTRY_LABEL],"")</f>
        <v>CL</v>
      </c>
      <c r="F626" t="s">
        <v>74</v>
      </c>
      <c r="G626" t="s">
        <v>18</v>
      </c>
      <c r="H626">
        <v>88</v>
      </c>
      <c r="I626">
        <v>7</v>
      </c>
      <c r="J626">
        <v>7</v>
      </c>
      <c r="K626" s="2" t="s">
        <v>24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4">
        <v>52</v>
      </c>
      <c r="P626">
        <f>805*2</f>
        <v>1610</v>
      </c>
      <c r="Q626">
        <v>130</v>
      </c>
      <c r="R626" s="31">
        <v>85</v>
      </c>
      <c r="S626" s="30">
        <f>IFERROR(PROPERTIES[[#This Row],[TE_STARTING_KN]]/(PROPERTIES[[#This Row],[WEIGHT]]*9.81),0)</f>
        <v>0.16662746020544186</v>
      </c>
      <c r="T626" s="30">
        <v>0.21</v>
      </c>
      <c r="U626" s="27">
        <f>ROUND(IF(IFERROR(PROPERTIES[[#This Row],[TE_COEFFICIENT_CALC]],0)=0,PROPERTIES[[#This Row],[TE_COEFFICIENT_MANUAL]],PROPERTIES[[#This Row],[TE_COEFFICIENT_CALC]]),3)</f>
        <v>0.16700000000000001</v>
      </c>
      <c r="V626" s="6">
        <v>40</v>
      </c>
      <c r="W626" s="10">
        <v>92</v>
      </c>
      <c r="X626" s="10">
        <v>7</v>
      </c>
      <c r="Y626" s="10"/>
      <c r="Z626" t="str">
        <f>"RUNNING_COST_"&amp;IF(PROPERTIES[[#This Row],[ENGINE_CLASS]]="MAGLEV","ELECTRIC",PROPERTIES[[#This Row],[ENGINE_CLASS]])</f>
        <v>RUNNING_COST_ELECTRIC</v>
      </c>
      <c r="AA626" s="10" t="s">
        <v>1008</v>
      </c>
      <c r="AB626" s="10" t="s">
        <v>1009</v>
      </c>
      <c r="AC626" s="10" t="str">
        <f>SUBSTITUTE(SUBSTITUTE(PROPERTIES[[#This Row],[PURCHASECOST_VALUE]], "PURCHASECOST_", ""), "_VALUE", "")</f>
        <v>EMU</v>
      </c>
      <c r="AD626" s="2" t="b">
        <v>0</v>
      </c>
      <c r="AV626"/>
      <c r="AW626"/>
      <c r="AX626"/>
    </row>
    <row r="627" spans="1:50">
      <c r="A627" s="2" t="s">
        <v>650</v>
      </c>
      <c r="B627">
        <v>1984</v>
      </c>
      <c r="C627">
        <v>1</v>
      </c>
      <c r="D627" t="s">
        <v>2019</v>
      </c>
      <c r="E627" t="str">
        <f>_xlfn.XLOOKUP(PROPERTIES[[#This Row],[COUNTRY]],COUNTRIES[COUNTRY_DESCRIPTION],COUNTRIES[COUNTRY_LABEL],"")</f>
        <v>TN</v>
      </c>
      <c r="F627" t="s">
        <v>74</v>
      </c>
      <c r="G627" t="s">
        <v>18</v>
      </c>
      <c r="H627">
        <v>150</v>
      </c>
      <c r="I627">
        <v>8</v>
      </c>
      <c r="J627">
        <v>8</v>
      </c>
      <c r="K627" s="2" t="s">
        <v>24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4">
        <v>50</v>
      </c>
      <c r="P627">
        <v>2010</v>
      </c>
      <c r="Q627">
        <v>120</v>
      </c>
      <c r="R627" s="31">
        <v>125</v>
      </c>
      <c r="S627" s="30">
        <f>IFERROR(PROPERTIES[[#This Row],[TE_STARTING_KN]]/(PROPERTIES[[#This Row],[WEIGHT]]*9.81),0)</f>
        <v>0.254841997961264</v>
      </c>
      <c r="T627" s="30">
        <v>0.2</v>
      </c>
      <c r="U627" s="27">
        <f>ROUND(IF(IFERROR(PROPERTIES[[#This Row],[TE_COEFFICIENT_CALC]],0)=0,PROPERTIES[[#This Row],[TE_COEFFICIENT_MANUAL]],PROPERTIES[[#This Row],[TE_COEFFICIENT_CALC]]),3)</f>
        <v>0.255</v>
      </c>
      <c r="V627" s="6">
        <v>40</v>
      </c>
      <c r="W627" s="10">
        <v>150</v>
      </c>
      <c r="X627" s="10">
        <v>8</v>
      </c>
      <c r="Y627" s="10"/>
      <c r="Z627" t="str">
        <f>"RUNNING_COST_"&amp;IF(PROPERTIES[[#This Row],[ENGINE_CLASS]]="MAGLEV","ELECTRIC",PROPERTIES[[#This Row],[ENGINE_CLASS]])</f>
        <v>RUNNING_COST_ELECTRIC</v>
      </c>
      <c r="AA627" s="10" t="s">
        <v>1008</v>
      </c>
      <c r="AB627" s="10" t="s">
        <v>1009</v>
      </c>
      <c r="AC627" s="10" t="str">
        <f>SUBSTITUTE(SUBSTITUTE(PROPERTIES[[#This Row],[PURCHASECOST_VALUE]], "PURCHASECOST_", ""), "_VALUE", "")</f>
        <v>EMU</v>
      </c>
      <c r="AD627" s="2" t="b">
        <v>0</v>
      </c>
      <c r="AV627"/>
      <c r="AW627"/>
      <c r="AX627"/>
    </row>
    <row r="628" spans="1:50">
      <c r="A628" s="2" t="s">
        <v>651</v>
      </c>
      <c r="B628">
        <v>1997</v>
      </c>
      <c r="C628">
        <v>1</v>
      </c>
      <c r="D628" t="s">
        <v>1810</v>
      </c>
      <c r="E628" t="str">
        <f>_xlfn.XLOOKUP(PROPERTIES[[#This Row],[COUNTRY]],COUNTRIES[COUNTRY_DESCRIPTION],COUNTRIES[COUNTRY_LABEL],"")</f>
        <v>AU</v>
      </c>
      <c r="F628" t="s">
        <v>74</v>
      </c>
      <c r="G628" t="s">
        <v>18</v>
      </c>
      <c r="H628">
        <v>47</v>
      </c>
      <c r="I628">
        <v>8</v>
      </c>
      <c r="J628">
        <v>8</v>
      </c>
      <c r="K628" s="2" t="s">
        <v>24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4">
        <v>45</v>
      </c>
      <c r="P628">
        <f>910*2</f>
        <v>1820</v>
      </c>
      <c r="Q628">
        <v>160</v>
      </c>
      <c r="R628" s="31">
        <v>105</v>
      </c>
      <c r="S628" s="30">
        <f>IFERROR(PROPERTIES[[#This Row],[TE_STARTING_KN]]/(PROPERTIES[[#This Row],[WEIGHT]]*9.81),0)</f>
        <v>0.23785253143051305</v>
      </c>
      <c r="T628" s="30">
        <v>0.33</v>
      </c>
      <c r="U628" s="27">
        <f>ROUND(IF(IFERROR(PROPERTIES[[#This Row],[TE_COEFFICIENT_CALC]],0)=0,PROPERTIES[[#This Row],[TE_COEFFICIENT_MANUAL]],PROPERTIES[[#This Row],[TE_COEFFICIENT_CALC]]),3)</f>
        <v>0.23799999999999999</v>
      </c>
      <c r="V628" s="6">
        <v>40</v>
      </c>
      <c r="W628" s="10">
        <v>56</v>
      </c>
      <c r="X628" s="10">
        <v>8</v>
      </c>
      <c r="Y628" s="10"/>
      <c r="Z628" t="str">
        <f>"RUNNING_COST_"&amp;IF(PROPERTIES[[#This Row],[ENGINE_CLASS]]="MAGLEV","ELECTRIC",PROPERTIES[[#This Row],[ENGINE_CLASS]])</f>
        <v>RUNNING_COST_ELECTRIC</v>
      </c>
      <c r="AA628" s="10" t="s">
        <v>1008</v>
      </c>
      <c r="AB628" s="10" t="s">
        <v>1009</v>
      </c>
      <c r="AC628" s="10" t="str">
        <f>SUBSTITUTE(SUBSTITUTE(PROPERTIES[[#This Row],[PURCHASECOST_VALUE]], "PURCHASECOST_", ""), "_VALUE", "")</f>
        <v>EMU</v>
      </c>
      <c r="AD628" s="2" t="b">
        <v>0</v>
      </c>
      <c r="AV628"/>
      <c r="AW628"/>
      <c r="AX628"/>
    </row>
    <row r="629" spans="1:50">
      <c r="A629" s="2" t="s">
        <v>652</v>
      </c>
      <c r="B629">
        <v>1984</v>
      </c>
      <c r="C629">
        <v>0</v>
      </c>
      <c r="D629" t="s">
        <v>2048</v>
      </c>
      <c r="E629" t="str">
        <f>_xlfn.XLOOKUP(PROPERTIES[[#This Row],[COUNTRY]],COUNTRIES[COUNTRY_DESCRIPTION],COUNTRIES[COUNTRY_LABEL],"")</f>
        <v>SU</v>
      </c>
      <c r="F629" t="s">
        <v>74</v>
      </c>
      <c r="G629" t="s">
        <v>20</v>
      </c>
      <c r="H629">
        <v>0</v>
      </c>
      <c r="I629">
        <v>8</v>
      </c>
      <c r="J629">
        <v>16</v>
      </c>
      <c r="K629" s="2" t="s">
        <v>20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4">
        <v>300</v>
      </c>
      <c r="P629">
        <v>12070</v>
      </c>
      <c r="Q629">
        <v>100</v>
      </c>
      <c r="R629" s="31">
        <f>2*530</f>
        <v>1060</v>
      </c>
      <c r="S629" s="30">
        <f>IFERROR(PROPERTIES[[#This Row],[TE_STARTING_KN]]/(PROPERTIES[[#This Row],[WEIGHT]]*9.81),0)</f>
        <v>0.3601766904519198</v>
      </c>
      <c r="T629" s="30">
        <v>0.23</v>
      </c>
      <c r="U629" s="27">
        <f>ROUND(IF(IFERROR(PROPERTIES[[#This Row],[TE_COEFFICIENT_CALC]],0)=0,PROPERTIES[[#This Row],[TE_COEFFICIENT_MANUAL]],PROPERTIES[[#This Row],[TE_COEFFICIENT_CALC]]),3)</f>
        <v>0.36</v>
      </c>
      <c r="V629" s="6">
        <v>40</v>
      </c>
      <c r="W629" s="10">
        <v>0</v>
      </c>
      <c r="X629" s="10">
        <v>8</v>
      </c>
      <c r="Y629" s="10"/>
      <c r="Z629" t="str">
        <f>"RUNNING_COST_"&amp;IF(PROPERTIES[[#This Row],[ENGINE_CLASS]]="MAGLEV","ELECTRIC",PROPERTIES[[#This Row],[ENGINE_CLASS]])</f>
        <v>RUNNING_COST_ELECTRIC</v>
      </c>
      <c r="AA629" s="10" t="s">
        <v>1004</v>
      </c>
      <c r="AB629" s="10" t="s">
        <v>1005</v>
      </c>
      <c r="AC629" s="10" t="str">
        <f>SUBSTITUTE(SUBSTITUTE(PROPERTIES[[#This Row],[PURCHASECOST_VALUE]], "PURCHASECOST_", ""), "_VALUE", "")</f>
        <v>ELECTRICENGINE</v>
      </c>
      <c r="AD629" s="2" t="b">
        <v>0</v>
      </c>
      <c r="AV629"/>
      <c r="AW629"/>
      <c r="AX629"/>
    </row>
    <row r="630" spans="1:50">
      <c r="A630" s="2" t="s">
        <v>653</v>
      </c>
      <c r="B630">
        <v>1974</v>
      </c>
      <c r="C630">
        <v>0</v>
      </c>
      <c r="D630" t="s">
        <v>2048</v>
      </c>
      <c r="E630" t="str">
        <f>_xlfn.XLOOKUP(PROPERTIES[[#This Row],[COUNTRY]],COUNTRIES[COUNTRY_DESCRIPTION],COUNTRIES[COUNTRY_LABEL],"")</f>
        <v>SU</v>
      </c>
      <c r="F630" t="s">
        <v>74</v>
      </c>
      <c r="G630" t="s">
        <v>20</v>
      </c>
      <c r="H630">
        <v>0</v>
      </c>
      <c r="I630">
        <v>8</v>
      </c>
      <c r="J630">
        <v>16</v>
      </c>
      <c r="K630" s="2" t="s">
        <v>20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4">
        <v>184</v>
      </c>
      <c r="P630">
        <v>7190</v>
      </c>
      <c r="Q630">
        <v>100</v>
      </c>
      <c r="R630" s="31">
        <f>245*2</f>
        <v>490</v>
      </c>
      <c r="S630" s="30">
        <f>IFERROR(PROPERTIES[[#This Row],[TE_STARTING_KN]]/(PROPERTIES[[#This Row],[WEIGHT]]*9.81),0)</f>
        <v>0.27146212826308558</v>
      </c>
      <c r="T630" s="30">
        <v>0.33</v>
      </c>
      <c r="U630" s="27">
        <f>ROUND(IF(IFERROR(PROPERTIES[[#This Row],[TE_COEFFICIENT_CALC]],0)=0,PROPERTIES[[#This Row],[TE_COEFFICIENT_MANUAL]],PROPERTIES[[#This Row],[TE_COEFFICIENT_CALC]]),3)</f>
        <v>0.27100000000000002</v>
      </c>
      <c r="V630" s="6">
        <v>40</v>
      </c>
      <c r="W630" s="10">
        <v>0</v>
      </c>
      <c r="X630" s="10">
        <v>8</v>
      </c>
      <c r="Y630" s="10"/>
      <c r="Z630" t="str">
        <f>"RUNNING_COST_"&amp;IF(PROPERTIES[[#This Row],[ENGINE_CLASS]]="MAGLEV","ELECTRIC",PROPERTIES[[#This Row],[ENGINE_CLASS]])</f>
        <v>RUNNING_COST_ELECTRIC</v>
      </c>
      <c r="AA630" s="10" t="s">
        <v>1004</v>
      </c>
      <c r="AB630" s="10" t="s">
        <v>1005</v>
      </c>
      <c r="AC630" s="10" t="str">
        <f>SUBSTITUTE(SUBSTITUTE(PROPERTIES[[#This Row],[PURCHASECOST_VALUE]], "PURCHASECOST_", ""), "_VALUE", "")</f>
        <v>ELECTRICENGINE</v>
      </c>
      <c r="AD630" s="2" t="b">
        <v>0</v>
      </c>
      <c r="AV630"/>
      <c r="AW630"/>
      <c r="AX630"/>
    </row>
    <row r="631" spans="1:50">
      <c r="A631" s="2" t="s">
        <v>654</v>
      </c>
      <c r="B631">
        <v>1945</v>
      </c>
      <c r="C631">
        <v>0</v>
      </c>
      <c r="D631" t="s">
        <v>2048</v>
      </c>
      <c r="E631" t="str">
        <f>_xlfn.XLOOKUP(PROPERTIES[[#This Row],[COUNTRY]],COUNTRIES[COUNTRY_DESCRIPTION],COUNTRIES[COUNTRY_LABEL],"")</f>
        <v>SU</v>
      </c>
      <c r="F631" t="s">
        <v>74</v>
      </c>
      <c r="G631" t="s">
        <v>20</v>
      </c>
      <c r="H631">
        <v>0</v>
      </c>
      <c r="I631">
        <v>8</v>
      </c>
      <c r="J631">
        <v>8</v>
      </c>
      <c r="K631" s="2" t="s">
        <v>20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4">
        <v>132</v>
      </c>
      <c r="P631">
        <v>3220</v>
      </c>
      <c r="Q631">
        <v>80</v>
      </c>
      <c r="R631" s="31">
        <v>0</v>
      </c>
      <c r="S631" s="30">
        <f>IFERROR(PROPERTIES[[#This Row],[TE_STARTING_KN]]/(PROPERTIES[[#This Row],[WEIGHT]]*9.81),0)</f>
        <v>0</v>
      </c>
      <c r="T631" s="30">
        <v>0.39</v>
      </c>
      <c r="U631" s="27">
        <f>ROUND(IF(IFERROR(PROPERTIES[[#This Row],[TE_COEFFICIENT_CALC]],0)=0,PROPERTIES[[#This Row],[TE_COEFFICIENT_MANUAL]],PROPERTIES[[#This Row],[TE_COEFFICIENT_CALC]]),3)</f>
        <v>0.39</v>
      </c>
      <c r="V631" s="6">
        <v>40</v>
      </c>
      <c r="W631" s="10">
        <v>0</v>
      </c>
      <c r="X631" s="10">
        <v>0</v>
      </c>
      <c r="Y631" s="10"/>
      <c r="Z631" t="str">
        <f>"RUNNING_COST_"&amp;IF(PROPERTIES[[#This Row],[ENGINE_CLASS]]="MAGLEV","ELECTRIC",PROPERTIES[[#This Row],[ENGINE_CLASS]])</f>
        <v>RUNNING_COST_ELECTRIC</v>
      </c>
      <c r="AA631" s="10" t="s">
        <v>1004</v>
      </c>
      <c r="AB631" s="10" t="s">
        <v>1005</v>
      </c>
      <c r="AC631" s="10" t="str">
        <f>SUBSTITUTE(SUBSTITUTE(PROPERTIES[[#This Row],[PURCHASECOST_VALUE]], "PURCHASECOST_", ""), "_VALUE", "")</f>
        <v>ELECTRICENGINE</v>
      </c>
      <c r="AD631" s="2" t="b">
        <v>0</v>
      </c>
      <c r="AV631"/>
      <c r="AW631"/>
      <c r="AX631"/>
    </row>
    <row r="632" spans="1:50">
      <c r="A632" s="2" t="s">
        <v>655</v>
      </c>
      <c r="B632">
        <v>1995</v>
      </c>
      <c r="C632">
        <v>0</v>
      </c>
      <c r="D632" t="s">
        <v>2026</v>
      </c>
      <c r="E632" t="str">
        <f>_xlfn.XLOOKUP(PROPERTIES[[#This Row],[COUNTRY]],COUNTRIES[COUNTRY_DESCRIPTION],COUNTRIES[COUNTRY_LABEL],"")</f>
        <v>UA</v>
      </c>
      <c r="F632" t="s">
        <v>74</v>
      </c>
      <c r="G632" t="s">
        <v>20</v>
      </c>
      <c r="H632">
        <v>0</v>
      </c>
      <c r="I632">
        <v>8</v>
      </c>
      <c r="J632">
        <v>16</v>
      </c>
      <c r="K632" s="2" t="s">
        <v>20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4">
        <v>184</v>
      </c>
      <c r="P632">
        <v>8750</v>
      </c>
      <c r="Q632">
        <v>100</v>
      </c>
      <c r="R632" s="31">
        <v>706</v>
      </c>
      <c r="S632" s="30">
        <f>IFERROR(PROPERTIES[[#This Row],[TE_STARTING_KN]]/(PROPERTIES[[#This Row],[WEIGHT]]*9.81),0)</f>
        <v>0.39112706643620082</v>
      </c>
      <c r="T632" s="30">
        <v>0.23</v>
      </c>
      <c r="U632" s="27">
        <f>ROUND(IF(IFERROR(PROPERTIES[[#This Row],[TE_COEFFICIENT_CALC]],0)=0,PROPERTIES[[#This Row],[TE_COEFFICIENT_MANUAL]],PROPERTIES[[#This Row],[TE_COEFFICIENT_CALC]]),3)</f>
        <v>0.39100000000000001</v>
      </c>
      <c r="V632" s="6">
        <v>40</v>
      </c>
      <c r="W632" s="10">
        <v>0</v>
      </c>
      <c r="X632" s="10">
        <v>0</v>
      </c>
      <c r="Y632" s="10"/>
      <c r="Z632" t="str">
        <f>"RUNNING_COST_"&amp;IF(PROPERTIES[[#This Row],[ENGINE_CLASS]]="MAGLEV","ELECTRIC",PROPERTIES[[#This Row],[ENGINE_CLASS]])</f>
        <v>RUNNING_COST_ELECTRIC</v>
      </c>
      <c r="AA632" s="10" t="s">
        <v>1004</v>
      </c>
      <c r="AB632" s="10" t="s">
        <v>1005</v>
      </c>
      <c r="AC632" s="10" t="str">
        <f>SUBSTITUTE(SUBSTITUTE(PROPERTIES[[#This Row],[PURCHASECOST_VALUE]], "PURCHASECOST_", ""), "_VALUE", "")</f>
        <v>ELECTRICENGINE</v>
      </c>
      <c r="AD632" s="2" t="b">
        <v>0</v>
      </c>
      <c r="AV632"/>
      <c r="AW632"/>
      <c r="AX632"/>
    </row>
    <row r="633" spans="1:50">
      <c r="A633" s="2" t="s">
        <v>656</v>
      </c>
      <c r="B633">
        <v>1961</v>
      </c>
      <c r="C633">
        <v>0</v>
      </c>
      <c r="D633" t="s">
        <v>2048</v>
      </c>
      <c r="E633" t="str">
        <f>_xlfn.XLOOKUP(PROPERTIES[[#This Row],[COUNTRY]],COUNTRIES[COUNTRY_DESCRIPTION],COUNTRIES[COUNTRY_LABEL],"")</f>
        <v>SU</v>
      </c>
      <c r="F633" t="s">
        <v>74</v>
      </c>
      <c r="G633" t="s">
        <v>20</v>
      </c>
      <c r="H633">
        <v>0</v>
      </c>
      <c r="I633">
        <v>7</v>
      </c>
      <c r="J633">
        <v>7</v>
      </c>
      <c r="K633" s="2" t="s">
        <v>20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4">
        <v>85</v>
      </c>
      <c r="P633">
        <v>3755</v>
      </c>
      <c r="Q633">
        <v>120</v>
      </c>
      <c r="R633" s="31">
        <v>260</v>
      </c>
      <c r="S633" s="30">
        <f>IFERROR(PROPERTIES[[#This Row],[TE_STARTING_KN]]/(PROPERTIES[[#This Row],[WEIGHT]]*9.81),0)</f>
        <v>0.31180667985848776</v>
      </c>
      <c r="T633" s="30">
        <v>0.27</v>
      </c>
      <c r="U633" s="27">
        <f>ROUND(IF(IFERROR(PROPERTIES[[#This Row],[TE_COEFFICIENT_CALC]],0)=0,PROPERTIES[[#This Row],[TE_COEFFICIENT_MANUAL]],PROPERTIES[[#This Row],[TE_COEFFICIENT_CALC]]),3)</f>
        <v>0.312</v>
      </c>
      <c r="V633" s="6">
        <v>40</v>
      </c>
      <c r="W633" s="10">
        <v>0</v>
      </c>
      <c r="X633" s="10">
        <v>0</v>
      </c>
      <c r="Y633" s="10"/>
      <c r="Z633" t="str">
        <f>"RUNNING_COST_"&amp;IF(PROPERTIES[[#This Row],[ENGINE_CLASS]]="MAGLEV","ELECTRIC",PROPERTIES[[#This Row],[ENGINE_CLASS]])</f>
        <v>RUNNING_COST_ELECTRIC</v>
      </c>
      <c r="AA633" s="10" t="s">
        <v>1004</v>
      </c>
      <c r="AB633" s="10" t="s">
        <v>1005</v>
      </c>
      <c r="AC633" s="10" t="str">
        <f>SUBSTITUTE(SUBSTITUTE(PROPERTIES[[#This Row],[PURCHASECOST_VALUE]], "PURCHASECOST_", ""), "_VALUE", "")</f>
        <v>ELECTRICENGINE</v>
      </c>
      <c r="AD633" s="2" t="b">
        <v>0</v>
      </c>
      <c r="AV633"/>
      <c r="AW633"/>
      <c r="AX633"/>
    </row>
    <row r="634" spans="1:50">
      <c r="A634" s="2" t="s">
        <v>657</v>
      </c>
      <c r="B634">
        <v>1983</v>
      </c>
      <c r="C634">
        <v>0</v>
      </c>
      <c r="D634" t="s">
        <v>2026</v>
      </c>
      <c r="E634" t="str">
        <f>_xlfn.XLOOKUP(PROPERTIES[[#This Row],[COUNTRY]],COUNTRIES[COUNTRY_DESCRIPTION],COUNTRIES[COUNTRY_LABEL],"")</f>
        <v>UA</v>
      </c>
      <c r="F634" t="s">
        <v>74</v>
      </c>
      <c r="G634" t="s">
        <v>20</v>
      </c>
      <c r="H634">
        <v>0</v>
      </c>
      <c r="I634">
        <v>7</v>
      </c>
      <c r="J634">
        <v>14</v>
      </c>
      <c r="K634" s="2" t="s">
        <v>20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4">
        <v>172</v>
      </c>
      <c r="P634">
        <v>8624</v>
      </c>
      <c r="Q634">
        <v>160</v>
      </c>
      <c r="R634" s="31">
        <v>320</v>
      </c>
      <c r="S634" s="30">
        <f>IFERROR(PROPERTIES[[#This Row],[TE_STARTING_KN]]/(PROPERTIES[[#This Row],[WEIGHT]]*9.81),0)</f>
        <v>0.18964985894791739</v>
      </c>
      <c r="T634" s="30">
        <v>0.22</v>
      </c>
      <c r="U634" s="27">
        <f>ROUND(IF(IFERROR(PROPERTIES[[#This Row],[TE_COEFFICIENT_CALC]],0)=0,PROPERTIES[[#This Row],[TE_COEFFICIENT_MANUAL]],PROPERTIES[[#This Row],[TE_COEFFICIENT_CALC]]),3)</f>
        <v>0.19</v>
      </c>
      <c r="V634" s="6">
        <v>40</v>
      </c>
      <c r="W634" s="10">
        <v>0</v>
      </c>
      <c r="X634" s="10">
        <v>0</v>
      </c>
      <c r="Y634" s="10"/>
      <c r="Z634" t="str">
        <f>"RUNNING_COST_"&amp;IF(PROPERTIES[[#This Row],[ENGINE_CLASS]]="MAGLEV","ELECTRIC",PROPERTIES[[#This Row],[ENGINE_CLASS]])</f>
        <v>RUNNING_COST_ELECTRIC</v>
      </c>
      <c r="AA634" s="10" t="s">
        <v>1004</v>
      </c>
      <c r="AB634" s="10" t="s">
        <v>1005</v>
      </c>
      <c r="AC634" s="10" t="str">
        <f>SUBSTITUTE(SUBSTITUTE(PROPERTIES[[#This Row],[PURCHASECOST_VALUE]], "PURCHASECOST_", ""), "_VALUE", "")</f>
        <v>ELECTRICENGINE</v>
      </c>
      <c r="AD634" s="2" t="b">
        <v>0</v>
      </c>
      <c r="AV634"/>
      <c r="AW634"/>
      <c r="AX634"/>
    </row>
    <row r="635" spans="1:50">
      <c r="A635" s="2" t="s">
        <v>658</v>
      </c>
      <c r="B635">
        <v>1962</v>
      </c>
      <c r="C635">
        <v>0</v>
      </c>
      <c r="D635" t="s">
        <v>1828</v>
      </c>
      <c r="E635" t="str">
        <f>_xlfn.XLOOKUP(PROPERTIES[[#This Row],[COUNTRY]],COUNTRIES[COUNTRY_DESCRIPTION],COUNTRIES[COUNTRY_LABEL],"")</f>
        <v>BR</v>
      </c>
      <c r="F635" t="s">
        <v>74</v>
      </c>
      <c r="G635" t="s">
        <v>20</v>
      </c>
      <c r="H635">
        <v>0</v>
      </c>
      <c r="I635">
        <v>7</v>
      </c>
      <c r="J635">
        <v>7</v>
      </c>
      <c r="K635" s="2" t="s">
        <v>24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4">
        <v>123</v>
      </c>
      <c r="P635">
        <v>4400</v>
      </c>
      <c r="Q635">
        <v>117</v>
      </c>
      <c r="R635" s="31">
        <v>385</v>
      </c>
      <c r="S635" s="30">
        <f>IFERROR(PROPERTIES[[#This Row],[TE_STARTING_KN]]/(PROPERTIES[[#This Row],[WEIGHT]]*9.81),0)</f>
        <v>0.31907046899215169</v>
      </c>
      <c r="T635" s="30">
        <v>0.21</v>
      </c>
      <c r="U635" s="27">
        <f>ROUND(IF(IFERROR(PROPERTIES[[#This Row],[TE_COEFFICIENT_CALC]],0)=0,PROPERTIES[[#This Row],[TE_COEFFICIENT_MANUAL]],PROPERTIES[[#This Row],[TE_COEFFICIENT_CALC]]),3)</f>
        <v>0.31900000000000001</v>
      </c>
      <c r="V635" s="6">
        <v>40</v>
      </c>
      <c r="W635" s="10">
        <v>0</v>
      </c>
      <c r="X635" s="10">
        <v>0</v>
      </c>
      <c r="Y635" s="10"/>
      <c r="Z635" t="str">
        <f>"RUNNING_COST_"&amp;IF(PROPERTIES[[#This Row],[ENGINE_CLASS]]="MAGLEV","ELECTRIC",PROPERTIES[[#This Row],[ENGINE_CLASS]])</f>
        <v>RUNNING_COST_ELECTRIC</v>
      </c>
      <c r="AA635" s="10" t="s">
        <v>1004</v>
      </c>
      <c r="AB635" s="10" t="s">
        <v>1005</v>
      </c>
      <c r="AC635" s="10" t="str">
        <f>SUBSTITUTE(SUBSTITUTE(PROPERTIES[[#This Row],[PURCHASECOST_VALUE]], "PURCHASECOST_", ""), "_VALUE", "")</f>
        <v>ELECTRICENGINE</v>
      </c>
      <c r="AD635" s="2" t="b">
        <v>0</v>
      </c>
      <c r="AV635"/>
      <c r="AW635"/>
      <c r="AX635"/>
    </row>
    <row r="636" spans="1:50">
      <c r="A636" s="2" t="s">
        <v>659</v>
      </c>
      <c r="B636">
        <v>1983</v>
      </c>
      <c r="C636">
        <v>0</v>
      </c>
      <c r="D636" t="s">
        <v>2048</v>
      </c>
      <c r="E636" t="str">
        <f>_xlfn.XLOOKUP(PROPERTIES[[#This Row],[COUNTRY]],COUNTRIES[COUNTRY_DESCRIPTION],COUNTRIES[COUNTRY_LABEL],"")</f>
        <v>SU</v>
      </c>
      <c r="F636" t="s">
        <v>74</v>
      </c>
      <c r="G636" t="s">
        <v>20</v>
      </c>
      <c r="H636">
        <v>0</v>
      </c>
      <c r="I636">
        <v>8</v>
      </c>
      <c r="J636">
        <v>16</v>
      </c>
      <c r="K636" s="2" t="s">
        <v>20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4">
        <v>288</v>
      </c>
      <c r="P636">
        <v>13438</v>
      </c>
      <c r="Q636">
        <v>110</v>
      </c>
      <c r="R636" s="31">
        <v>932</v>
      </c>
      <c r="S636" s="30">
        <f>IFERROR(PROPERTIES[[#This Row],[TE_STARTING_KN]]/(PROPERTIES[[#This Row],[WEIGHT]]*9.81),0)</f>
        <v>0.32987880847208062</v>
      </c>
      <c r="T636" s="30">
        <v>0.25</v>
      </c>
      <c r="U636" s="27">
        <f>ROUND(IF(IFERROR(PROPERTIES[[#This Row],[TE_COEFFICIENT_CALC]],0)=0,PROPERTIES[[#This Row],[TE_COEFFICIENT_MANUAL]],PROPERTIES[[#This Row],[TE_COEFFICIENT_CALC]]),3)</f>
        <v>0.33</v>
      </c>
      <c r="V636" s="6">
        <v>40</v>
      </c>
      <c r="W636" s="10">
        <v>0</v>
      </c>
      <c r="X636" s="10">
        <v>8</v>
      </c>
      <c r="Y636" s="10"/>
      <c r="Z636" t="str">
        <f>"RUNNING_COST_"&amp;IF(PROPERTIES[[#This Row],[ENGINE_CLASS]]="MAGLEV","ELECTRIC",PROPERTIES[[#This Row],[ENGINE_CLASS]])</f>
        <v>RUNNING_COST_ELECTRIC</v>
      </c>
      <c r="AA636" s="10" t="s">
        <v>1004</v>
      </c>
      <c r="AB636" s="10" t="s">
        <v>1005</v>
      </c>
      <c r="AC636" s="10" t="str">
        <f>SUBSTITUTE(SUBSTITUTE(PROPERTIES[[#This Row],[PURCHASECOST_VALUE]], "PURCHASECOST_", ""), "_VALUE", "")</f>
        <v>ELECTRICENGINE</v>
      </c>
      <c r="AD636" s="2" t="b">
        <v>0</v>
      </c>
      <c r="AV636"/>
      <c r="AW636"/>
      <c r="AX636"/>
    </row>
    <row r="637" spans="1:50">
      <c r="A637" s="2" t="s">
        <v>660</v>
      </c>
      <c r="B637">
        <v>1963</v>
      </c>
      <c r="C637">
        <v>0</v>
      </c>
      <c r="D637" t="s">
        <v>2048</v>
      </c>
      <c r="E637" t="str">
        <f>_xlfn.XLOOKUP(PROPERTIES[[#This Row],[COUNTRY]],COUNTRIES[COUNTRY_DESCRIPTION],COUNTRIES[COUNTRY_LABEL],"")</f>
        <v>SU</v>
      </c>
      <c r="F637" t="s">
        <v>74</v>
      </c>
      <c r="G637" t="s">
        <v>20</v>
      </c>
      <c r="H637">
        <v>0</v>
      </c>
      <c r="I637">
        <v>8</v>
      </c>
      <c r="J637">
        <v>8</v>
      </c>
      <c r="K637" s="2" t="s">
        <v>20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4">
        <v>92</v>
      </c>
      <c r="P637">
        <v>2280</v>
      </c>
      <c r="Q637">
        <v>70</v>
      </c>
      <c r="R637" s="31">
        <v>275</v>
      </c>
      <c r="S637" s="30">
        <f>IFERROR(PROPERTIES[[#This Row],[TE_STARTING_KN]]/(PROPERTIES[[#This Row],[WEIGHT]]*9.81),0)</f>
        <v>0.30470238886672868</v>
      </c>
      <c r="T637" s="30">
        <v>0.19</v>
      </c>
      <c r="U637" s="27">
        <f>ROUND(IF(IFERROR(PROPERTIES[[#This Row],[TE_COEFFICIENT_CALC]],0)=0,PROPERTIES[[#This Row],[TE_COEFFICIENT_MANUAL]],PROPERTIES[[#This Row],[TE_COEFFICIENT_CALC]]),3)</f>
        <v>0.30499999999999999</v>
      </c>
      <c r="V637" s="6">
        <v>40</v>
      </c>
      <c r="W637" s="10">
        <v>0</v>
      </c>
      <c r="X637" s="10">
        <v>0</v>
      </c>
      <c r="Y637" s="10"/>
      <c r="Z637" t="str">
        <f>"RUNNING_COST_"&amp;IF(PROPERTIES[[#This Row],[ENGINE_CLASS]]="MAGLEV","ELECTRIC",PROPERTIES[[#This Row],[ENGINE_CLASS]])</f>
        <v>RUNNING_COST_ELECTRIC</v>
      </c>
      <c r="AA637" s="10" t="s">
        <v>1004</v>
      </c>
      <c r="AB637" s="10" t="s">
        <v>1005</v>
      </c>
      <c r="AC637" s="10" t="str">
        <f>SUBSTITUTE(SUBSTITUTE(PROPERTIES[[#This Row],[PURCHASECOST_VALUE]], "PURCHASECOST_", ""), "_VALUE", "")</f>
        <v>ELECTRICENGINE</v>
      </c>
      <c r="AD637" s="2" t="b">
        <v>0</v>
      </c>
      <c r="AV637"/>
      <c r="AW637"/>
      <c r="AX637"/>
    </row>
    <row r="638" spans="1:50">
      <c r="A638" s="2" t="s">
        <v>661</v>
      </c>
      <c r="B638">
        <v>1994</v>
      </c>
      <c r="C638">
        <v>0</v>
      </c>
      <c r="D638" t="s">
        <v>1901</v>
      </c>
      <c r="E638" t="str">
        <f>_xlfn.XLOOKUP(PROPERTIES[[#This Row],[COUNTRY]],COUNTRIES[COUNTRY_DESCRIPTION],COUNTRIES[COUNTRY_LABEL],"")</f>
        <v>IN</v>
      </c>
      <c r="F638" t="s">
        <v>74</v>
      </c>
      <c r="G638" t="s">
        <v>20</v>
      </c>
      <c r="H638">
        <v>0</v>
      </c>
      <c r="I638">
        <v>8</v>
      </c>
      <c r="J638">
        <v>8</v>
      </c>
      <c r="K638" s="2" t="s">
        <v>20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4">
        <v>113</v>
      </c>
      <c r="P638">
        <v>5350</v>
      </c>
      <c r="Q638">
        <v>140</v>
      </c>
      <c r="R638" s="31">
        <v>302</v>
      </c>
      <c r="S638" s="30">
        <f>IFERROR(PROPERTIES[[#This Row],[TE_STARTING_KN]]/(PROPERTIES[[#This Row],[WEIGHT]]*9.81),0)</f>
        <v>0.2724328615373513</v>
      </c>
      <c r="T638" s="30">
        <v>0.28000000000000003</v>
      </c>
      <c r="U638" s="27">
        <f>ROUND(IF(IFERROR(PROPERTIES[[#This Row],[TE_COEFFICIENT_CALC]],0)=0,PROPERTIES[[#This Row],[TE_COEFFICIENT_MANUAL]],PROPERTIES[[#This Row],[TE_COEFFICIENT_CALC]]),3)</f>
        <v>0.27200000000000002</v>
      </c>
      <c r="V638" s="6">
        <v>40</v>
      </c>
      <c r="W638" s="10">
        <v>0</v>
      </c>
      <c r="X638" s="10">
        <v>0</v>
      </c>
      <c r="Y638" s="10"/>
      <c r="Z638" t="str">
        <f>"RUNNING_COST_"&amp;IF(PROPERTIES[[#This Row],[ENGINE_CLASS]]="MAGLEV","ELECTRIC",PROPERTIES[[#This Row],[ENGINE_CLASS]])</f>
        <v>RUNNING_COST_ELECTRIC</v>
      </c>
      <c r="AA638" s="10" t="s">
        <v>1004</v>
      </c>
      <c r="AB638" s="10" t="s">
        <v>1005</v>
      </c>
      <c r="AC638" s="10" t="str">
        <f>SUBSTITUTE(SUBSTITUTE(PROPERTIES[[#This Row],[PURCHASECOST_VALUE]], "PURCHASECOST_", ""), "_VALUE", "")</f>
        <v>ELECTRICENGINE</v>
      </c>
      <c r="AD638" s="2" t="b">
        <v>0</v>
      </c>
      <c r="AV638"/>
      <c r="AW638"/>
      <c r="AX638"/>
    </row>
    <row r="639" spans="1:50">
      <c r="A639" s="2" t="s">
        <v>662</v>
      </c>
      <c r="B639">
        <v>1973</v>
      </c>
      <c r="C639">
        <v>0</v>
      </c>
      <c r="D639" t="s">
        <v>1867</v>
      </c>
      <c r="E639" t="str">
        <f>_xlfn.XLOOKUP(PROPERTIES[[#This Row],[COUNTRY]],COUNTRIES[COUNTRY_DESCRIPTION],COUNTRIES[COUNTRY_LABEL],"")</f>
        <v>FI</v>
      </c>
      <c r="F639" t="s">
        <v>74</v>
      </c>
      <c r="G639" t="s">
        <v>20</v>
      </c>
      <c r="H639">
        <v>0</v>
      </c>
      <c r="I639">
        <v>8</v>
      </c>
      <c r="J639">
        <v>8</v>
      </c>
      <c r="K639" s="2" t="s">
        <v>20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4">
        <v>84</v>
      </c>
      <c r="P639">
        <v>4428</v>
      </c>
      <c r="Q639">
        <v>140</v>
      </c>
      <c r="R639" s="31">
        <v>280</v>
      </c>
      <c r="S639" s="30">
        <f>IFERROR(PROPERTIES[[#This Row],[TE_STARTING_KN]]/(PROPERTIES[[#This Row],[WEIGHT]]*9.81),0)</f>
        <v>0.33978933061501865</v>
      </c>
      <c r="T639" s="30">
        <v>0.33</v>
      </c>
      <c r="U639" s="27">
        <f>ROUND(IF(IFERROR(PROPERTIES[[#This Row],[TE_COEFFICIENT_CALC]],0)=0,PROPERTIES[[#This Row],[TE_COEFFICIENT_MANUAL]],PROPERTIES[[#This Row],[TE_COEFFICIENT_CALC]]),3)</f>
        <v>0.34</v>
      </c>
      <c r="V639" s="6">
        <v>40</v>
      </c>
      <c r="W639" s="10">
        <v>0</v>
      </c>
      <c r="X639" s="10">
        <v>0</v>
      </c>
      <c r="Y639" s="10"/>
      <c r="Z639" t="str">
        <f>"RUNNING_COST_"&amp;IF(PROPERTIES[[#This Row],[ENGINE_CLASS]]="MAGLEV","ELECTRIC",PROPERTIES[[#This Row],[ENGINE_CLASS]])</f>
        <v>RUNNING_COST_ELECTRIC</v>
      </c>
      <c r="AA639" s="10" t="s">
        <v>1004</v>
      </c>
      <c r="AB639" s="10" t="s">
        <v>1005</v>
      </c>
      <c r="AC639" s="10" t="str">
        <f>SUBSTITUTE(SUBSTITUTE(PROPERTIES[[#This Row],[PURCHASECOST_VALUE]], "PURCHASECOST_", ""), "_VALUE", "")</f>
        <v>ELECTRICENGINE</v>
      </c>
      <c r="AD639" s="2" t="b">
        <v>0</v>
      </c>
      <c r="AV639"/>
      <c r="AW639"/>
      <c r="AX639"/>
    </row>
    <row r="640" spans="1:50">
      <c r="A640" s="2" t="s">
        <v>663</v>
      </c>
      <c r="B640">
        <v>2004</v>
      </c>
      <c r="C640">
        <v>0</v>
      </c>
      <c r="D640" t="s">
        <v>1921</v>
      </c>
      <c r="E640" t="str">
        <f>_xlfn.XLOOKUP(PROPERTIES[[#This Row],[COUNTRY]],COUNTRIES[COUNTRY_DESCRIPTION],COUNTRIES[COUNTRY_LABEL],"")</f>
        <v>KZ</v>
      </c>
      <c r="F640" t="s">
        <v>74</v>
      </c>
      <c r="G640" t="s">
        <v>20</v>
      </c>
      <c r="H640">
        <v>0</v>
      </c>
      <c r="I640">
        <v>8</v>
      </c>
      <c r="J640">
        <v>8</v>
      </c>
      <c r="K640" s="2" t="s">
        <v>20</v>
      </c>
      <c r="L640">
        <f>_xlfn.XLOOKUP("LOADINGSPEEDDEF_"&amp;PROPERTIES[[#This Row],[LOADINGSPEED]],LOADINGSPEEDDEF[TYPE],LOADINGSPEEDDEF[SPEED])</f>
        <v>0</v>
      </c>
      <c r="M640" t="s">
        <v>21</v>
      </c>
      <c r="N640">
        <v>1</v>
      </c>
      <c r="O640" s="34">
        <v>82</v>
      </c>
      <c r="P640">
        <v>6500</v>
      </c>
      <c r="Q640">
        <v>210</v>
      </c>
      <c r="R640" s="31">
        <v>264</v>
      </c>
      <c r="S640" s="30">
        <f>IFERROR(PROPERTIES[[#This Row],[TE_STARTING_KN]]/(PROPERTIES[[#This Row],[WEIGHT]]*9.81),0)</f>
        <v>0.32818676810621317</v>
      </c>
      <c r="T640" s="30">
        <v>0.32</v>
      </c>
      <c r="U640" s="27">
        <f>ROUND(IF(IFERROR(PROPERTIES[[#This Row],[TE_COEFFICIENT_CALC]],0)=0,PROPERTIES[[#This Row],[TE_COEFFICIENT_MANUAL]],PROPERTIES[[#This Row],[TE_COEFFICIENT_CALC]]),3)</f>
        <v>0.32800000000000001</v>
      </c>
      <c r="V640" s="6">
        <v>40</v>
      </c>
      <c r="W640" s="10">
        <v>0</v>
      </c>
      <c r="X640" s="10">
        <v>0</v>
      </c>
      <c r="Y640" s="10"/>
      <c r="Z640" t="str">
        <f>"RUNNING_COST_"&amp;IF(PROPERTIES[[#This Row],[ENGINE_CLASS]]="MAGLEV","ELECTRIC",PROPERTIES[[#This Row],[ENGINE_CLASS]])</f>
        <v>RUNNING_COST_ELECTRIC</v>
      </c>
      <c r="AA640" s="10" t="s">
        <v>1004</v>
      </c>
      <c r="AB640" s="10" t="s">
        <v>1005</v>
      </c>
      <c r="AC640" s="10" t="str">
        <f>SUBSTITUTE(SUBSTITUTE(PROPERTIES[[#This Row],[PURCHASECOST_VALUE]], "PURCHASECOST_", ""), "_VALUE", "")</f>
        <v>ELECTRICENGINE</v>
      </c>
      <c r="AD640" s="2" t="b">
        <v>0</v>
      </c>
      <c r="AV640"/>
      <c r="AW640"/>
      <c r="AX640"/>
    </row>
    <row r="641" spans="1:50">
      <c r="A641" s="2" t="s">
        <v>664</v>
      </c>
      <c r="B641">
        <v>2014</v>
      </c>
      <c r="C641">
        <v>0</v>
      </c>
      <c r="D641" t="s">
        <v>1921</v>
      </c>
      <c r="E641" t="str">
        <f>_xlfn.XLOOKUP(PROPERTIES[[#This Row],[COUNTRY]],COUNTRIES[COUNTRY_DESCRIPTION],COUNTRIES[COUNTRY_LABEL],"")</f>
        <v>KZ</v>
      </c>
      <c r="F641" t="s">
        <v>74</v>
      </c>
      <c r="G641" t="s">
        <v>20</v>
      </c>
      <c r="H641">
        <v>0</v>
      </c>
      <c r="I641">
        <v>8</v>
      </c>
      <c r="J641">
        <v>16</v>
      </c>
      <c r="K641" s="2" t="s">
        <v>20</v>
      </c>
      <c r="L641">
        <f>_xlfn.XLOOKUP("LOADINGSPEEDDEF_"&amp;PROPERTIES[[#This Row],[LOADINGSPEED]],LOADINGSPEEDDEF[TYPE],LOADINGSPEEDDEF[SPEED])</f>
        <v>0</v>
      </c>
      <c r="M641" t="s">
        <v>21</v>
      </c>
      <c r="N641">
        <v>1</v>
      </c>
      <c r="O641" s="34">
        <v>200</v>
      </c>
      <c r="P641">
        <v>11800</v>
      </c>
      <c r="Q641">
        <v>120</v>
      </c>
      <c r="R641" s="31">
        <v>833</v>
      </c>
      <c r="S641" s="30">
        <f>IFERROR(PROPERTIES[[#This Row],[TE_STARTING_KN]]/(PROPERTIES[[#This Row],[WEIGHT]]*9.81),0)</f>
        <v>0.42456676860346587</v>
      </c>
      <c r="T641" s="30">
        <v>0.42</v>
      </c>
      <c r="U641" s="27">
        <f>ROUND(IF(IFERROR(PROPERTIES[[#This Row],[TE_COEFFICIENT_CALC]],0)=0,PROPERTIES[[#This Row],[TE_COEFFICIENT_MANUAL]],PROPERTIES[[#This Row],[TE_COEFFICIENT_CALC]]),3)</f>
        <v>0.42499999999999999</v>
      </c>
      <c r="V641" s="6">
        <v>40</v>
      </c>
      <c r="W641" s="10">
        <v>0</v>
      </c>
      <c r="X641" s="10">
        <v>8</v>
      </c>
      <c r="Y641" s="10"/>
      <c r="Z641" t="str">
        <f>"RUNNING_COST_"&amp;IF(PROPERTIES[[#This Row],[ENGINE_CLASS]]="MAGLEV","ELECTRIC",PROPERTIES[[#This Row],[ENGINE_CLASS]])</f>
        <v>RUNNING_COST_ELECTRIC</v>
      </c>
      <c r="AA641" s="10" t="s">
        <v>1004</v>
      </c>
      <c r="AB641" s="10" t="s">
        <v>1005</v>
      </c>
      <c r="AC641" s="10" t="str">
        <f>SUBSTITUTE(SUBSTITUTE(PROPERTIES[[#This Row],[PURCHASECOST_VALUE]], "PURCHASECOST_", ""), "_VALUE", "")</f>
        <v>ELECTRICENGINE</v>
      </c>
      <c r="AD641" s="2" t="b">
        <v>0</v>
      </c>
      <c r="AV641"/>
      <c r="AW641"/>
      <c r="AX641"/>
    </row>
    <row r="642" spans="1:50">
      <c r="A642" s="2" t="s">
        <v>665</v>
      </c>
      <c r="B642">
        <v>2011</v>
      </c>
      <c r="C642">
        <v>0</v>
      </c>
      <c r="D642" t="s">
        <v>1987</v>
      </c>
      <c r="E642" t="str">
        <f>_xlfn.XLOOKUP(PROPERTIES[[#This Row],[COUNTRY]],COUNTRIES[COUNTRY_DESCRIPTION],COUNTRIES[COUNTRY_LABEL],"")</f>
        <v>RU</v>
      </c>
      <c r="F642" t="s">
        <v>74</v>
      </c>
      <c r="G642" t="s">
        <v>20</v>
      </c>
      <c r="H642">
        <v>0</v>
      </c>
      <c r="I642">
        <v>8</v>
      </c>
      <c r="J642">
        <v>8</v>
      </c>
      <c r="K642" s="2" t="s">
        <v>20</v>
      </c>
      <c r="L642">
        <f>_xlfn.XLOOKUP("LOADINGSPEEDDEF_"&amp;PROPERTIES[[#This Row],[LOADINGSPEED]],LOADINGSPEEDDEF[TYPE],LOADINGSPEEDDEF[SPEED])</f>
        <v>0</v>
      </c>
      <c r="M642" t="s">
        <v>21</v>
      </c>
      <c r="N642">
        <v>1</v>
      </c>
      <c r="O642" s="34">
        <v>135</v>
      </c>
      <c r="P642">
        <v>9655</v>
      </c>
      <c r="Q642">
        <v>200</v>
      </c>
      <c r="R642" s="31">
        <v>450</v>
      </c>
      <c r="S642" s="30">
        <f>IFERROR(PROPERTIES[[#This Row],[TE_STARTING_KN]]/(PROPERTIES[[#This Row],[WEIGHT]]*9.81),0)</f>
        <v>0.33978933061501865</v>
      </c>
      <c r="T642" s="30">
        <v>0.26</v>
      </c>
      <c r="U642" s="27">
        <f>ROUND(IF(IFERROR(PROPERTIES[[#This Row],[TE_COEFFICIENT_CALC]],0)=0,PROPERTIES[[#This Row],[TE_COEFFICIENT_MANUAL]],PROPERTIES[[#This Row],[TE_COEFFICIENT_CALC]]),3)</f>
        <v>0.34</v>
      </c>
      <c r="V642" s="6">
        <v>40</v>
      </c>
      <c r="W642" s="10">
        <v>0</v>
      </c>
      <c r="X642" s="10">
        <v>0</v>
      </c>
      <c r="Y642" s="10"/>
      <c r="Z642" t="str">
        <f>"RUNNING_COST_"&amp;IF(PROPERTIES[[#This Row],[ENGINE_CLASS]]="MAGLEV","ELECTRIC",PROPERTIES[[#This Row],[ENGINE_CLASS]])</f>
        <v>RUNNING_COST_ELECTRIC</v>
      </c>
      <c r="AA642" s="10" t="s">
        <v>1004</v>
      </c>
      <c r="AB642" s="10" t="s">
        <v>1005</v>
      </c>
      <c r="AC642" s="10" t="str">
        <f>SUBSTITUTE(SUBSTITUTE(PROPERTIES[[#This Row],[PURCHASECOST_VALUE]], "PURCHASECOST_", ""), "_VALUE", "")</f>
        <v>ELECTRICENGINE</v>
      </c>
      <c r="AD642" s="2" t="b">
        <v>0</v>
      </c>
      <c r="AV642"/>
      <c r="AW642"/>
      <c r="AX642"/>
    </row>
    <row r="643" spans="1:50">
      <c r="A643" s="2" t="s">
        <v>666</v>
      </c>
      <c r="B643">
        <v>1955</v>
      </c>
      <c r="C643">
        <v>0</v>
      </c>
      <c r="D643" t="s">
        <v>1867</v>
      </c>
      <c r="E643" t="str">
        <f>_xlfn.XLOOKUP(PROPERTIES[[#This Row],[COUNTRY]],COUNTRIES[COUNTRY_DESCRIPTION],COUNTRIES[COUNTRY_LABEL],"")</f>
        <v>FI</v>
      </c>
      <c r="F643" t="s">
        <v>35</v>
      </c>
      <c r="G643" t="s">
        <v>18</v>
      </c>
      <c r="H643">
        <v>64</v>
      </c>
      <c r="I643">
        <v>7</v>
      </c>
      <c r="J643">
        <v>7</v>
      </c>
      <c r="K643" s="2" t="s">
        <v>24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4">
        <v>18</v>
      </c>
      <c r="P643">
        <v>180</v>
      </c>
      <c r="Q643">
        <v>95</v>
      </c>
      <c r="R643" s="31">
        <v>29</v>
      </c>
      <c r="S643" s="30">
        <f>IFERROR(PROPERTIES[[#This Row],[TE_STARTING_KN]]/(PROPERTIES[[#This Row],[WEIGHT]]*9.81),0)</f>
        <v>0.16423150979725903</v>
      </c>
      <c r="T643" s="30">
        <v>0.33</v>
      </c>
      <c r="U643" s="27">
        <f>ROUND(IF(IFERROR(PROPERTIES[[#This Row],[TE_COEFFICIENT_CALC]],0)=0,PROPERTIES[[#This Row],[TE_COEFFICIENT_MANUAL]],PROPERTIES[[#This Row],[TE_COEFFICIENT_CALC]]),3)</f>
        <v>0.16400000000000001</v>
      </c>
      <c r="V643" s="6">
        <v>15</v>
      </c>
      <c r="W643" s="10">
        <v>0</v>
      </c>
      <c r="X643" s="10">
        <v>0</v>
      </c>
      <c r="Y643" s="10"/>
      <c r="Z643" t="str">
        <f>"RUNNING_COST_"&amp;IF(PROPERTIES[[#This Row],[ENGINE_CLASS]]="MAGLEV","ELECTRIC",PROPERTIES[[#This Row],[ENGINE_CLASS]])</f>
        <v>RUNNING_COST_DIESEL</v>
      </c>
      <c r="AA643" s="10" t="s">
        <v>994</v>
      </c>
      <c r="AB643" s="10" t="s">
        <v>995</v>
      </c>
      <c r="AC643" s="10" t="str">
        <f>SUBSTITUTE(SUBSTITUTE(PROPERTIES[[#This Row],[PURCHASECOST_VALUE]], "PURCHASECOST_", ""), "_VALUE", "")</f>
        <v>DIESELRAILBUS</v>
      </c>
      <c r="AD643" s="2" t="b">
        <v>0</v>
      </c>
      <c r="AV643"/>
      <c r="AW643"/>
      <c r="AX643"/>
    </row>
    <row r="644" spans="1:50">
      <c r="A644" s="2" t="s">
        <v>667</v>
      </c>
      <c r="B644">
        <v>1984</v>
      </c>
      <c r="C644">
        <v>0</v>
      </c>
      <c r="D644" t="s">
        <v>2048</v>
      </c>
      <c r="E644" t="str">
        <f>_xlfn.XLOOKUP(PROPERTIES[[#This Row],[COUNTRY]],COUNTRIES[COUNTRY_DESCRIPTION],COUNTRIES[COUNTRY_LABEL],"")</f>
        <v>SU</v>
      </c>
      <c r="F644" t="s">
        <v>35</v>
      </c>
      <c r="G644" t="s">
        <v>18</v>
      </c>
      <c r="H644">
        <v>67</v>
      </c>
      <c r="I644">
        <v>8</v>
      </c>
      <c r="J644">
        <v>8</v>
      </c>
      <c r="K644" s="2" t="s">
        <v>24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4">
        <v>59</v>
      </c>
      <c r="P644">
        <v>990</v>
      </c>
      <c r="Q644">
        <v>120</v>
      </c>
      <c r="R644" s="31">
        <v>157</v>
      </c>
      <c r="S644" s="30">
        <f>IFERROR(PROPERTIES[[#This Row],[TE_STARTING_KN]]/(PROPERTIES[[#This Row],[WEIGHT]]*9.81),0)</f>
        <v>0.27125555037232846</v>
      </c>
      <c r="T644" s="30">
        <v>0.24</v>
      </c>
      <c r="U644" s="27">
        <f>ROUND(IF(IFERROR(PROPERTIES[[#This Row],[TE_COEFFICIENT_CALC]],0)=0,PROPERTIES[[#This Row],[TE_COEFFICIENT_MANUAL]],PROPERTIES[[#This Row],[TE_COEFFICIENT_CALC]]),3)</f>
        <v>0.27100000000000002</v>
      </c>
      <c r="V644" s="6">
        <v>15</v>
      </c>
      <c r="W644" s="10">
        <v>0</v>
      </c>
      <c r="X644" s="10">
        <v>0</v>
      </c>
      <c r="Y644" s="10"/>
      <c r="Z644" t="str">
        <f>"RUNNING_COST_"&amp;IF(PROPERTIES[[#This Row],[ENGINE_CLASS]]="MAGLEV","ELECTRIC",PROPERTIES[[#This Row],[ENGINE_CLASS]])</f>
        <v>RUNNING_COST_DIESEL</v>
      </c>
      <c r="AA644" s="10" t="s">
        <v>994</v>
      </c>
      <c r="AB644" s="10" t="s">
        <v>995</v>
      </c>
      <c r="AC644" s="10" t="str">
        <f>SUBSTITUTE(SUBSTITUTE(PROPERTIES[[#This Row],[PURCHASECOST_VALUE]], "PURCHASECOST_", ""), "_VALUE", "")</f>
        <v>DIESELRAILBUS</v>
      </c>
      <c r="AD644" s="2" t="b">
        <v>0</v>
      </c>
      <c r="AV644"/>
      <c r="AW644"/>
      <c r="AX644"/>
    </row>
    <row r="645" spans="1:50">
      <c r="A645" s="2" t="s">
        <v>668</v>
      </c>
      <c r="B645">
        <v>1973</v>
      </c>
      <c r="C645">
        <v>1</v>
      </c>
      <c r="D645" t="s">
        <v>2048</v>
      </c>
      <c r="E645" t="str">
        <f>_xlfn.XLOOKUP(PROPERTIES[[#This Row],[COUNTRY]],COUNTRIES[COUNTRY_DESCRIPTION],COUNTRIES[COUNTRY_LABEL],"")</f>
        <v>SU</v>
      </c>
      <c r="F645" t="s">
        <v>74</v>
      </c>
      <c r="G645" t="s">
        <v>18</v>
      </c>
      <c r="H645">
        <v>64</v>
      </c>
      <c r="I645">
        <v>8</v>
      </c>
      <c r="J645">
        <v>8</v>
      </c>
      <c r="K645" s="2" t="s">
        <v>24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4">
        <v>49</v>
      </c>
      <c r="P645">
        <v>1280</v>
      </c>
      <c r="Q645">
        <v>200</v>
      </c>
      <c r="R645" s="31">
        <v>35.6</v>
      </c>
      <c r="S645" s="30">
        <f>IFERROR(PROPERTIES[[#This Row],[TE_STARTING_KN]]/(PROPERTIES[[#This Row],[WEIGHT]]*9.81),0)</f>
        <v>7.4060205121804071E-2</v>
      </c>
      <c r="T645" s="30">
        <v>0.13</v>
      </c>
      <c r="U645" s="27">
        <f>ROUND(IF(IFERROR(PROPERTIES[[#This Row],[TE_COEFFICIENT_CALC]],0)=0,PROPERTIES[[#This Row],[TE_COEFFICIENT_MANUAL]],PROPERTIES[[#This Row],[TE_COEFFICIENT_CALC]]),3)</f>
        <v>7.3999999999999996E-2</v>
      </c>
      <c r="V645" s="6">
        <v>40</v>
      </c>
      <c r="W645" s="10">
        <v>64</v>
      </c>
      <c r="X645" s="10">
        <v>8</v>
      </c>
      <c r="Y645" s="10"/>
      <c r="Z645" t="str">
        <f>"RUNNING_COST_"&amp;IF(PROPERTIES[[#This Row],[ENGINE_CLASS]]="MAGLEV","ELECTRIC",PROPERTIES[[#This Row],[ENGINE_CLASS]])</f>
        <v>RUNNING_COST_ELECTRIC</v>
      </c>
      <c r="AA645" s="10" t="s">
        <v>1008</v>
      </c>
      <c r="AB645" s="10" t="s">
        <v>1009</v>
      </c>
      <c r="AC645" s="10" t="str">
        <f>SUBSTITUTE(SUBSTITUTE(PROPERTIES[[#This Row],[PURCHASECOST_VALUE]], "PURCHASECOST_", ""), "_VALUE", "")</f>
        <v>EMU</v>
      </c>
      <c r="AD645" s="2" t="b">
        <v>0</v>
      </c>
      <c r="AV645"/>
      <c r="AW645"/>
      <c r="AX645"/>
    </row>
    <row r="646" spans="1:50">
      <c r="A646" s="2" t="s">
        <v>669</v>
      </c>
      <c r="B646">
        <v>1929</v>
      </c>
      <c r="C646">
        <v>1</v>
      </c>
      <c r="D646" t="s">
        <v>2048</v>
      </c>
      <c r="E646" t="str">
        <f>_xlfn.XLOOKUP(PROPERTIES[[#This Row],[COUNTRY]],COUNTRIES[COUNTRY_DESCRIPTION],COUNTRIES[COUNTRY_LABEL],"")</f>
        <v>SU</v>
      </c>
      <c r="F646" t="s">
        <v>74</v>
      </c>
      <c r="G646" t="s">
        <v>18</v>
      </c>
      <c r="H646">
        <v>110</v>
      </c>
      <c r="I646">
        <v>7</v>
      </c>
      <c r="J646">
        <v>7</v>
      </c>
      <c r="K646" s="2" t="s">
        <v>24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4">
        <v>58.9</v>
      </c>
      <c r="P646">
        <f>805*2</f>
        <v>1610</v>
      </c>
      <c r="Q646">
        <v>85</v>
      </c>
      <c r="R646" s="31">
        <v>145</v>
      </c>
      <c r="S646" s="30">
        <f>IFERROR(PROPERTIES[[#This Row],[TE_STARTING_KN]]/(PROPERTIES[[#This Row],[WEIGHT]]*9.81),0)</f>
        <v>0.25094797761890175</v>
      </c>
      <c r="T646" s="30">
        <v>0.08</v>
      </c>
      <c r="U646" s="27">
        <f>ROUND(IF(IFERROR(PROPERTIES[[#This Row],[TE_COEFFICIENT_CALC]],0)=0,PROPERTIES[[#This Row],[TE_COEFFICIENT_MANUAL]],PROPERTIES[[#This Row],[TE_COEFFICIENT_CALC]]),3)</f>
        <v>0.251</v>
      </c>
      <c r="V646" s="6">
        <v>40</v>
      </c>
      <c r="W646" s="10">
        <v>110</v>
      </c>
      <c r="X646" s="10">
        <v>7</v>
      </c>
      <c r="Y646" s="10"/>
      <c r="Z646" t="str">
        <f>"RUNNING_COST_"&amp;IF(PROPERTIES[[#This Row],[ENGINE_CLASS]]="MAGLEV","ELECTRIC",PROPERTIES[[#This Row],[ENGINE_CLASS]])</f>
        <v>RUNNING_COST_ELECTRIC</v>
      </c>
      <c r="AA646" s="10" t="s">
        <v>1008</v>
      </c>
      <c r="AB646" s="10" t="s">
        <v>1009</v>
      </c>
      <c r="AC646" s="10" t="str">
        <f>SUBSTITUTE(SUBSTITUTE(PROPERTIES[[#This Row],[PURCHASECOST_VALUE]], "PURCHASECOST_", ""), "_VALUE", "")</f>
        <v>EMU</v>
      </c>
      <c r="AD646" s="2" t="b">
        <v>0</v>
      </c>
      <c r="AV646"/>
      <c r="AW646"/>
      <c r="AX646"/>
    </row>
    <row r="647" spans="1:50">
      <c r="A647" s="2" t="s">
        <v>670</v>
      </c>
      <c r="B647">
        <v>2015</v>
      </c>
      <c r="C647">
        <v>1</v>
      </c>
      <c r="D647" t="s">
        <v>1894</v>
      </c>
      <c r="E647" t="str">
        <f>_xlfn.XLOOKUP(PROPERTIES[[#This Row],[COUNTRY]],COUNTRIES[COUNTRY_DESCRIPTION],COUNTRIES[COUNTRY_LABEL],"")</f>
        <v>HR</v>
      </c>
      <c r="F647" t="s">
        <v>74</v>
      </c>
      <c r="G647" t="s">
        <v>18</v>
      </c>
      <c r="H647">
        <v>60</v>
      </c>
      <c r="I647">
        <v>8</v>
      </c>
      <c r="J647">
        <v>8</v>
      </c>
      <c r="K647" s="2" t="s">
        <v>24</v>
      </c>
      <c r="L647">
        <f>_xlfn.XLOOKUP("LOADINGSPEEDDEF_"&amp;PROPERTIES[[#This Row],[LOADINGSPEED]],LOADINGSPEEDDEF[TYPE],LOADINGSPEEDDEF[SPEED])</f>
        <v>40</v>
      </c>
      <c r="M647" t="s">
        <v>21</v>
      </c>
      <c r="N647">
        <v>1</v>
      </c>
      <c r="O647" s="34">
        <v>43</v>
      </c>
      <c r="P647">
        <v>2700</v>
      </c>
      <c r="Q647">
        <v>160</v>
      </c>
      <c r="R647" s="31">
        <v>100</v>
      </c>
      <c r="S647" s="30">
        <f>IFERROR(PROPERTIES[[#This Row],[TE_STARTING_KN]]/(PROPERTIES[[#This Row],[WEIGHT]]*9.81),0)</f>
        <v>0.23706232368489674</v>
      </c>
      <c r="T647" s="30">
        <v>0.47</v>
      </c>
      <c r="U647" s="27">
        <f>ROUND(IF(IFERROR(PROPERTIES[[#This Row],[TE_COEFFICIENT_CALC]],0)=0,PROPERTIES[[#This Row],[TE_COEFFICIENT_MANUAL]],PROPERTIES[[#This Row],[TE_COEFFICIENT_CALC]]),3)</f>
        <v>0.23699999999999999</v>
      </c>
      <c r="V647" s="6">
        <v>40</v>
      </c>
      <c r="W647" s="10">
        <v>60</v>
      </c>
      <c r="X647" s="10">
        <v>8</v>
      </c>
      <c r="Y647" s="10"/>
      <c r="Z647" t="str">
        <f>"RUNNING_COST_"&amp;IF(PROPERTIES[[#This Row],[ENGINE_CLASS]]="MAGLEV","ELECTRIC",PROPERTIES[[#This Row],[ENGINE_CLASS]])</f>
        <v>RUNNING_COST_ELECTRIC</v>
      </c>
      <c r="AA647" s="10" t="s">
        <v>1008</v>
      </c>
      <c r="AB647" s="10" t="s">
        <v>1009</v>
      </c>
      <c r="AC647" s="10" t="str">
        <f>SUBSTITUTE(SUBSTITUTE(PROPERTIES[[#This Row],[PURCHASECOST_VALUE]], "PURCHASECOST_", ""), "_VALUE", "")</f>
        <v>EMU</v>
      </c>
      <c r="AD647" s="2" t="b">
        <v>0</v>
      </c>
      <c r="AV647"/>
      <c r="AW647"/>
      <c r="AX647"/>
    </row>
    <row r="648" spans="1:50">
      <c r="A648" s="2" t="s">
        <v>671</v>
      </c>
      <c r="B648">
        <v>2011</v>
      </c>
      <c r="C648">
        <v>1</v>
      </c>
      <c r="D648" t="s">
        <v>1987</v>
      </c>
      <c r="E648" t="str">
        <f>_xlfn.XLOOKUP(PROPERTIES[[#This Row],[COUNTRY]],COUNTRIES[COUNTRY_DESCRIPTION],COUNTRIES[COUNTRY_LABEL],"")</f>
        <v>RU</v>
      </c>
      <c r="F648" t="s">
        <v>74</v>
      </c>
      <c r="G648" t="s">
        <v>18</v>
      </c>
      <c r="H648">
        <v>67</v>
      </c>
      <c r="I648">
        <v>8</v>
      </c>
      <c r="J648">
        <v>8</v>
      </c>
      <c r="K648" s="2" t="s">
        <v>24</v>
      </c>
      <c r="L648">
        <f>_xlfn.XLOOKUP("LOADINGSPEEDDEF_"&amp;PROPERTIES[[#This Row],[LOADINGSPEED]],LOADINGSPEEDDEF[TYPE],LOADINGSPEEDDEF[SPEED])</f>
        <v>40</v>
      </c>
      <c r="M648" t="s">
        <v>21</v>
      </c>
      <c r="N648">
        <v>1</v>
      </c>
      <c r="O648" s="34">
        <v>56</v>
      </c>
      <c r="P648">
        <v>2700</v>
      </c>
      <c r="Q648">
        <v>160</v>
      </c>
      <c r="R648" s="31">
        <v>90</v>
      </c>
      <c r="S648" s="30">
        <f>IFERROR(PROPERTIES[[#This Row],[TE_STARTING_KN]]/(PROPERTIES[[#This Row],[WEIGHT]]*9.81),0)</f>
        <v>0.163826998689384</v>
      </c>
      <c r="T648" s="30">
        <v>0.54</v>
      </c>
      <c r="U648" s="27">
        <f>ROUND(IF(IFERROR(PROPERTIES[[#This Row],[TE_COEFFICIENT_CALC]],0)=0,PROPERTIES[[#This Row],[TE_COEFFICIENT_MANUAL]],PROPERTIES[[#This Row],[TE_COEFFICIENT_CALC]]),3)</f>
        <v>0.16400000000000001</v>
      </c>
      <c r="V648" s="6">
        <v>40</v>
      </c>
      <c r="W648" s="10">
        <v>88</v>
      </c>
      <c r="X648" s="10">
        <v>8</v>
      </c>
      <c r="Y648" s="10"/>
      <c r="Z648" t="str">
        <f>"RUNNING_COST_"&amp;IF(PROPERTIES[[#This Row],[ENGINE_CLASS]]="MAGLEV","ELECTRIC",PROPERTIES[[#This Row],[ENGINE_CLASS]])</f>
        <v>RUNNING_COST_ELECTRIC</v>
      </c>
      <c r="AA648" s="10" t="s">
        <v>1008</v>
      </c>
      <c r="AB648" s="10" t="s">
        <v>1009</v>
      </c>
      <c r="AC648" s="10" t="str">
        <f>SUBSTITUTE(SUBSTITUTE(PROPERTIES[[#This Row],[PURCHASECOST_VALUE]], "PURCHASECOST_", ""), "_VALUE", "")</f>
        <v>EMU</v>
      </c>
      <c r="AD648" s="2" t="b">
        <v>0</v>
      </c>
      <c r="AV648"/>
      <c r="AW648"/>
      <c r="AX648"/>
    </row>
    <row r="649" spans="1:50">
      <c r="A649" s="2" t="s">
        <v>754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19</v>
      </c>
      <c r="G649" t="s">
        <v>325</v>
      </c>
      <c r="H649">
        <v>1</v>
      </c>
      <c r="I649">
        <v>8</v>
      </c>
      <c r="J649">
        <v>8</v>
      </c>
      <c r="K649" s="2" t="s">
        <v>20</v>
      </c>
      <c r="L649">
        <f>_xlfn.XLOOKUP("LOADINGSPEEDDEF_"&amp;PROPERTIES[[#This Row],[LOADINGSPEED]],LOADINGSPEEDDEF[TYPE],LOADINGSPEEDDEF[SPEED])</f>
        <v>0</v>
      </c>
      <c r="M649" t="s">
        <v>21</v>
      </c>
      <c r="N649">
        <v>1</v>
      </c>
      <c r="O649" s="34">
        <v>0</v>
      </c>
      <c r="P649">
        <v>0</v>
      </c>
      <c r="Q649">
        <v>0</v>
      </c>
      <c r="R649" s="31">
        <v>0</v>
      </c>
      <c r="S649" s="30">
        <f>IFERROR(PROPERTIES[[#This Row],[TE_STARTING_KN]]/(PROPERTIES[[#This Row],[WEIGHT]]*9.81),0)</f>
        <v>0</v>
      </c>
      <c r="T649" s="30">
        <v>0.3</v>
      </c>
      <c r="U649" s="27">
        <f>ROUND(IF(IFERROR(PROPERTIES[[#This Row],[TE_COEFFICIENT_CALC]],0)=0,PROPERTIES[[#This Row],[TE_COEFFICIENT_MANUAL]],PROPERTIES[[#This Row],[TE_COEFFICIENT_CALC]]),3)</f>
        <v>0.3</v>
      </c>
      <c r="V649" s="6">
        <v>60</v>
      </c>
      <c r="W649" s="10">
        <v>0</v>
      </c>
      <c r="X649" s="10">
        <v>0</v>
      </c>
      <c r="Y649" s="10"/>
      <c r="Z649" t="str">
        <f>"RUNNING_COST_"&amp;IF(PROPERTIES[[#This Row],[ENGINE_CLASS]]="MAGLEV","ELECTRIC",PROPERTIES[[#This Row],[ENGINE_CLASS]])</f>
        <v>RUNNING_COST_ELECTRIC</v>
      </c>
      <c r="AA649" s="10" t="s">
        <v>1002</v>
      </c>
      <c r="AB649" s="10" t="s">
        <v>1003</v>
      </c>
      <c r="AC649" s="10" t="str">
        <f>SUBSTITUTE(SUBSTITUTE(PROPERTIES[[#This Row],[PURCHASECOST_VALUE]], "PURCHASECOST_", ""), "_VALUE", "")</f>
        <v>METRO</v>
      </c>
      <c r="AD649" s="2" t="b">
        <v>0</v>
      </c>
      <c r="AV649"/>
      <c r="AW649"/>
      <c r="AX649"/>
    </row>
    <row r="650" spans="1:50">
      <c r="A650" s="2" t="s">
        <v>753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19</v>
      </c>
      <c r="G650" t="s">
        <v>325</v>
      </c>
      <c r="H650">
        <v>1</v>
      </c>
      <c r="I650">
        <v>8</v>
      </c>
      <c r="J650">
        <v>8</v>
      </c>
      <c r="K650" s="2" t="s">
        <v>20</v>
      </c>
      <c r="L650">
        <f>_xlfn.XLOOKUP("LOADINGSPEEDDEF_"&amp;PROPERTIES[[#This Row],[LOADINGSPEED]],LOADINGSPEEDDEF[TYPE],LOADINGSPEEDDEF[SPEED])</f>
        <v>0</v>
      </c>
      <c r="M650" t="s">
        <v>21</v>
      </c>
      <c r="N650">
        <v>1</v>
      </c>
      <c r="O650" s="34">
        <v>0</v>
      </c>
      <c r="P650">
        <v>0</v>
      </c>
      <c r="Q650">
        <v>0</v>
      </c>
      <c r="R650" s="31">
        <v>0</v>
      </c>
      <c r="S650" s="30">
        <f>IFERROR(PROPERTIES[[#This Row],[TE_STARTING_KN]]/(PROPERTIES[[#This Row],[WEIGHT]]*9.81),0)</f>
        <v>0</v>
      </c>
      <c r="T650" s="30">
        <v>0.3</v>
      </c>
      <c r="U650" s="27">
        <f>ROUND(IF(IFERROR(PROPERTIES[[#This Row],[TE_COEFFICIENT_CALC]],0)=0,PROPERTIES[[#This Row],[TE_COEFFICIENT_MANUAL]],PROPERTIES[[#This Row],[TE_COEFFICIENT_CALC]]),3)</f>
        <v>0.3</v>
      </c>
      <c r="V650" s="6">
        <v>60</v>
      </c>
      <c r="W650" s="10">
        <v>0</v>
      </c>
      <c r="X650" s="10">
        <v>0</v>
      </c>
      <c r="Y650" s="10"/>
      <c r="Z650" t="str">
        <f>"RUNNING_COST_"&amp;IF(PROPERTIES[[#This Row],[ENGINE_CLASS]]="MAGLEV","ELECTRIC",PROPERTIES[[#This Row],[ENGINE_CLASS]])</f>
        <v>RUNNING_COST_ELECTRIC</v>
      </c>
      <c r="AA650" s="10" t="s">
        <v>1002</v>
      </c>
      <c r="AB650" s="10" t="s">
        <v>1003</v>
      </c>
      <c r="AC650" s="10" t="str">
        <f>SUBSTITUTE(SUBSTITUTE(PROPERTIES[[#This Row],[PURCHASECOST_VALUE]], "PURCHASECOST_", ""), "_VALUE", "")</f>
        <v>METRO</v>
      </c>
      <c r="AD650" s="2" t="b">
        <v>0</v>
      </c>
      <c r="AV650"/>
      <c r="AW650"/>
      <c r="AX650"/>
    </row>
    <row r="651" spans="1:50">
      <c r="A651" s="2" t="s">
        <v>755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74</v>
      </c>
      <c r="G651" t="s">
        <v>532</v>
      </c>
      <c r="H651">
        <v>1</v>
      </c>
      <c r="I651">
        <v>8</v>
      </c>
      <c r="J651">
        <v>8</v>
      </c>
      <c r="K651" s="2" t="s">
        <v>20</v>
      </c>
      <c r="L651">
        <f>_xlfn.XLOOKUP("LOADINGSPEEDDEF_"&amp;PROPERTIES[[#This Row],[LOADINGSPEED]],LOADINGSPEEDDEF[TYPE],LOADINGSPEEDDEF[SPEED])</f>
        <v>0</v>
      </c>
      <c r="M651" t="s">
        <v>21</v>
      </c>
      <c r="N651">
        <v>0</v>
      </c>
      <c r="O651" s="34">
        <v>0</v>
      </c>
      <c r="P651">
        <v>0</v>
      </c>
      <c r="Q651">
        <v>0</v>
      </c>
      <c r="R651" s="31">
        <v>0</v>
      </c>
      <c r="S651" s="30">
        <f>IFERROR(PROPERTIES[[#This Row],[TE_STARTING_KN]]/(PROPERTIES[[#This Row],[WEIGHT]]*9.81),0)</f>
        <v>0</v>
      </c>
      <c r="T651" s="30">
        <v>0.3</v>
      </c>
      <c r="U651" s="27">
        <f>ROUND(IF(IFERROR(PROPERTIES[[#This Row],[TE_COEFFICIENT_CALC]],0)=0,PROPERTIES[[#This Row],[TE_COEFFICIENT_MANUAL]],PROPERTIES[[#This Row],[TE_COEFFICIENT_CALC]]),3)</f>
        <v>0.3</v>
      </c>
      <c r="V651" s="6">
        <v>60</v>
      </c>
      <c r="W651" s="10">
        <v>0</v>
      </c>
      <c r="X651" s="10">
        <v>0</v>
      </c>
      <c r="Y651" s="10"/>
      <c r="Z651" t="str">
        <f>"RUNNING_COST_"&amp;IF(PROPERTIES[[#This Row],[ENGINE_CLASS]]="MAGLEV","ELECTRIC",PROPERTIES[[#This Row],[ENGINE_CLASS]])</f>
        <v>RUNNING_COST_ELECTRIC</v>
      </c>
      <c r="AA651" s="10" t="s">
        <v>1006</v>
      </c>
      <c r="AB651" s="10" t="s">
        <v>1007</v>
      </c>
      <c r="AC651" s="10" t="str">
        <f>SUBSTITUTE(SUBSTITUTE(PROPERTIES[[#This Row],[PURCHASECOST_VALUE]], "PURCHASECOST_", ""), "_VALUE", "")</f>
        <v>DMU</v>
      </c>
      <c r="AD651" s="2" t="b">
        <v>0</v>
      </c>
      <c r="AV651"/>
      <c r="AW651"/>
      <c r="AX651"/>
    </row>
    <row r="652" spans="1:50">
      <c r="A652" s="2" t="s">
        <v>756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35</v>
      </c>
      <c r="G652" t="s">
        <v>532</v>
      </c>
      <c r="H652">
        <v>1</v>
      </c>
      <c r="I652">
        <v>8</v>
      </c>
      <c r="J652">
        <v>8</v>
      </c>
      <c r="K652" s="2" t="s">
        <v>20</v>
      </c>
      <c r="L652">
        <f>_xlfn.XLOOKUP("LOADINGSPEEDDEF_"&amp;PROPERTIES[[#This Row],[LOADINGSPEED]],LOADINGSPEEDDEF[TYPE],LOADINGSPEEDDEF[SPEED])</f>
        <v>0</v>
      </c>
      <c r="M652" t="s">
        <v>21</v>
      </c>
      <c r="N652">
        <v>0</v>
      </c>
      <c r="O652" s="34">
        <v>0</v>
      </c>
      <c r="P652">
        <v>0</v>
      </c>
      <c r="Q652">
        <v>0</v>
      </c>
      <c r="R652" s="31">
        <v>0</v>
      </c>
      <c r="S652" s="30">
        <f>IFERROR(PROPERTIES[[#This Row],[TE_STARTING_KN]]/(PROPERTIES[[#This Row],[WEIGHT]]*9.81),0)</f>
        <v>0</v>
      </c>
      <c r="T652" s="30">
        <v>0.3</v>
      </c>
      <c r="U652" s="27">
        <f>ROUND(IF(IFERROR(PROPERTIES[[#This Row],[TE_COEFFICIENT_CALC]],0)=0,PROPERTIES[[#This Row],[TE_COEFFICIENT_MANUAL]],PROPERTIES[[#This Row],[TE_COEFFICIENT_CALC]]),3)</f>
        <v>0.3</v>
      </c>
      <c r="V652" s="6">
        <v>60</v>
      </c>
      <c r="W652" s="10">
        <v>0</v>
      </c>
      <c r="X652" s="10">
        <v>0</v>
      </c>
      <c r="Y652" s="10"/>
      <c r="Z652" t="str">
        <f>"RUNNING_COST_"&amp;IF(PROPERTIES[[#This Row],[ENGINE_CLASS]]="MAGLEV","ELECTRIC",PROPERTIES[[#This Row],[ENGINE_CLASS]])</f>
        <v>RUNNING_COST_DIESEL</v>
      </c>
      <c r="AA652" s="10" t="s">
        <v>1006</v>
      </c>
      <c r="AB652" s="10" t="s">
        <v>1007</v>
      </c>
      <c r="AC652" s="10" t="str">
        <f>SUBSTITUTE(SUBSTITUTE(PROPERTIES[[#This Row],[PURCHASECOST_VALUE]], "PURCHASECOST_", ""), "_VALUE", "")</f>
        <v>DMU</v>
      </c>
      <c r="AD652" s="2" t="b">
        <v>0</v>
      </c>
      <c r="AV652"/>
      <c r="AW652"/>
      <c r="AX652"/>
    </row>
    <row r="653" spans="1:50">
      <c r="A653" s="2" t="s">
        <v>757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74</v>
      </c>
      <c r="G653" t="s">
        <v>18</v>
      </c>
      <c r="H653">
        <v>1</v>
      </c>
      <c r="I653">
        <v>8</v>
      </c>
      <c r="J653">
        <v>8</v>
      </c>
      <c r="K653" s="2" t="s">
        <v>20</v>
      </c>
      <c r="L653">
        <f>_xlfn.XLOOKUP("LOADINGSPEEDDEF_"&amp;PROPERTIES[[#This Row],[LOADINGSPEED]],LOADINGSPEEDDEF[TYPE],LOADINGSPEEDDEF[SPEED])</f>
        <v>0</v>
      </c>
      <c r="M653" t="s">
        <v>21</v>
      </c>
      <c r="N653">
        <v>1</v>
      </c>
      <c r="O653" s="34">
        <v>0</v>
      </c>
      <c r="P653">
        <v>0</v>
      </c>
      <c r="Q653">
        <v>0</v>
      </c>
      <c r="R653" s="31">
        <v>0</v>
      </c>
      <c r="S653" s="30">
        <f>IFERROR(PROPERTIES[[#This Row],[TE_STARTING_KN]]/(PROPERTIES[[#This Row],[WEIGHT]]*9.81),0)</f>
        <v>0</v>
      </c>
      <c r="T653" s="30">
        <v>0.3</v>
      </c>
      <c r="U653" s="27">
        <f>ROUND(IF(IFERROR(PROPERTIES[[#This Row],[TE_COEFFICIENT_CALC]],0)=0,PROPERTIES[[#This Row],[TE_COEFFICIENT_MANUAL]],PROPERTIES[[#This Row],[TE_COEFFICIENT_CALC]]),3)</f>
        <v>0.3</v>
      </c>
      <c r="V653" s="6">
        <v>60</v>
      </c>
      <c r="W653" s="10">
        <v>0</v>
      </c>
      <c r="X653" s="10">
        <v>0</v>
      </c>
      <c r="Y653" s="10"/>
      <c r="Z653" t="str">
        <f>"RUNNING_COST_"&amp;IF(PROPERTIES[[#This Row],[ENGINE_CLASS]]="MAGLEV","ELECTRIC",PROPERTIES[[#This Row],[ENGINE_CLASS]])</f>
        <v>RUNNING_COST_ELECTRIC</v>
      </c>
      <c r="AA653" s="10" t="s">
        <v>1006</v>
      </c>
      <c r="AB653" s="10" t="s">
        <v>1007</v>
      </c>
      <c r="AC653" s="10" t="str">
        <f>SUBSTITUTE(SUBSTITUTE(PROPERTIES[[#This Row],[PURCHASECOST_VALUE]], "PURCHASECOST_", ""), "_VALUE", "")</f>
        <v>DMU</v>
      </c>
      <c r="AD653" s="2" t="b">
        <v>0</v>
      </c>
      <c r="AV653"/>
      <c r="AW653"/>
      <c r="AX653"/>
    </row>
    <row r="654" spans="1:50">
      <c r="A654" s="2" t="s">
        <v>758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35</v>
      </c>
      <c r="G654" t="s">
        <v>18</v>
      </c>
      <c r="H654">
        <v>1</v>
      </c>
      <c r="I654">
        <v>8</v>
      </c>
      <c r="J654">
        <v>8</v>
      </c>
      <c r="K654" s="2" t="s">
        <v>20</v>
      </c>
      <c r="L654">
        <f>_xlfn.XLOOKUP("LOADINGSPEEDDEF_"&amp;PROPERTIES[[#This Row],[LOADINGSPEED]],LOADINGSPEEDDEF[TYPE],LOADINGSPEEDDEF[SPEED])</f>
        <v>0</v>
      </c>
      <c r="M654" t="s">
        <v>21</v>
      </c>
      <c r="N654">
        <v>1</v>
      </c>
      <c r="O654" s="34">
        <v>0</v>
      </c>
      <c r="P654">
        <v>0</v>
      </c>
      <c r="Q654">
        <v>0</v>
      </c>
      <c r="R654" s="31">
        <v>0</v>
      </c>
      <c r="S654" s="30">
        <f>IFERROR(PROPERTIES[[#This Row],[TE_STARTING_KN]]/(PROPERTIES[[#This Row],[WEIGHT]]*9.81),0)</f>
        <v>0</v>
      </c>
      <c r="T654" s="30">
        <v>0.3</v>
      </c>
      <c r="U654" s="27">
        <f>ROUND(IF(IFERROR(PROPERTIES[[#This Row],[TE_COEFFICIENT_CALC]],0)=0,PROPERTIES[[#This Row],[TE_COEFFICIENT_MANUAL]],PROPERTIES[[#This Row],[TE_COEFFICIENT_CALC]]),3)</f>
        <v>0.3</v>
      </c>
      <c r="V654" s="6">
        <v>60</v>
      </c>
      <c r="W654" s="10">
        <v>0</v>
      </c>
      <c r="X654" s="10">
        <v>0</v>
      </c>
      <c r="Y654" s="10"/>
      <c r="Z654" t="str">
        <f>"RUNNING_COST_"&amp;IF(PROPERTIES[[#This Row],[ENGINE_CLASS]]="MAGLEV","ELECTRIC",PROPERTIES[[#This Row],[ENGINE_CLASS]])</f>
        <v>RUNNING_COST_DIESEL</v>
      </c>
      <c r="AA654" s="10" t="s">
        <v>1006</v>
      </c>
      <c r="AB654" s="10" t="s">
        <v>1007</v>
      </c>
      <c r="AC654" s="10" t="str">
        <f>SUBSTITUTE(SUBSTITUTE(PROPERTIES[[#This Row],[PURCHASECOST_VALUE]], "PURCHASECOST_", ""), "_VALUE", "")</f>
        <v>DMU</v>
      </c>
      <c r="AD654" s="2" t="b">
        <v>0</v>
      </c>
      <c r="AV654"/>
      <c r="AW654"/>
      <c r="AX654"/>
    </row>
    <row r="655" spans="1:50">
      <c r="A655" s="2" t="s">
        <v>760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35</v>
      </c>
      <c r="G655" t="s">
        <v>603</v>
      </c>
      <c r="H655">
        <v>20</v>
      </c>
      <c r="I655">
        <v>4</v>
      </c>
      <c r="J655">
        <v>4</v>
      </c>
      <c r="K655" s="2" t="s">
        <v>33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4">
        <v>5</v>
      </c>
      <c r="P655">
        <v>0</v>
      </c>
      <c r="Q655">
        <v>55</v>
      </c>
      <c r="R655" s="31">
        <v>0</v>
      </c>
      <c r="S655" s="30">
        <f>IFERROR(PROPERTIES[[#This Row],[TE_STARTING_KN]]/(PROPERTIES[[#This Row],[WEIGHT]]*9.81),0)</f>
        <v>0</v>
      </c>
      <c r="T655" s="30">
        <v>0.3</v>
      </c>
      <c r="U655" s="27">
        <f>ROUND(IF(IFERROR(PROPERTIES[[#This Row],[TE_COEFFICIENT_CALC]],0)=0,PROPERTIES[[#This Row],[TE_COEFFICIENT_MANUAL]],PROPERTIES[[#This Row],[TE_COEFFICIENT_CALC]]),3)</f>
        <v>0.3</v>
      </c>
      <c r="V655" s="6">
        <v>25</v>
      </c>
      <c r="W655" s="10">
        <v>0</v>
      </c>
      <c r="X655" s="10">
        <v>0</v>
      </c>
      <c r="Y655" s="10"/>
      <c r="Z655" t="str">
        <f>"RUNNING_COST_"&amp;IF(PROPERTIES[[#This Row],[ENGINE_CLASS]]="MAGLEV","ELECTRIC",PROPERTIES[[#This Row],[ENGINE_CLASS]])</f>
        <v>RUNNING_COST_DIESEL</v>
      </c>
      <c r="AA655" s="10" t="s">
        <v>1016</v>
      </c>
      <c r="AB655" s="10" t="s">
        <v>1017</v>
      </c>
      <c r="AC655" s="10" t="str">
        <f>SUBSTITUTE(SUBSTITUTE(PROPERTIES[[#This Row],[PURCHASECOST_VALUE]], "PURCHASECOST_", ""), "_VALUE", "")</f>
        <v>WAGON</v>
      </c>
      <c r="AD655" s="2" t="b">
        <v>0</v>
      </c>
      <c r="AV655"/>
      <c r="AW655"/>
      <c r="AX655"/>
    </row>
    <row r="656" spans="1:50">
      <c r="A656" s="2" t="s">
        <v>761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35</v>
      </c>
      <c r="G656" t="s">
        <v>599</v>
      </c>
      <c r="H656">
        <v>20</v>
      </c>
      <c r="I656">
        <v>4</v>
      </c>
      <c r="J656">
        <v>4</v>
      </c>
      <c r="K656" s="2" t="s">
        <v>33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4">
        <v>6</v>
      </c>
      <c r="P656">
        <v>0</v>
      </c>
      <c r="Q656">
        <v>55</v>
      </c>
      <c r="R656" s="31">
        <v>0</v>
      </c>
      <c r="S656" s="30">
        <f>IFERROR(PROPERTIES[[#This Row],[TE_STARTING_KN]]/(PROPERTIES[[#This Row],[WEIGHT]]*9.81),0)</f>
        <v>0</v>
      </c>
      <c r="T656" s="30">
        <v>0.3</v>
      </c>
      <c r="U656" s="27">
        <f>ROUND(IF(IFERROR(PROPERTIES[[#This Row],[TE_COEFFICIENT_CALC]],0)=0,PROPERTIES[[#This Row],[TE_COEFFICIENT_MANUAL]],PROPERTIES[[#This Row],[TE_COEFFICIENT_CALC]]),3)</f>
        <v>0.3</v>
      </c>
      <c r="V656" s="6">
        <v>25</v>
      </c>
      <c r="W656" s="10">
        <v>0</v>
      </c>
      <c r="X656" s="10">
        <v>0</v>
      </c>
      <c r="Y656" s="10"/>
      <c r="Z656" t="str">
        <f>"RUNNING_COST_"&amp;IF(PROPERTIES[[#This Row],[ENGINE_CLASS]]="MAGLEV","ELECTRIC",PROPERTIES[[#This Row],[ENGINE_CLASS]])</f>
        <v>RUNNING_COST_DIESEL</v>
      </c>
      <c r="AA656" s="10" t="s">
        <v>1016</v>
      </c>
      <c r="AB656" s="10" t="s">
        <v>1017</v>
      </c>
      <c r="AC656" s="10" t="str">
        <f>SUBSTITUTE(SUBSTITUTE(PROPERTIES[[#This Row],[PURCHASECOST_VALUE]], "PURCHASECOST_", ""), "_VALUE", "")</f>
        <v>WAGON</v>
      </c>
      <c r="AD656" s="2" t="b">
        <v>0</v>
      </c>
      <c r="AV656"/>
      <c r="AW656"/>
      <c r="AX656"/>
    </row>
    <row r="657" spans="1:50">
      <c r="A657" s="2" t="s">
        <v>762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35</v>
      </c>
      <c r="G657" t="s">
        <v>609</v>
      </c>
      <c r="H657">
        <v>10</v>
      </c>
      <c r="I657">
        <v>4</v>
      </c>
      <c r="J657">
        <v>4</v>
      </c>
      <c r="K657" s="2" t="s">
        <v>33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4">
        <v>7</v>
      </c>
      <c r="P657">
        <v>0</v>
      </c>
      <c r="Q657">
        <v>55</v>
      </c>
      <c r="R657" s="31">
        <v>0</v>
      </c>
      <c r="S657" s="30">
        <f>IFERROR(PROPERTIES[[#This Row],[TE_STARTING_KN]]/(PROPERTIES[[#This Row],[WEIGHT]]*9.81),0)</f>
        <v>0</v>
      </c>
      <c r="T657" s="30">
        <v>0.3</v>
      </c>
      <c r="U657" s="27">
        <f>ROUND(IF(IFERROR(PROPERTIES[[#This Row],[TE_COEFFICIENT_CALC]],0)=0,PROPERTIES[[#This Row],[TE_COEFFICIENT_MANUAL]],PROPERTIES[[#This Row],[TE_COEFFICIENT_CALC]]),3)</f>
        <v>0.3</v>
      </c>
      <c r="V657" s="6">
        <v>25</v>
      </c>
      <c r="W657" s="10">
        <v>0</v>
      </c>
      <c r="X657" s="10">
        <v>0</v>
      </c>
      <c r="Y657" s="10"/>
      <c r="Z657" t="str">
        <f>"RUNNING_COST_"&amp;IF(PROPERTIES[[#This Row],[ENGINE_CLASS]]="MAGLEV","ELECTRIC",PROPERTIES[[#This Row],[ENGINE_CLASS]])</f>
        <v>RUNNING_COST_DIESEL</v>
      </c>
      <c r="AA657" s="10" t="s">
        <v>1016</v>
      </c>
      <c r="AB657" s="10" t="s">
        <v>1017</v>
      </c>
      <c r="AC657" s="10" t="str">
        <f>SUBSTITUTE(SUBSTITUTE(PROPERTIES[[#This Row],[PURCHASECOST_VALUE]], "PURCHASECOST_", ""), "_VALUE", "")</f>
        <v>WAGON</v>
      </c>
      <c r="AD657" s="2" t="b">
        <v>0</v>
      </c>
      <c r="AV657"/>
      <c r="AW657"/>
      <c r="AX657"/>
    </row>
    <row r="658" spans="1:50">
      <c r="A658" s="2" t="s">
        <v>763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35</v>
      </c>
      <c r="G658" t="s">
        <v>672</v>
      </c>
      <c r="H658">
        <v>18</v>
      </c>
      <c r="I658">
        <v>4</v>
      </c>
      <c r="J658">
        <v>4</v>
      </c>
      <c r="K658" s="2" t="s">
        <v>33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4">
        <v>6</v>
      </c>
      <c r="P658">
        <v>0</v>
      </c>
      <c r="Q658">
        <v>55</v>
      </c>
      <c r="R658" s="31">
        <v>0</v>
      </c>
      <c r="S658" s="30">
        <f>IFERROR(PROPERTIES[[#This Row],[TE_STARTING_KN]]/(PROPERTIES[[#This Row],[WEIGHT]]*9.81),0)</f>
        <v>0</v>
      </c>
      <c r="T658" s="30">
        <v>0.3</v>
      </c>
      <c r="U658" s="27">
        <f>ROUND(IF(IFERROR(PROPERTIES[[#This Row],[TE_COEFFICIENT_CALC]],0)=0,PROPERTIES[[#This Row],[TE_COEFFICIENT_MANUAL]],PROPERTIES[[#This Row],[TE_COEFFICIENT_CALC]]),3)</f>
        <v>0.3</v>
      </c>
      <c r="V658" s="6">
        <v>25</v>
      </c>
      <c r="W658" s="10">
        <v>0</v>
      </c>
      <c r="X658" s="10">
        <v>0</v>
      </c>
      <c r="Y658" s="10"/>
      <c r="Z658" t="str">
        <f>"RUNNING_COST_"&amp;IF(PROPERTIES[[#This Row],[ENGINE_CLASS]]="MAGLEV","ELECTRIC",PROPERTIES[[#This Row],[ENGINE_CLASS]])</f>
        <v>RUNNING_COST_DIESEL</v>
      </c>
      <c r="AA658" s="10" t="s">
        <v>1016</v>
      </c>
      <c r="AB658" s="10" t="s">
        <v>1017</v>
      </c>
      <c r="AC658" s="10" t="str">
        <f>SUBSTITUTE(SUBSTITUTE(PROPERTIES[[#This Row],[PURCHASECOST_VALUE]], "PURCHASECOST_", ""), "_VALUE", "")</f>
        <v>WAGON</v>
      </c>
      <c r="AD658" s="2" t="b">
        <v>0</v>
      </c>
      <c r="AV658"/>
      <c r="AW658"/>
      <c r="AX658"/>
    </row>
    <row r="659" spans="1:50">
      <c r="A659" s="2" t="s">
        <v>835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35</v>
      </c>
      <c r="G659" t="s">
        <v>603</v>
      </c>
      <c r="H659">
        <v>30</v>
      </c>
      <c r="I659">
        <v>5</v>
      </c>
      <c r="J659">
        <v>5</v>
      </c>
      <c r="K659" s="2" t="s">
        <v>33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4">
        <v>11</v>
      </c>
      <c r="P659">
        <v>0</v>
      </c>
      <c r="Q659">
        <v>70</v>
      </c>
      <c r="R659" s="31">
        <v>0</v>
      </c>
      <c r="S659" s="30">
        <f>IFERROR(PROPERTIES[[#This Row],[TE_STARTING_KN]]/(PROPERTIES[[#This Row],[WEIGHT]]*9.81),0)</f>
        <v>0</v>
      </c>
      <c r="T659" s="30">
        <v>0.3</v>
      </c>
      <c r="U659" s="27">
        <f>ROUND(IF(IFERROR(PROPERTIES[[#This Row],[TE_COEFFICIENT_CALC]],0)=0,PROPERTIES[[#This Row],[TE_COEFFICIENT_MANUAL]],PROPERTIES[[#This Row],[TE_COEFFICIENT_CALC]]),3)</f>
        <v>0.3</v>
      </c>
      <c r="V659" s="6">
        <v>25</v>
      </c>
      <c r="W659" s="10">
        <v>0</v>
      </c>
      <c r="X659" s="10">
        <v>0</v>
      </c>
      <c r="Y659" s="10"/>
      <c r="Z659" t="str">
        <f>"RUNNING_COST_"&amp;IF(PROPERTIES[[#This Row],[ENGINE_CLASS]]="MAGLEV","ELECTRIC",PROPERTIES[[#This Row],[ENGINE_CLASS]])</f>
        <v>RUNNING_COST_DIESEL</v>
      </c>
      <c r="AA659" s="10" t="s">
        <v>1016</v>
      </c>
      <c r="AB659" s="10" t="s">
        <v>1017</v>
      </c>
      <c r="AC659" s="10" t="str">
        <f>SUBSTITUTE(SUBSTITUTE(PROPERTIES[[#This Row],[PURCHASECOST_VALUE]], "PURCHASECOST_", ""), "_VALUE", "")</f>
        <v>WAGON</v>
      </c>
      <c r="AD659" s="2" t="b">
        <v>0</v>
      </c>
      <c r="AV659"/>
      <c r="AW659"/>
      <c r="AX659"/>
    </row>
    <row r="660" spans="1:50">
      <c r="A660" s="2" t="s">
        <v>836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35</v>
      </c>
      <c r="G660" t="s">
        <v>599</v>
      </c>
      <c r="H660">
        <v>25</v>
      </c>
      <c r="I660">
        <v>5</v>
      </c>
      <c r="J660">
        <v>5</v>
      </c>
      <c r="K660" s="2" t="s">
        <v>33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4">
        <v>12</v>
      </c>
      <c r="P660">
        <v>0</v>
      </c>
      <c r="Q660">
        <v>90</v>
      </c>
      <c r="R660" s="31">
        <v>0</v>
      </c>
      <c r="S660" s="30">
        <f>IFERROR(PROPERTIES[[#This Row],[TE_STARTING_KN]]/(PROPERTIES[[#This Row],[WEIGHT]]*9.81),0)</f>
        <v>0</v>
      </c>
      <c r="T660" s="30">
        <v>0.3</v>
      </c>
      <c r="U660" s="27">
        <f>ROUND(IF(IFERROR(PROPERTIES[[#This Row],[TE_COEFFICIENT_CALC]],0)=0,PROPERTIES[[#This Row],[TE_COEFFICIENT_MANUAL]],PROPERTIES[[#This Row],[TE_COEFFICIENT_CALC]]),3)</f>
        <v>0.3</v>
      </c>
      <c r="V660" s="6">
        <v>25</v>
      </c>
      <c r="W660" s="10">
        <v>0</v>
      </c>
      <c r="X660" s="10">
        <v>0</v>
      </c>
      <c r="Y660" s="10"/>
      <c r="Z660" t="str">
        <f>"RUNNING_COST_"&amp;IF(PROPERTIES[[#This Row],[ENGINE_CLASS]]="MAGLEV","ELECTRIC",PROPERTIES[[#This Row],[ENGINE_CLASS]])</f>
        <v>RUNNING_COST_DIESEL</v>
      </c>
      <c r="AA660" s="10" t="s">
        <v>1016</v>
      </c>
      <c r="AB660" s="10" t="s">
        <v>1017</v>
      </c>
      <c r="AC660" s="10" t="str">
        <f>SUBSTITUTE(SUBSTITUTE(PROPERTIES[[#This Row],[PURCHASECOST_VALUE]], "PURCHASECOST_", ""), "_VALUE", "")</f>
        <v>WAGON</v>
      </c>
      <c r="AD660" s="2" t="b">
        <v>0</v>
      </c>
      <c r="AV660"/>
      <c r="AW660"/>
      <c r="AX660"/>
    </row>
    <row r="661" spans="1:50">
      <c r="A661" s="2" t="s">
        <v>837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35</v>
      </c>
      <c r="G661" t="s">
        <v>599</v>
      </c>
      <c r="H661">
        <v>25</v>
      </c>
      <c r="I661">
        <v>5</v>
      </c>
      <c r="J661">
        <v>5</v>
      </c>
      <c r="K661" s="2" t="s">
        <v>33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4">
        <v>12</v>
      </c>
      <c r="P661">
        <v>0</v>
      </c>
      <c r="Q661">
        <v>90</v>
      </c>
      <c r="R661" s="31">
        <v>0</v>
      </c>
      <c r="S661" s="30">
        <f>IFERROR(PROPERTIES[[#This Row],[TE_STARTING_KN]]/(PROPERTIES[[#This Row],[WEIGHT]]*9.81),0)</f>
        <v>0</v>
      </c>
      <c r="T661" s="30">
        <v>0.3</v>
      </c>
      <c r="U661" s="27">
        <f>ROUND(IF(IFERROR(PROPERTIES[[#This Row],[TE_COEFFICIENT_CALC]],0)=0,PROPERTIES[[#This Row],[TE_COEFFICIENT_MANUAL]],PROPERTIES[[#This Row],[TE_COEFFICIENT_CALC]]),3)</f>
        <v>0.3</v>
      </c>
      <c r="V661" s="6">
        <v>25</v>
      </c>
      <c r="W661" s="10">
        <v>0</v>
      </c>
      <c r="X661" s="10">
        <v>0</v>
      </c>
      <c r="Y661" s="10"/>
      <c r="Z661" t="str">
        <f>"RUNNING_COST_"&amp;IF(PROPERTIES[[#This Row],[ENGINE_CLASS]]="MAGLEV","ELECTRIC",PROPERTIES[[#This Row],[ENGINE_CLASS]])</f>
        <v>RUNNING_COST_DIESEL</v>
      </c>
      <c r="AA661" s="10" t="s">
        <v>1016</v>
      </c>
      <c r="AB661" s="10" t="s">
        <v>1017</v>
      </c>
      <c r="AC661" s="10" t="str">
        <f>SUBSTITUTE(SUBSTITUTE(PROPERTIES[[#This Row],[PURCHASECOST_VALUE]], "PURCHASECOST_", ""), "_VALUE", "")</f>
        <v>WAGON</v>
      </c>
      <c r="AD661" s="2" t="b">
        <v>0</v>
      </c>
      <c r="AV661"/>
      <c r="AW661"/>
      <c r="AX661"/>
    </row>
    <row r="662" spans="1:50">
      <c r="A662" s="2" t="s">
        <v>838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35</v>
      </c>
      <c r="G662" t="s">
        <v>609</v>
      </c>
      <c r="H662">
        <v>20</v>
      </c>
      <c r="I662">
        <v>5</v>
      </c>
      <c r="J662">
        <v>5</v>
      </c>
      <c r="K662" s="2" t="s">
        <v>33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4">
        <v>14</v>
      </c>
      <c r="P662">
        <v>0</v>
      </c>
      <c r="Q662">
        <v>70</v>
      </c>
      <c r="R662" s="31">
        <v>0</v>
      </c>
      <c r="S662" s="30">
        <f>IFERROR(PROPERTIES[[#This Row],[TE_STARTING_KN]]/(PROPERTIES[[#This Row],[WEIGHT]]*9.81),0)</f>
        <v>0</v>
      </c>
      <c r="T662" s="30">
        <v>0.3</v>
      </c>
      <c r="U662" s="27">
        <f>ROUND(IF(IFERROR(PROPERTIES[[#This Row],[TE_COEFFICIENT_CALC]],0)=0,PROPERTIES[[#This Row],[TE_COEFFICIENT_MANUAL]],PROPERTIES[[#This Row],[TE_COEFFICIENT_CALC]]),3)</f>
        <v>0.3</v>
      </c>
      <c r="V662" s="6">
        <v>25</v>
      </c>
      <c r="W662" s="10">
        <v>0</v>
      </c>
      <c r="X662" s="10">
        <v>0</v>
      </c>
      <c r="Y662" s="10"/>
      <c r="Z662" t="str">
        <f>"RUNNING_COST_"&amp;IF(PROPERTIES[[#This Row],[ENGINE_CLASS]]="MAGLEV","ELECTRIC",PROPERTIES[[#This Row],[ENGINE_CLASS]])</f>
        <v>RUNNING_COST_DIESEL</v>
      </c>
      <c r="AA662" s="10" t="s">
        <v>1016</v>
      </c>
      <c r="AB662" s="10" t="s">
        <v>1017</v>
      </c>
      <c r="AC662" s="10" t="str">
        <f>SUBSTITUTE(SUBSTITUTE(PROPERTIES[[#This Row],[PURCHASECOST_VALUE]], "PURCHASECOST_", ""), "_VALUE", "")</f>
        <v>WAGON</v>
      </c>
      <c r="AD662" s="2" t="b">
        <v>0</v>
      </c>
      <c r="AV662"/>
      <c r="AW662"/>
      <c r="AX662"/>
    </row>
    <row r="663" spans="1:50">
      <c r="A663" s="2" t="s">
        <v>839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35</v>
      </c>
      <c r="G663" t="s">
        <v>672</v>
      </c>
      <c r="H663">
        <v>26</v>
      </c>
      <c r="I663">
        <v>5</v>
      </c>
      <c r="J663">
        <v>5</v>
      </c>
      <c r="K663" s="2" t="s">
        <v>33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4">
        <v>11</v>
      </c>
      <c r="P663">
        <v>0</v>
      </c>
      <c r="Q663">
        <v>70</v>
      </c>
      <c r="R663" s="31">
        <v>0</v>
      </c>
      <c r="S663" s="30">
        <f>IFERROR(PROPERTIES[[#This Row],[TE_STARTING_KN]]/(PROPERTIES[[#This Row],[WEIGHT]]*9.81),0)</f>
        <v>0</v>
      </c>
      <c r="T663" s="30">
        <v>0.3</v>
      </c>
      <c r="U663" s="27">
        <f>ROUND(IF(IFERROR(PROPERTIES[[#This Row],[TE_COEFFICIENT_CALC]],0)=0,PROPERTIES[[#This Row],[TE_COEFFICIENT_MANUAL]],PROPERTIES[[#This Row],[TE_COEFFICIENT_CALC]]),3)</f>
        <v>0.3</v>
      </c>
      <c r="V663" s="6">
        <v>25</v>
      </c>
      <c r="W663" s="10">
        <v>0</v>
      </c>
      <c r="X663" s="10">
        <v>0</v>
      </c>
      <c r="Y663" s="10"/>
      <c r="Z663" t="str">
        <f>"RUNNING_COST_"&amp;IF(PROPERTIES[[#This Row],[ENGINE_CLASS]]="MAGLEV","ELECTRIC",PROPERTIES[[#This Row],[ENGINE_CLASS]])</f>
        <v>RUNNING_COST_DIESEL</v>
      </c>
      <c r="AA663" s="10" t="s">
        <v>1016</v>
      </c>
      <c r="AB663" s="10" t="s">
        <v>1017</v>
      </c>
      <c r="AC663" s="10" t="str">
        <f>SUBSTITUTE(SUBSTITUTE(PROPERTIES[[#This Row],[PURCHASECOST_VALUE]], "PURCHASECOST_", ""), "_VALUE", "")</f>
        <v>WAGON</v>
      </c>
      <c r="AD663" s="2" t="b">
        <v>0</v>
      </c>
      <c r="AV663"/>
      <c r="AW663"/>
      <c r="AX663"/>
    </row>
    <row r="664" spans="1:50">
      <c r="A664" s="2" t="s">
        <v>840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35</v>
      </c>
      <c r="G664" t="s">
        <v>607</v>
      </c>
      <c r="H664">
        <v>25</v>
      </c>
      <c r="I664">
        <v>5</v>
      </c>
      <c r="J664">
        <v>5</v>
      </c>
      <c r="K664" s="2" t="s">
        <v>33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4">
        <v>14</v>
      </c>
      <c r="P664">
        <v>0</v>
      </c>
      <c r="Q664">
        <v>70</v>
      </c>
      <c r="R664" s="31">
        <v>0</v>
      </c>
      <c r="S664" s="30">
        <f>IFERROR(PROPERTIES[[#This Row],[TE_STARTING_KN]]/(PROPERTIES[[#This Row],[WEIGHT]]*9.81),0)</f>
        <v>0</v>
      </c>
      <c r="T664" s="30">
        <v>0.3</v>
      </c>
      <c r="U664" s="27">
        <f>ROUND(IF(IFERROR(PROPERTIES[[#This Row],[TE_COEFFICIENT_CALC]],0)=0,PROPERTIES[[#This Row],[TE_COEFFICIENT_MANUAL]],PROPERTIES[[#This Row],[TE_COEFFICIENT_CALC]]),3)</f>
        <v>0.3</v>
      </c>
      <c r="V664" s="6">
        <v>25</v>
      </c>
      <c r="W664" s="10">
        <v>0</v>
      </c>
      <c r="X664" s="10">
        <v>0</v>
      </c>
      <c r="Y664" s="10"/>
      <c r="Z664" t="str">
        <f>"RUNNING_COST_"&amp;IF(PROPERTIES[[#This Row],[ENGINE_CLASS]]="MAGLEV","ELECTRIC",PROPERTIES[[#This Row],[ENGINE_CLASS]])</f>
        <v>RUNNING_COST_DIESEL</v>
      </c>
      <c r="AA664" s="10" t="s">
        <v>1016</v>
      </c>
      <c r="AB664" s="10" t="s">
        <v>1017</v>
      </c>
      <c r="AC664" s="10" t="str">
        <f>SUBSTITUTE(SUBSTITUTE(PROPERTIES[[#This Row],[PURCHASECOST_VALUE]], "PURCHASECOST_", ""), "_VALUE", "")</f>
        <v>WAGON</v>
      </c>
      <c r="AD664" s="2" t="b">
        <v>0</v>
      </c>
      <c r="AV664"/>
      <c r="AW664"/>
      <c r="AX664"/>
    </row>
    <row r="665" spans="1:50">
      <c r="A665" s="2" t="s">
        <v>841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35</v>
      </c>
      <c r="G665" t="s">
        <v>606</v>
      </c>
      <c r="H665">
        <v>30</v>
      </c>
      <c r="I665">
        <v>5</v>
      </c>
      <c r="J665">
        <v>5</v>
      </c>
      <c r="K665" s="2" t="s">
        <v>33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4">
        <v>12</v>
      </c>
      <c r="P665">
        <v>0</v>
      </c>
      <c r="Q665">
        <v>70</v>
      </c>
      <c r="R665" s="31">
        <v>0</v>
      </c>
      <c r="S665" s="30">
        <f>IFERROR(PROPERTIES[[#This Row],[TE_STARTING_KN]]/(PROPERTIES[[#This Row],[WEIGHT]]*9.81),0)</f>
        <v>0</v>
      </c>
      <c r="T665" s="30">
        <v>0.3</v>
      </c>
      <c r="U665" s="27">
        <f>ROUND(IF(IFERROR(PROPERTIES[[#This Row],[TE_COEFFICIENT_CALC]],0)=0,PROPERTIES[[#This Row],[TE_COEFFICIENT_MANUAL]],PROPERTIES[[#This Row],[TE_COEFFICIENT_CALC]]),3)</f>
        <v>0.3</v>
      </c>
      <c r="V665" s="6">
        <v>25</v>
      </c>
      <c r="W665" s="10">
        <v>0</v>
      </c>
      <c r="X665" s="10">
        <v>0</v>
      </c>
      <c r="Y665" s="10"/>
      <c r="Z665" t="str">
        <f>"RUNNING_COST_"&amp;IF(PROPERTIES[[#This Row],[ENGINE_CLASS]]="MAGLEV","ELECTRIC",PROPERTIES[[#This Row],[ENGINE_CLASS]])</f>
        <v>RUNNING_COST_DIESEL</v>
      </c>
      <c r="AA665" s="10" t="s">
        <v>1016</v>
      </c>
      <c r="AB665" s="10" t="s">
        <v>1017</v>
      </c>
      <c r="AC665" s="10" t="str">
        <f>SUBSTITUTE(SUBSTITUTE(PROPERTIES[[#This Row],[PURCHASECOST_VALUE]], "PURCHASECOST_", ""), "_VALUE", "")</f>
        <v>WAGON</v>
      </c>
      <c r="AD665" s="2" t="b">
        <v>0</v>
      </c>
      <c r="AV665"/>
      <c r="AW665"/>
      <c r="AX665"/>
    </row>
    <row r="666" spans="1:50">
      <c r="A666" s="2" t="s">
        <v>842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35</v>
      </c>
      <c r="G666" t="s">
        <v>603</v>
      </c>
      <c r="H666">
        <v>40</v>
      </c>
      <c r="I666">
        <v>6</v>
      </c>
      <c r="J666">
        <v>6</v>
      </c>
      <c r="K666" s="2" t="s">
        <v>33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4">
        <v>21</v>
      </c>
      <c r="P666">
        <v>0</v>
      </c>
      <c r="Q666">
        <v>80</v>
      </c>
      <c r="R666" s="31">
        <v>0</v>
      </c>
      <c r="S666" s="30">
        <f>IFERROR(PROPERTIES[[#This Row],[TE_STARTING_KN]]/(PROPERTIES[[#This Row],[WEIGHT]]*9.81),0)</f>
        <v>0</v>
      </c>
      <c r="T666" s="30">
        <v>0.3</v>
      </c>
      <c r="U666" s="27">
        <f>ROUND(IF(IFERROR(PROPERTIES[[#This Row],[TE_COEFFICIENT_CALC]],0)=0,PROPERTIES[[#This Row],[TE_COEFFICIENT_MANUAL]],PROPERTIES[[#This Row],[TE_COEFFICIENT_CALC]]),3)</f>
        <v>0.3</v>
      </c>
      <c r="V666" s="6">
        <v>25</v>
      </c>
      <c r="W666" s="10">
        <v>0</v>
      </c>
      <c r="X666" s="10">
        <v>0</v>
      </c>
      <c r="Y666" s="10"/>
      <c r="Z666" t="str">
        <f>"RUNNING_COST_"&amp;IF(PROPERTIES[[#This Row],[ENGINE_CLASS]]="MAGLEV","ELECTRIC",PROPERTIES[[#This Row],[ENGINE_CLASS]])</f>
        <v>RUNNING_COST_DIESEL</v>
      </c>
      <c r="AA666" s="10" t="s">
        <v>1016</v>
      </c>
      <c r="AB666" s="10" t="s">
        <v>1017</v>
      </c>
      <c r="AC666" s="10" t="str">
        <f>SUBSTITUTE(SUBSTITUTE(PROPERTIES[[#This Row],[PURCHASECOST_VALUE]], "PURCHASECOST_", ""), "_VALUE", "")</f>
        <v>WAGON</v>
      </c>
      <c r="AD666" s="2" t="b">
        <v>0</v>
      </c>
      <c r="AV666"/>
      <c r="AW666"/>
      <c r="AX666"/>
    </row>
    <row r="667" spans="1:50">
      <c r="A667" s="2" t="s">
        <v>843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35</v>
      </c>
      <c r="G667" t="s">
        <v>599</v>
      </c>
      <c r="H667">
        <v>40</v>
      </c>
      <c r="I667">
        <v>6</v>
      </c>
      <c r="J667">
        <v>6</v>
      </c>
      <c r="K667" s="2" t="s">
        <v>33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4">
        <v>23</v>
      </c>
      <c r="P667">
        <v>0</v>
      </c>
      <c r="Q667">
        <v>100</v>
      </c>
      <c r="R667" s="31">
        <v>0</v>
      </c>
      <c r="S667" s="30">
        <f>IFERROR(PROPERTIES[[#This Row],[TE_STARTING_KN]]/(PROPERTIES[[#This Row],[WEIGHT]]*9.81),0)</f>
        <v>0</v>
      </c>
      <c r="T667" s="30">
        <v>0.3</v>
      </c>
      <c r="U667" s="27">
        <f>ROUND(IF(IFERROR(PROPERTIES[[#This Row],[TE_COEFFICIENT_CALC]],0)=0,PROPERTIES[[#This Row],[TE_COEFFICIENT_MANUAL]],PROPERTIES[[#This Row],[TE_COEFFICIENT_CALC]]),3)</f>
        <v>0.3</v>
      </c>
      <c r="V667" s="6">
        <v>25</v>
      </c>
      <c r="W667" s="10">
        <v>0</v>
      </c>
      <c r="X667" s="10">
        <v>0</v>
      </c>
      <c r="Y667" s="10"/>
      <c r="Z667" t="str">
        <f>"RUNNING_COST_"&amp;IF(PROPERTIES[[#This Row],[ENGINE_CLASS]]="MAGLEV","ELECTRIC",PROPERTIES[[#This Row],[ENGINE_CLASS]])</f>
        <v>RUNNING_COST_DIESEL</v>
      </c>
      <c r="AA667" s="10" t="s">
        <v>1016</v>
      </c>
      <c r="AB667" s="10" t="s">
        <v>1017</v>
      </c>
      <c r="AC667" s="10" t="str">
        <f>SUBSTITUTE(SUBSTITUTE(PROPERTIES[[#This Row],[PURCHASECOST_VALUE]], "PURCHASECOST_", ""), "_VALUE", "")</f>
        <v>WAGON</v>
      </c>
      <c r="AD667" s="2" t="b">
        <v>0</v>
      </c>
      <c r="AV667"/>
      <c r="AW667"/>
      <c r="AX667"/>
    </row>
    <row r="668" spans="1:50">
      <c r="A668" s="2" t="s">
        <v>844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35</v>
      </c>
      <c r="G668" t="s">
        <v>599</v>
      </c>
      <c r="H668">
        <v>40</v>
      </c>
      <c r="I668">
        <v>6</v>
      </c>
      <c r="J668">
        <v>6</v>
      </c>
      <c r="K668" s="2" t="s">
        <v>33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4">
        <v>23</v>
      </c>
      <c r="P668">
        <v>0</v>
      </c>
      <c r="Q668">
        <v>100</v>
      </c>
      <c r="R668" s="31">
        <v>0</v>
      </c>
      <c r="S668" s="30">
        <f>IFERROR(PROPERTIES[[#This Row],[TE_STARTING_KN]]/(PROPERTIES[[#This Row],[WEIGHT]]*9.81),0)</f>
        <v>0</v>
      </c>
      <c r="T668" s="30">
        <v>0.3</v>
      </c>
      <c r="U668" s="27">
        <f>ROUND(IF(IFERROR(PROPERTIES[[#This Row],[TE_COEFFICIENT_CALC]],0)=0,PROPERTIES[[#This Row],[TE_COEFFICIENT_MANUAL]],PROPERTIES[[#This Row],[TE_COEFFICIENT_CALC]]),3)</f>
        <v>0.3</v>
      </c>
      <c r="V668" s="6">
        <v>25</v>
      </c>
      <c r="W668" s="10">
        <v>0</v>
      </c>
      <c r="X668" s="10">
        <v>0</v>
      </c>
      <c r="Y668" s="10"/>
      <c r="Z668" t="str">
        <f>"RUNNING_COST_"&amp;IF(PROPERTIES[[#This Row],[ENGINE_CLASS]]="MAGLEV","ELECTRIC",PROPERTIES[[#This Row],[ENGINE_CLASS]])</f>
        <v>RUNNING_COST_DIESEL</v>
      </c>
      <c r="AA668" s="10" t="s">
        <v>1016</v>
      </c>
      <c r="AB668" s="10" t="s">
        <v>1017</v>
      </c>
      <c r="AC668" s="10" t="str">
        <f>SUBSTITUTE(SUBSTITUTE(PROPERTIES[[#This Row],[PURCHASECOST_VALUE]], "PURCHASECOST_", ""), "_VALUE", "")</f>
        <v>WAGON</v>
      </c>
      <c r="AD668" s="2" t="b">
        <v>0</v>
      </c>
      <c r="AV668"/>
      <c r="AW668"/>
      <c r="AX668"/>
    </row>
    <row r="669" spans="1:50">
      <c r="A669" s="2" t="s">
        <v>845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35</v>
      </c>
      <c r="G669" t="s">
        <v>609</v>
      </c>
      <c r="H669">
        <v>35</v>
      </c>
      <c r="I669">
        <v>6</v>
      </c>
      <c r="J669">
        <v>6</v>
      </c>
      <c r="K669" s="2" t="s">
        <v>33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4">
        <v>20</v>
      </c>
      <c r="P669">
        <v>0</v>
      </c>
      <c r="Q669">
        <v>80</v>
      </c>
      <c r="R669" s="31">
        <v>0</v>
      </c>
      <c r="S669" s="30">
        <f>IFERROR(PROPERTIES[[#This Row],[TE_STARTING_KN]]/(PROPERTIES[[#This Row],[WEIGHT]]*9.81),0)</f>
        <v>0</v>
      </c>
      <c r="T669" s="30">
        <v>0.3</v>
      </c>
      <c r="U669" s="27">
        <f>ROUND(IF(IFERROR(PROPERTIES[[#This Row],[TE_COEFFICIENT_CALC]],0)=0,PROPERTIES[[#This Row],[TE_COEFFICIENT_MANUAL]],PROPERTIES[[#This Row],[TE_COEFFICIENT_CALC]]),3)</f>
        <v>0.3</v>
      </c>
      <c r="V669" s="6">
        <v>25</v>
      </c>
      <c r="W669" s="10">
        <v>0</v>
      </c>
      <c r="X669" s="10">
        <v>0</v>
      </c>
      <c r="Y669" s="10"/>
      <c r="Z669" t="str">
        <f>"RUNNING_COST_"&amp;IF(PROPERTIES[[#This Row],[ENGINE_CLASS]]="MAGLEV","ELECTRIC",PROPERTIES[[#This Row],[ENGINE_CLASS]])</f>
        <v>RUNNING_COST_DIESEL</v>
      </c>
      <c r="AA669" s="10" t="s">
        <v>1016</v>
      </c>
      <c r="AB669" s="10" t="s">
        <v>1017</v>
      </c>
      <c r="AC669" s="10" t="str">
        <f>SUBSTITUTE(SUBSTITUTE(PROPERTIES[[#This Row],[PURCHASECOST_VALUE]], "PURCHASECOST_", ""), "_VALUE", "")</f>
        <v>WAGON</v>
      </c>
      <c r="AD669" s="2" t="b">
        <v>0</v>
      </c>
      <c r="AV669"/>
      <c r="AW669"/>
      <c r="AX669"/>
    </row>
    <row r="670" spans="1:50">
      <c r="A670" s="2" t="s">
        <v>846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35</v>
      </c>
      <c r="G670" t="s">
        <v>672</v>
      </c>
      <c r="H670">
        <v>35</v>
      </c>
      <c r="I670">
        <v>6</v>
      </c>
      <c r="J670">
        <v>6</v>
      </c>
      <c r="K670" s="2" t="s">
        <v>33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4">
        <v>22</v>
      </c>
      <c r="P670">
        <v>0</v>
      </c>
      <c r="Q670">
        <v>80</v>
      </c>
      <c r="R670" s="31">
        <v>0</v>
      </c>
      <c r="S670" s="30">
        <f>IFERROR(PROPERTIES[[#This Row],[TE_STARTING_KN]]/(PROPERTIES[[#This Row],[WEIGHT]]*9.81),0)</f>
        <v>0</v>
      </c>
      <c r="T670" s="30">
        <v>0.3</v>
      </c>
      <c r="U670" s="27">
        <f>ROUND(IF(IFERROR(PROPERTIES[[#This Row],[TE_COEFFICIENT_CALC]],0)=0,PROPERTIES[[#This Row],[TE_COEFFICIENT_MANUAL]],PROPERTIES[[#This Row],[TE_COEFFICIENT_CALC]]),3)</f>
        <v>0.3</v>
      </c>
      <c r="V670" s="6">
        <v>25</v>
      </c>
      <c r="W670" s="10">
        <v>0</v>
      </c>
      <c r="X670" s="10">
        <v>0</v>
      </c>
      <c r="Y670" s="10"/>
      <c r="Z670" t="str">
        <f>"RUNNING_COST_"&amp;IF(PROPERTIES[[#This Row],[ENGINE_CLASS]]="MAGLEV","ELECTRIC",PROPERTIES[[#This Row],[ENGINE_CLASS]])</f>
        <v>RUNNING_COST_DIESEL</v>
      </c>
      <c r="AA670" s="10" t="s">
        <v>1016</v>
      </c>
      <c r="AB670" s="10" t="s">
        <v>1017</v>
      </c>
      <c r="AC670" s="10" t="str">
        <f>SUBSTITUTE(SUBSTITUTE(PROPERTIES[[#This Row],[PURCHASECOST_VALUE]], "PURCHASECOST_", ""), "_VALUE", "")</f>
        <v>WAGON</v>
      </c>
      <c r="AD670" s="2" t="b">
        <v>0</v>
      </c>
      <c r="AV670"/>
      <c r="AW670"/>
      <c r="AX670"/>
    </row>
    <row r="671" spans="1:50">
      <c r="A671" s="2" t="s">
        <v>847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35</v>
      </c>
      <c r="G671" t="s">
        <v>607</v>
      </c>
      <c r="H671">
        <v>40</v>
      </c>
      <c r="I671">
        <v>6</v>
      </c>
      <c r="J671">
        <v>6</v>
      </c>
      <c r="K671" s="2" t="s">
        <v>33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4">
        <v>23</v>
      </c>
      <c r="P671">
        <v>0</v>
      </c>
      <c r="Q671">
        <v>80</v>
      </c>
      <c r="R671" s="31">
        <v>0</v>
      </c>
      <c r="S671" s="30">
        <f>IFERROR(PROPERTIES[[#This Row],[TE_STARTING_KN]]/(PROPERTIES[[#This Row],[WEIGHT]]*9.81),0)</f>
        <v>0</v>
      </c>
      <c r="T671" s="30">
        <v>0.3</v>
      </c>
      <c r="U671" s="27">
        <f>ROUND(IF(IFERROR(PROPERTIES[[#This Row],[TE_COEFFICIENT_CALC]],0)=0,PROPERTIES[[#This Row],[TE_COEFFICIENT_MANUAL]],PROPERTIES[[#This Row],[TE_COEFFICIENT_CALC]]),3)</f>
        <v>0.3</v>
      </c>
      <c r="V671" s="6">
        <v>25</v>
      </c>
      <c r="W671" s="10">
        <v>0</v>
      </c>
      <c r="X671" s="10">
        <v>0</v>
      </c>
      <c r="Y671" s="10"/>
      <c r="Z671" t="str">
        <f>"RUNNING_COST_"&amp;IF(PROPERTIES[[#This Row],[ENGINE_CLASS]]="MAGLEV","ELECTRIC",PROPERTIES[[#This Row],[ENGINE_CLASS]])</f>
        <v>RUNNING_COST_DIESEL</v>
      </c>
      <c r="AA671" s="10" t="s">
        <v>1016</v>
      </c>
      <c r="AB671" s="10" t="s">
        <v>1017</v>
      </c>
      <c r="AC671" s="10" t="str">
        <f>SUBSTITUTE(SUBSTITUTE(PROPERTIES[[#This Row],[PURCHASECOST_VALUE]], "PURCHASECOST_", ""), "_VALUE", "")</f>
        <v>WAGON</v>
      </c>
      <c r="AD671" s="2" t="b">
        <v>0</v>
      </c>
      <c r="AV671"/>
      <c r="AW671"/>
      <c r="AX671"/>
    </row>
    <row r="672" spans="1:50">
      <c r="A672" s="2" t="s">
        <v>848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35</v>
      </c>
      <c r="G672" t="s">
        <v>607</v>
      </c>
      <c r="H672">
        <v>40</v>
      </c>
      <c r="I672">
        <v>6</v>
      </c>
      <c r="J672">
        <v>6</v>
      </c>
      <c r="K672" s="2" t="s">
        <v>33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4">
        <v>23</v>
      </c>
      <c r="P672">
        <v>0</v>
      </c>
      <c r="Q672">
        <v>80</v>
      </c>
      <c r="R672" s="31">
        <v>0</v>
      </c>
      <c r="S672" s="30">
        <f>IFERROR(PROPERTIES[[#This Row],[TE_STARTING_KN]]/(PROPERTIES[[#This Row],[WEIGHT]]*9.81),0)</f>
        <v>0</v>
      </c>
      <c r="T672" s="30">
        <v>0.3</v>
      </c>
      <c r="U672" s="27">
        <f>ROUND(IF(IFERROR(PROPERTIES[[#This Row],[TE_COEFFICIENT_CALC]],0)=0,PROPERTIES[[#This Row],[TE_COEFFICIENT_MANUAL]],PROPERTIES[[#This Row],[TE_COEFFICIENT_CALC]]),3)</f>
        <v>0.3</v>
      </c>
      <c r="V672" s="6">
        <v>25</v>
      </c>
      <c r="W672" s="10">
        <v>0</v>
      </c>
      <c r="X672" s="10">
        <v>0</v>
      </c>
      <c r="Y672" s="10"/>
      <c r="Z672" t="str">
        <f>"RUNNING_COST_"&amp;IF(PROPERTIES[[#This Row],[ENGINE_CLASS]]="MAGLEV","ELECTRIC",PROPERTIES[[#This Row],[ENGINE_CLASS]])</f>
        <v>RUNNING_COST_DIESEL</v>
      </c>
      <c r="AA672" s="10" t="s">
        <v>1016</v>
      </c>
      <c r="AB672" s="10" t="s">
        <v>1017</v>
      </c>
      <c r="AC672" s="10" t="str">
        <f>SUBSTITUTE(SUBSTITUTE(PROPERTIES[[#This Row],[PURCHASECOST_VALUE]], "PURCHASECOST_", ""), "_VALUE", "")</f>
        <v>WAGON</v>
      </c>
      <c r="AD672" s="2" t="b">
        <v>0</v>
      </c>
      <c r="AV672"/>
      <c r="AW672"/>
      <c r="AX672"/>
    </row>
    <row r="673" spans="1:50">
      <c r="A673" s="2" t="s">
        <v>849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35</v>
      </c>
      <c r="G673" t="s">
        <v>606</v>
      </c>
      <c r="H673">
        <v>40</v>
      </c>
      <c r="I673">
        <v>6</v>
      </c>
      <c r="J673">
        <v>6</v>
      </c>
      <c r="K673" s="2" t="s">
        <v>33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4">
        <v>26</v>
      </c>
      <c r="P673">
        <v>0</v>
      </c>
      <c r="Q673">
        <v>80</v>
      </c>
      <c r="R673" s="31">
        <v>0</v>
      </c>
      <c r="S673" s="30">
        <f>IFERROR(PROPERTIES[[#This Row],[TE_STARTING_KN]]/(PROPERTIES[[#This Row],[WEIGHT]]*9.81),0)</f>
        <v>0</v>
      </c>
      <c r="T673" s="30">
        <v>0.3</v>
      </c>
      <c r="U673" s="27">
        <f>ROUND(IF(IFERROR(PROPERTIES[[#This Row],[TE_COEFFICIENT_CALC]],0)=0,PROPERTIES[[#This Row],[TE_COEFFICIENT_MANUAL]],PROPERTIES[[#This Row],[TE_COEFFICIENT_CALC]]),3)</f>
        <v>0.3</v>
      </c>
      <c r="V673" s="6">
        <v>25</v>
      </c>
      <c r="W673" s="10">
        <v>0</v>
      </c>
      <c r="X673" s="10">
        <v>0</v>
      </c>
      <c r="Y673" s="10"/>
      <c r="Z673" t="str">
        <f>"RUNNING_COST_"&amp;IF(PROPERTIES[[#This Row],[ENGINE_CLASS]]="MAGLEV","ELECTRIC",PROPERTIES[[#This Row],[ENGINE_CLASS]])</f>
        <v>RUNNING_COST_DIESEL</v>
      </c>
      <c r="AA673" s="10" t="s">
        <v>1016</v>
      </c>
      <c r="AB673" s="10" t="s">
        <v>1017</v>
      </c>
      <c r="AC673" s="10" t="str">
        <f>SUBSTITUTE(SUBSTITUTE(PROPERTIES[[#This Row],[PURCHASECOST_VALUE]], "PURCHASECOST_", ""), "_VALUE", "")</f>
        <v>WAGON</v>
      </c>
      <c r="AD673" s="2" t="b">
        <v>0</v>
      </c>
      <c r="AV673"/>
      <c r="AW673"/>
      <c r="AX673"/>
    </row>
    <row r="674" spans="1:50">
      <c r="A674" s="2" t="s">
        <v>850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35</v>
      </c>
      <c r="G674" t="s">
        <v>603</v>
      </c>
      <c r="H674">
        <v>50</v>
      </c>
      <c r="I674">
        <v>7</v>
      </c>
      <c r="J674">
        <v>7</v>
      </c>
      <c r="K674" s="2" t="s">
        <v>33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4">
        <v>25</v>
      </c>
      <c r="P674">
        <v>0</v>
      </c>
      <c r="Q674">
        <v>100</v>
      </c>
      <c r="R674" s="31">
        <v>0</v>
      </c>
      <c r="S674" s="30">
        <f>IFERROR(PROPERTIES[[#This Row],[TE_STARTING_KN]]/(PROPERTIES[[#This Row],[WEIGHT]]*9.81),0)</f>
        <v>0</v>
      </c>
      <c r="T674" s="30">
        <v>0.3</v>
      </c>
      <c r="U674" s="27">
        <f>ROUND(IF(IFERROR(PROPERTIES[[#This Row],[TE_COEFFICIENT_CALC]],0)=0,PROPERTIES[[#This Row],[TE_COEFFICIENT_MANUAL]],PROPERTIES[[#This Row],[TE_COEFFICIENT_CALC]]),3)</f>
        <v>0.3</v>
      </c>
      <c r="V674" s="6">
        <v>25</v>
      </c>
      <c r="W674" s="10">
        <v>0</v>
      </c>
      <c r="X674" s="10">
        <v>0</v>
      </c>
      <c r="Y674" s="10"/>
      <c r="Z674" t="str">
        <f>"RUNNING_COST_"&amp;IF(PROPERTIES[[#This Row],[ENGINE_CLASS]]="MAGLEV","ELECTRIC",PROPERTIES[[#This Row],[ENGINE_CLASS]])</f>
        <v>RUNNING_COST_DIESEL</v>
      </c>
      <c r="AA674" s="10" t="s">
        <v>1016</v>
      </c>
      <c r="AB674" s="10" t="s">
        <v>1017</v>
      </c>
      <c r="AC674" s="10" t="str">
        <f>SUBSTITUTE(SUBSTITUTE(PROPERTIES[[#This Row],[PURCHASECOST_VALUE]], "PURCHASECOST_", ""), "_VALUE", "")</f>
        <v>WAGON</v>
      </c>
      <c r="AD674" s="2" t="b">
        <v>0</v>
      </c>
      <c r="AV674"/>
      <c r="AW674"/>
      <c r="AX674"/>
    </row>
    <row r="675" spans="1:50">
      <c r="A675" s="2" t="s">
        <v>851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35</v>
      </c>
      <c r="G675" t="s">
        <v>605</v>
      </c>
      <c r="H675">
        <v>70</v>
      </c>
      <c r="I675">
        <v>7</v>
      </c>
      <c r="J675">
        <v>7</v>
      </c>
      <c r="K675" s="2" t="s">
        <v>33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4">
        <v>30</v>
      </c>
      <c r="P675">
        <v>0</v>
      </c>
      <c r="Q675">
        <v>100</v>
      </c>
      <c r="R675" s="31">
        <v>0</v>
      </c>
      <c r="S675" s="30">
        <f>IFERROR(PROPERTIES[[#This Row],[TE_STARTING_KN]]/(PROPERTIES[[#This Row],[WEIGHT]]*9.81),0)</f>
        <v>0</v>
      </c>
      <c r="T675" s="30">
        <v>0.3</v>
      </c>
      <c r="U675" s="27">
        <f>ROUND(IF(IFERROR(PROPERTIES[[#This Row],[TE_COEFFICIENT_CALC]],0)=0,PROPERTIES[[#This Row],[TE_COEFFICIENT_MANUAL]],PROPERTIES[[#This Row],[TE_COEFFICIENT_CALC]]),3)</f>
        <v>0.3</v>
      </c>
      <c r="V675" s="6">
        <v>25</v>
      </c>
      <c r="W675" s="10">
        <v>0</v>
      </c>
      <c r="X675" s="10">
        <v>0</v>
      </c>
      <c r="Y675" s="10"/>
      <c r="Z675" t="str">
        <f>"RUNNING_COST_"&amp;IF(PROPERTIES[[#This Row],[ENGINE_CLASS]]="MAGLEV","ELECTRIC",PROPERTIES[[#This Row],[ENGINE_CLASS]])</f>
        <v>RUNNING_COST_DIESEL</v>
      </c>
      <c r="AA675" s="10" t="s">
        <v>1016</v>
      </c>
      <c r="AB675" s="10" t="s">
        <v>1017</v>
      </c>
      <c r="AC675" s="10" t="str">
        <f>SUBSTITUTE(SUBSTITUTE(PROPERTIES[[#This Row],[PURCHASECOST_VALUE]], "PURCHASECOST_", ""), "_VALUE", "")</f>
        <v>WAGON</v>
      </c>
      <c r="AD675" s="2" t="b">
        <v>0</v>
      </c>
      <c r="AV675"/>
      <c r="AW675"/>
      <c r="AX675"/>
    </row>
    <row r="676" spans="1:50">
      <c r="A676" s="2" t="s">
        <v>852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35</v>
      </c>
      <c r="G676" t="s">
        <v>599</v>
      </c>
      <c r="H676">
        <v>42</v>
      </c>
      <c r="I676">
        <v>7</v>
      </c>
      <c r="J676">
        <v>7</v>
      </c>
      <c r="K676" s="2" t="s">
        <v>33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4">
        <v>30</v>
      </c>
      <c r="P676">
        <v>0</v>
      </c>
      <c r="Q676">
        <v>120</v>
      </c>
      <c r="R676" s="31">
        <v>0</v>
      </c>
      <c r="S676" s="30">
        <f>IFERROR(PROPERTIES[[#This Row],[TE_STARTING_KN]]/(PROPERTIES[[#This Row],[WEIGHT]]*9.81),0)</f>
        <v>0</v>
      </c>
      <c r="T676" s="30">
        <v>0.3</v>
      </c>
      <c r="U676" s="27">
        <f>ROUND(IF(IFERROR(PROPERTIES[[#This Row],[TE_COEFFICIENT_CALC]],0)=0,PROPERTIES[[#This Row],[TE_COEFFICIENT_MANUAL]],PROPERTIES[[#This Row],[TE_COEFFICIENT_CALC]]),3)</f>
        <v>0.3</v>
      </c>
      <c r="V676" s="6">
        <v>25</v>
      </c>
      <c r="W676" s="10">
        <v>0</v>
      </c>
      <c r="X676" s="10">
        <v>0</v>
      </c>
      <c r="Y676" s="10"/>
      <c r="Z676" t="str">
        <f>"RUNNING_COST_"&amp;IF(PROPERTIES[[#This Row],[ENGINE_CLASS]]="MAGLEV","ELECTRIC",PROPERTIES[[#This Row],[ENGINE_CLASS]])</f>
        <v>RUNNING_COST_DIESEL</v>
      </c>
      <c r="AA676" s="10" t="s">
        <v>1016</v>
      </c>
      <c r="AB676" s="10" t="s">
        <v>1017</v>
      </c>
      <c r="AC676" s="10" t="str">
        <f>SUBSTITUTE(SUBSTITUTE(PROPERTIES[[#This Row],[PURCHASECOST_VALUE]], "PURCHASECOST_", ""), "_VALUE", "")</f>
        <v>WAGON</v>
      </c>
      <c r="AD676" s="2" t="b">
        <v>0</v>
      </c>
      <c r="AV676"/>
      <c r="AW676"/>
      <c r="AX676"/>
    </row>
    <row r="677" spans="1:50">
      <c r="A677" s="2" t="s">
        <v>853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35</v>
      </c>
      <c r="G677" t="s">
        <v>599</v>
      </c>
      <c r="H677">
        <v>42</v>
      </c>
      <c r="I677">
        <v>7</v>
      </c>
      <c r="J677">
        <v>7</v>
      </c>
      <c r="K677" s="2" t="s">
        <v>33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4">
        <v>30</v>
      </c>
      <c r="P677">
        <v>0</v>
      </c>
      <c r="Q677">
        <v>120</v>
      </c>
      <c r="R677" s="31">
        <v>0</v>
      </c>
      <c r="S677" s="30">
        <f>IFERROR(PROPERTIES[[#This Row],[TE_STARTING_KN]]/(PROPERTIES[[#This Row],[WEIGHT]]*9.81),0)</f>
        <v>0</v>
      </c>
      <c r="T677" s="30">
        <v>0.3</v>
      </c>
      <c r="U677" s="27">
        <f>ROUND(IF(IFERROR(PROPERTIES[[#This Row],[TE_COEFFICIENT_CALC]],0)=0,PROPERTIES[[#This Row],[TE_COEFFICIENT_MANUAL]],PROPERTIES[[#This Row],[TE_COEFFICIENT_CALC]]),3)</f>
        <v>0.3</v>
      </c>
      <c r="V677" s="6">
        <v>25</v>
      </c>
      <c r="W677" s="10">
        <v>0</v>
      </c>
      <c r="X677" s="10">
        <v>0</v>
      </c>
      <c r="Y677" s="10"/>
      <c r="Z677" t="str">
        <f>"RUNNING_COST_"&amp;IF(PROPERTIES[[#This Row],[ENGINE_CLASS]]="MAGLEV","ELECTRIC",PROPERTIES[[#This Row],[ENGINE_CLASS]])</f>
        <v>RUNNING_COST_DIESEL</v>
      </c>
      <c r="AA677" s="10" t="s">
        <v>1016</v>
      </c>
      <c r="AB677" s="10" t="s">
        <v>1017</v>
      </c>
      <c r="AC677" s="10" t="str">
        <f>SUBSTITUTE(SUBSTITUTE(PROPERTIES[[#This Row],[PURCHASECOST_VALUE]], "PURCHASECOST_", ""), "_VALUE", "")</f>
        <v>WAGON</v>
      </c>
      <c r="AD677" s="2" t="b">
        <v>0</v>
      </c>
      <c r="AV677"/>
      <c r="AW677"/>
      <c r="AX677"/>
    </row>
    <row r="678" spans="1:50">
      <c r="A678" s="2" t="s">
        <v>854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35</v>
      </c>
      <c r="G678" t="s">
        <v>609</v>
      </c>
      <c r="H678">
        <v>80</v>
      </c>
      <c r="I678">
        <v>7</v>
      </c>
      <c r="J678">
        <v>7</v>
      </c>
      <c r="K678" s="2" t="s">
        <v>33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4">
        <v>22</v>
      </c>
      <c r="P678">
        <v>0</v>
      </c>
      <c r="Q678">
        <v>100</v>
      </c>
      <c r="R678" s="31">
        <v>0</v>
      </c>
      <c r="S678" s="30">
        <f>IFERROR(PROPERTIES[[#This Row],[TE_STARTING_KN]]/(PROPERTIES[[#This Row],[WEIGHT]]*9.81),0)</f>
        <v>0</v>
      </c>
      <c r="T678" s="30">
        <v>0.3</v>
      </c>
      <c r="U678" s="27">
        <f>ROUND(IF(IFERROR(PROPERTIES[[#This Row],[TE_COEFFICIENT_CALC]],0)=0,PROPERTIES[[#This Row],[TE_COEFFICIENT_MANUAL]],PROPERTIES[[#This Row],[TE_COEFFICIENT_CALC]]),3)</f>
        <v>0.3</v>
      </c>
      <c r="V678" s="6">
        <v>25</v>
      </c>
      <c r="W678" s="10">
        <v>0</v>
      </c>
      <c r="X678" s="10">
        <v>0</v>
      </c>
      <c r="Y678" s="10"/>
      <c r="Z678" t="str">
        <f>"RUNNING_COST_"&amp;IF(PROPERTIES[[#This Row],[ENGINE_CLASS]]="MAGLEV","ELECTRIC",PROPERTIES[[#This Row],[ENGINE_CLASS]])</f>
        <v>RUNNING_COST_DIESEL</v>
      </c>
      <c r="AA678" s="10" t="s">
        <v>1016</v>
      </c>
      <c r="AB678" s="10" t="s">
        <v>1017</v>
      </c>
      <c r="AC678" s="10" t="str">
        <f>SUBSTITUTE(SUBSTITUTE(PROPERTIES[[#This Row],[PURCHASECOST_VALUE]], "PURCHASECOST_", ""), "_VALUE", "")</f>
        <v>WAGON</v>
      </c>
      <c r="AD678" s="2" t="b">
        <v>0</v>
      </c>
      <c r="AV678"/>
      <c r="AW678"/>
      <c r="AX678"/>
    </row>
    <row r="679" spans="1:50">
      <c r="A679" s="2" t="s">
        <v>855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35</v>
      </c>
      <c r="G679" t="s">
        <v>604</v>
      </c>
      <c r="H679">
        <v>55</v>
      </c>
      <c r="I679">
        <v>7</v>
      </c>
      <c r="J679">
        <v>7</v>
      </c>
      <c r="K679" s="2" t="s">
        <v>33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4">
        <v>22</v>
      </c>
      <c r="P679">
        <v>0</v>
      </c>
      <c r="Q679">
        <v>100</v>
      </c>
      <c r="R679" s="31">
        <v>0</v>
      </c>
      <c r="S679" s="30">
        <f>IFERROR(PROPERTIES[[#This Row],[TE_STARTING_KN]]/(PROPERTIES[[#This Row],[WEIGHT]]*9.81),0)</f>
        <v>0</v>
      </c>
      <c r="T679" s="30">
        <v>0.3</v>
      </c>
      <c r="U679" s="27">
        <f>ROUND(IF(IFERROR(PROPERTIES[[#This Row],[TE_COEFFICIENT_CALC]],0)=0,PROPERTIES[[#This Row],[TE_COEFFICIENT_MANUAL]],PROPERTIES[[#This Row],[TE_COEFFICIENT_CALC]]),3)</f>
        <v>0.3</v>
      </c>
      <c r="V679" s="6">
        <v>25</v>
      </c>
      <c r="W679" s="10">
        <v>0</v>
      </c>
      <c r="X679" s="10">
        <v>0</v>
      </c>
      <c r="Y679" s="10"/>
      <c r="Z679" t="str">
        <f>"RUNNING_COST_"&amp;IF(PROPERTIES[[#This Row],[ENGINE_CLASS]]="MAGLEV","ELECTRIC",PROPERTIES[[#This Row],[ENGINE_CLASS]])</f>
        <v>RUNNING_COST_DIESEL</v>
      </c>
      <c r="AA679" s="10" t="s">
        <v>1016</v>
      </c>
      <c r="AB679" s="10" t="s">
        <v>1017</v>
      </c>
      <c r="AC679" s="10" t="str">
        <f>SUBSTITUTE(SUBSTITUTE(PROPERTIES[[#This Row],[PURCHASECOST_VALUE]], "PURCHASECOST_", ""), "_VALUE", "")</f>
        <v>WAGON</v>
      </c>
      <c r="AD679" s="2" t="b">
        <v>0</v>
      </c>
      <c r="AV679"/>
      <c r="AW679"/>
      <c r="AX679"/>
    </row>
    <row r="680" spans="1:50">
      <c r="A680" s="2" t="s">
        <v>856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35</v>
      </c>
      <c r="G680" t="s">
        <v>607</v>
      </c>
      <c r="H680">
        <v>55</v>
      </c>
      <c r="I680">
        <v>7</v>
      </c>
      <c r="J680">
        <v>7</v>
      </c>
      <c r="K680" s="2" t="s">
        <v>33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4">
        <v>25</v>
      </c>
      <c r="P680">
        <v>0</v>
      </c>
      <c r="Q680">
        <v>100</v>
      </c>
      <c r="R680" s="31">
        <v>0</v>
      </c>
      <c r="S680" s="30">
        <f>IFERROR(PROPERTIES[[#This Row],[TE_STARTING_KN]]/(PROPERTIES[[#This Row],[WEIGHT]]*9.81),0)</f>
        <v>0</v>
      </c>
      <c r="T680" s="30">
        <v>0.3</v>
      </c>
      <c r="U680" s="27">
        <f>ROUND(IF(IFERROR(PROPERTIES[[#This Row],[TE_COEFFICIENT_CALC]],0)=0,PROPERTIES[[#This Row],[TE_COEFFICIENT_MANUAL]],PROPERTIES[[#This Row],[TE_COEFFICIENT_CALC]]),3)</f>
        <v>0.3</v>
      </c>
      <c r="V680" s="6">
        <v>25</v>
      </c>
      <c r="W680" s="10">
        <v>0</v>
      </c>
      <c r="X680" s="10">
        <v>0</v>
      </c>
      <c r="Y680" s="10"/>
      <c r="Z680" t="str">
        <f>"RUNNING_COST_"&amp;IF(PROPERTIES[[#This Row],[ENGINE_CLASS]]="MAGLEV","ELECTRIC",PROPERTIES[[#This Row],[ENGINE_CLASS]])</f>
        <v>RUNNING_COST_DIESEL</v>
      </c>
      <c r="AA680" s="10" t="s">
        <v>1016</v>
      </c>
      <c r="AB680" s="10" t="s">
        <v>1017</v>
      </c>
      <c r="AC680" s="10" t="str">
        <f>SUBSTITUTE(SUBSTITUTE(PROPERTIES[[#This Row],[PURCHASECOST_VALUE]], "PURCHASECOST_", ""), "_VALUE", "")</f>
        <v>WAGON</v>
      </c>
      <c r="AD680" s="2" t="b">
        <v>0</v>
      </c>
      <c r="AV680"/>
      <c r="AW680"/>
      <c r="AX680"/>
    </row>
    <row r="681" spans="1:50">
      <c r="A681" s="2" t="s">
        <v>857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35</v>
      </c>
      <c r="G681" t="s">
        <v>607</v>
      </c>
      <c r="H681">
        <v>55</v>
      </c>
      <c r="I681">
        <v>7</v>
      </c>
      <c r="J681">
        <v>7</v>
      </c>
      <c r="K681" s="2" t="s">
        <v>33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4">
        <v>25</v>
      </c>
      <c r="P681">
        <v>0</v>
      </c>
      <c r="Q681">
        <v>100</v>
      </c>
      <c r="R681" s="31">
        <v>0</v>
      </c>
      <c r="S681" s="30">
        <f>IFERROR(PROPERTIES[[#This Row],[TE_STARTING_KN]]/(PROPERTIES[[#This Row],[WEIGHT]]*9.81),0)</f>
        <v>0</v>
      </c>
      <c r="T681" s="30">
        <v>0.3</v>
      </c>
      <c r="U681" s="27">
        <f>ROUND(IF(IFERROR(PROPERTIES[[#This Row],[TE_COEFFICIENT_CALC]],0)=0,PROPERTIES[[#This Row],[TE_COEFFICIENT_MANUAL]],PROPERTIES[[#This Row],[TE_COEFFICIENT_CALC]]),3)</f>
        <v>0.3</v>
      </c>
      <c r="V681" s="6">
        <v>25</v>
      </c>
      <c r="W681" s="10">
        <v>0</v>
      </c>
      <c r="X681" s="10">
        <v>0</v>
      </c>
      <c r="Y681" s="10"/>
      <c r="Z681" t="str">
        <f>"RUNNING_COST_"&amp;IF(PROPERTIES[[#This Row],[ENGINE_CLASS]]="MAGLEV","ELECTRIC",PROPERTIES[[#This Row],[ENGINE_CLASS]])</f>
        <v>RUNNING_COST_DIESEL</v>
      </c>
      <c r="AA681" s="10" t="s">
        <v>1016</v>
      </c>
      <c r="AB681" s="10" t="s">
        <v>1017</v>
      </c>
      <c r="AC681" s="10" t="str">
        <f>SUBSTITUTE(SUBSTITUTE(PROPERTIES[[#This Row],[PURCHASECOST_VALUE]], "PURCHASECOST_", ""), "_VALUE", "")</f>
        <v>WAGON</v>
      </c>
      <c r="AD681" s="2" t="b">
        <v>0</v>
      </c>
      <c r="AV681"/>
      <c r="AW681"/>
      <c r="AX681"/>
    </row>
    <row r="682" spans="1:50">
      <c r="A682" s="2" t="s">
        <v>858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35</v>
      </c>
      <c r="G682" t="s">
        <v>606</v>
      </c>
      <c r="H682">
        <v>55</v>
      </c>
      <c r="I682">
        <v>7</v>
      </c>
      <c r="J682">
        <v>7</v>
      </c>
      <c r="K682" s="2" t="s">
        <v>33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4">
        <v>25</v>
      </c>
      <c r="P682">
        <v>0</v>
      </c>
      <c r="Q682">
        <v>100</v>
      </c>
      <c r="R682" s="31">
        <v>0</v>
      </c>
      <c r="S682" s="30">
        <f>IFERROR(PROPERTIES[[#This Row],[TE_STARTING_KN]]/(PROPERTIES[[#This Row],[WEIGHT]]*9.81),0)</f>
        <v>0</v>
      </c>
      <c r="T682" s="30">
        <v>0.3</v>
      </c>
      <c r="U682" s="27">
        <f>ROUND(IF(IFERROR(PROPERTIES[[#This Row],[TE_COEFFICIENT_CALC]],0)=0,PROPERTIES[[#This Row],[TE_COEFFICIENT_MANUAL]],PROPERTIES[[#This Row],[TE_COEFFICIENT_CALC]]),3)</f>
        <v>0.3</v>
      </c>
      <c r="V682" s="6">
        <v>25</v>
      </c>
      <c r="W682" s="10">
        <v>0</v>
      </c>
      <c r="X682" s="10">
        <v>0</v>
      </c>
      <c r="Y682" s="10"/>
      <c r="Z682" t="str">
        <f>"RUNNING_COST_"&amp;IF(PROPERTIES[[#This Row],[ENGINE_CLASS]]="MAGLEV","ELECTRIC",PROPERTIES[[#This Row],[ENGINE_CLASS]])</f>
        <v>RUNNING_COST_DIESEL</v>
      </c>
      <c r="AA682" s="10" t="s">
        <v>1016</v>
      </c>
      <c r="AB682" s="10" t="s">
        <v>1017</v>
      </c>
      <c r="AC682" s="10" t="str">
        <f>SUBSTITUTE(SUBSTITUTE(PROPERTIES[[#This Row],[PURCHASECOST_VALUE]], "PURCHASECOST_", ""), "_VALUE", "")</f>
        <v>WAGON</v>
      </c>
      <c r="AD682" s="2" t="b">
        <v>0</v>
      </c>
      <c r="AV682"/>
      <c r="AW682"/>
      <c r="AX682"/>
    </row>
    <row r="683" spans="1:50">
      <c r="A683" s="2" t="s">
        <v>859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35</v>
      </c>
      <c r="G683" t="s">
        <v>606</v>
      </c>
      <c r="H683">
        <v>55</v>
      </c>
      <c r="I683">
        <v>7</v>
      </c>
      <c r="J683">
        <v>7</v>
      </c>
      <c r="K683" s="2" t="s">
        <v>33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4">
        <v>25</v>
      </c>
      <c r="P683">
        <v>0</v>
      </c>
      <c r="Q683">
        <v>100</v>
      </c>
      <c r="R683" s="31">
        <v>0</v>
      </c>
      <c r="S683" s="30">
        <f>IFERROR(PROPERTIES[[#This Row],[TE_STARTING_KN]]/(PROPERTIES[[#This Row],[WEIGHT]]*9.81),0)</f>
        <v>0</v>
      </c>
      <c r="T683" s="30">
        <v>0.3</v>
      </c>
      <c r="U683" s="27">
        <f>ROUND(IF(IFERROR(PROPERTIES[[#This Row],[TE_COEFFICIENT_CALC]],0)=0,PROPERTIES[[#This Row],[TE_COEFFICIENT_MANUAL]],PROPERTIES[[#This Row],[TE_COEFFICIENT_CALC]]),3)</f>
        <v>0.3</v>
      </c>
      <c r="V683" s="6">
        <v>25</v>
      </c>
      <c r="W683" s="10">
        <v>0</v>
      </c>
      <c r="X683" s="10">
        <v>0</v>
      </c>
      <c r="Y683" s="10"/>
      <c r="Z683" t="str">
        <f>"RUNNING_COST_"&amp;IF(PROPERTIES[[#This Row],[ENGINE_CLASS]]="MAGLEV","ELECTRIC",PROPERTIES[[#This Row],[ENGINE_CLASS]])</f>
        <v>RUNNING_COST_DIESEL</v>
      </c>
      <c r="AA683" s="10" t="s">
        <v>1016</v>
      </c>
      <c r="AB683" s="10" t="s">
        <v>1017</v>
      </c>
      <c r="AC683" s="10" t="str">
        <f>SUBSTITUTE(SUBSTITUTE(PROPERTIES[[#This Row],[PURCHASECOST_VALUE]], "PURCHASECOST_", ""), "_VALUE", "")</f>
        <v>WAGON</v>
      </c>
      <c r="AD683" s="2" t="b">
        <v>0</v>
      </c>
      <c r="AV683"/>
      <c r="AW683"/>
      <c r="AX683"/>
    </row>
    <row r="684" spans="1:50">
      <c r="A684" s="2" t="s">
        <v>860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35</v>
      </c>
      <c r="G684" t="s">
        <v>600</v>
      </c>
      <c r="H684">
        <v>16</v>
      </c>
      <c r="I684">
        <v>7</v>
      </c>
      <c r="J684">
        <v>7</v>
      </c>
      <c r="K684" s="2" t="s">
        <v>33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4">
        <v>26</v>
      </c>
      <c r="P684">
        <v>0</v>
      </c>
      <c r="Q684">
        <v>100</v>
      </c>
      <c r="R684" s="31">
        <v>0</v>
      </c>
      <c r="S684" s="30">
        <f>IFERROR(PROPERTIES[[#This Row],[TE_STARTING_KN]]/(PROPERTIES[[#This Row],[WEIGHT]]*9.81),0)</f>
        <v>0</v>
      </c>
      <c r="T684" s="30">
        <v>0.3</v>
      </c>
      <c r="U684" s="27">
        <f>ROUND(IF(IFERROR(PROPERTIES[[#This Row],[TE_COEFFICIENT_CALC]],0)=0,PROPERTIES[[#This Row],[TE_COEFFICIENT_MANUAL]],PROPERTIES[[#This Row],[TE_COEFFICIENT_CALC]]),3)</f>
        <v>0.3</v>
      </c>
      <c r="V684" s="6">
        <v>25</v>
      </c>
      <c r="W684" s="10">
        <v>0</v>
      </c>
      <c r="X684" s="10">
        <v>0</v>
      </c>
      <c r="Y684" s="10"/>
      <c r="Z684" t="str">
        <f>"RUNNING_COST_"&amp;IF(PROPERTIES[[#This Row],[ENGINE_CLASS]]="MAGLEV","ELECTRIC",PROPERTIES[[#This Row],[ENGINE_CLASS]])</f>
        <v>RUNNING_COST_DIESEL</v>
      </c>
      <c r="AA684" s="10" t="s">
        <v>1016</v>
      </c>
      <c r="AB684" s="10" t="s">
        <v>1017</v>
      </c>
      <c r="AC684" s="10" t="str">
        <f>SUBSTITUTE(SUBSTITUTE(PROPERTIES[[#This Row],[PURCHASECOST_VALUE]], "PURCHASECOST_", ""), "_VALUE", "")</f>
        <v>WAGON</v>
      </c>
      <c r="AD684" s="2" t="b">
        <v>0</v>
      </c>
      <c r="AV684"/>
      <c r="AW684"/>
      <c r="AX684"/>
    </row>
    <row r="685" spans="1:50">
      <c r="A685" s="2" t="s">
        <v>861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35</v>
      </c>
      <c r="G685" t="s">
        <v>532</v>
      </c>
      <c r="H685">
        <v>37</v>
      </c>
      <c r="I685">
        <v>7</v>
      </c>
      <c r="J685">
        <v>7</v>
      </c>
      <c r="K685" s="2" t="s">
        <v>33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4">
        <v>19</v>
      </c>
      <c r="P685">
        <v>0</v>
      </c>
      <c r="Q685">
        <v>120</v>
      </c>
      <c r="R685" s="31">
        <v>0</v>
      </c>
      <c r="S685" s="30">
        <f>IFERROR(PROPERTIES[[#This Row],[TE_STARTING_KN]]/(PROPERTIES[[#This Row],[WEIGHT]]*9.81),0)</f>
        <v>0</v>
      </c>
      <c r="T685" s="30">
        <v>0.3</v>
      </c>
      <c r="U685" s="27">
        <f>ROUND(IF(IFERROR(PROPERTIES[[#This Row],[TE_COEFFICIENT_CALC]],0)=0,PROPERTIES[[#This Row],[TE_COEFFICIENT_MANUAL]],PROPERTIES[[#This Row],[TE_COEFFICIENT_CALC]]),3)</f>
        <v>0.3</v>
      </c>
      <c r="V685" s="6">
        <v>25</v>
      </c>
      <c r="W685" s="10">
        <v>0</v>
      </c>
      <c r="X685" s="10">
        <v>0</v>
      </c>
      <c r="Y685" s="10"/>
      <c r="Z685" t="str">
        <f>"RUNNING_COST_"&amp;IF(PROPERTIES[[#This Row],[ENGINE_CLASS]]="MAGLEV","ELECTRIC",PROPERTIES[[#This Row],[ENGINE_CLASS]])</f>
        <v>RUNNING_COST_DIESEL</v>
      </c>
      <c r="AA685" s="10" t="s">
        <v>1016</v>
      </c>
      <c r="AB685" s="10" t="s">
        <v>1017</v>
      </c>
      <c r="AC685" s="10" t="str">
        <f>SUBSTITUTE(SUBSTITUTE(PROPERTIES[[#This Row],[PURCHASECOST_VALUE]], "PURCHASECOST_", ""), "_VALUE", "")</f>
        <v>WAGON</v>
      </c>
      <c r="AD685" s="2" t="b">
        <v>0</v>
      </c>
      <c r="AV685"/>
      <c r="AW685"/>
      <c r="AX685"/>
    </row>
    <row r="686" spans="1:50">
      <c r="A686" s="2" t="s">
        <v>862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35</v>
      </c>
      <c r="G686" t="s">
        <v>601</v>
      </c>
      <c r="H686">
        <v>45</v>
      </c>
      <c r="I686">
        <v>7</v>
      </c>
      <c r="J686">
        <v>7</v>
      </c>
      <c r="K686" s="2" t="s">
        <v>33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4">
        <v>42</v>
      </c>
      <c r="P686">
        <v>0</v>
      </c>
      <c r="Q686">
        <v>100</v>
      </c>
      <c r="R686" s="31">
        <v>0</v>
      </c>
      <c r="S686" s="30">
        <f>IFERROR(PROPERTIES[[#This Row],[TE_STARTING_KN]]/(PROPERTIES[[#This Row],[WEIGHT]]*9.81),0)</f>
        <v>0</v>
      </c>
      <c r="T686" s="30">
        <v>0.3</v>
      </c>
      <c r="U686" s="27">
        <f>ROUND(IF(IFERROR(PROPERTIES[[#This Row],[TE_COEFFICIENT_CALC]],0)=0,PROPERTIES[[#This Row],[TE_COEFFICIENT_MANUAL]],PROPERTIES[[#This Row],[TE_COEFFICIENT_CALC]]),3)</f>
        <v>0.3</v>
      </c>
      <c r="V686" s="6">
        <v>25</v>
      </c>
      <c r="W686" s="10">
        <v>0</v>
      </c>
      <c r="X686" s="10">
        <v>0</v>
      </c>
      <c r="Y686" s="10"/>
      <c r="Z686" t="str">
        <f>"RUNNING_COST_"&amp;IF(PROPERTIES[[#This Row],[ENGINE_CLASS]]="MAGLEV","ELECTRIC",PROPERTIES[[#This Row],[ENGINE_CLASS]])</f>
        <v>RUNNING_COST_DIESEL</v>
      </c>
      <c r="AA686" s="10" t="s">
        <v>1016</v>
      </c>
      <c r="AB686" s="10" t="s">
        <v>1017</v>
      </c>
      <c r="AC686" s="10" t="str">
        <f>SUBSTITUTE(SUBSTITUTE(PROPERTIES[[#This Row],[PURCHASECOST_VALUE]], "PURCHASECOST_", ""), "_VALUE", "")</f>
        <v>WAGON</v>
      </c>
      <c r="AD686" s="2" t="b">
        <v>0</v>
      </c>
      <c r="AV686"/>
      <c r="AW686"/>
      <c r="AX686"/>
    </row>
    <row r="687" spans="1:50">
      <c r="A687" s="2" t="s">
        <v>863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35</v>
      </c>
      <c r="G687" t="s">
        <v>603</v>
      </c>
      <c r="H687">
        <v>60</v>
      </c>
      <c r="I687">
        <v>8</v>
      </c>
      <c r="J687">
        <v>8</v>
      </c>
      <c r="K687" s="2" t="s">
        <v>33</v>
      </c>
      <c r="L687">
        <f>_xlfn.XLOOKUP("LOADINGSPEEDDEF_"&amp;PROPERTIES[[#This Row],[LOADINGSPEED]],LOADINGSPEEDDEF[TYPE],LOADINGSPEEDDEF[SPEED])</f>
        <v>20</v>
      </c>
      <c r="M687" t="s">
        <v>21</v>
      </c>
      <c r="N687">
        <v>0</v>
      </c>
      <c r="O687" s="34">
        <v>23</v>
      </c>
      <c r="P687">
        <v>0</v>
      </c>
      <c r="Q687">
        <v>120</v>
      </c>
      <c r="R687" s="31">
        <v>0</v>
      </c>
      <c r="S687" s="30">
        <f>IFERROR(PROPERTIES[[#This Row],[TE_STARTING_KN]]/(PROPERTIES[[#This Row],[WEIGHT]]*9.81),0)</f>
        <v>0</v>
      </c>
      <c r="T687" s="30">
        <v>0.3</v>
      </c>
      <c r="U687" s="27">
        <f>ROUND(IF(IFERROR(PROPERTIES[[#This Row],[TE_COEFFICIENT_CALC]],0)=0,PROPERTIES[[#This Row],[TE_COEFFICIENT_MANUAL]],PROPERTIES[[#This Row],[TE_COEFFICIENT_CALC]]),3)</f>
        <v>0.3</v>
      </c>
      <c r="V687" s="6">
        <v>25</v>
      </c>
      <c r="W687" s="10">
        <v>0</v>
      </c>
      <c r="X687" s="10">
        <v>0</v>
      </c>
      <c r="Y687" s="10"/>
      <c r="Z687" t="str">
        <f>"RUNNING_COST_"&amp;IF(PROPERTIES[[#This Row],[ENGINE_CLASS]]="MAGLEV","ELECTRIC",PROPERTIES[[#This Row],[ENGINE_CLASS]])</f>
        <v>RUNNING_COST_DIESEL</v>
      </c>
      <c r="AA687" s="10" t="s">
        <v>1016</v>
      </c>
      <c r="AB687" s="10" t="s">
        <v>1017</v>
      </c>
      <c r="AC687" s="10" t="str">
        <f>SUBSTITUTE(SUBSTITUTE(PROPERTIES[[#This Row],[PURCHASECOST_VALUE]], "PURCHASECOST_", ""), "_VALUE", "")</f>
        <v>WAGON</v>
      </c>
      <c r="AD687" s="2" t="b">
        <v>0</v>
      </c>
      <c r="AV687"/>
      <c r="AW687"/>
      <c r="AX687"/>
    </row>
    <row r="688" spans="1:50">
      <c r="A688" s="2" t="s">
        <v>864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35</v>
      </c>
      <c r="G688" t="s">
        <v>605</v>
      </c>
      <c r="H688">
        <v>84</v>
      </c>
      <c r="I688">
        <v>8</v>
      </c>
      <c r="J688">
        <v>8</v>
      </c>
      <c r="K688" s="2" t="s">
        <v>33</v>
      </c>
      <c r="L688">
        <f>_xlfn.XLOOKUP("LOADINGSPEEDDEF_"&amp;PROPERTIES[[#This Row],[LOADINGSPEED]],LOADINGSPEEDDEF[TYPE],LOADINGSPEEDDEF[SPEED])</f>
        <v>20</v>
      </c>
      <c r="M688" t="s">
        <v>21</v>
      </c>
      <c r="N688">
        <v>0</v>
      </c>
      <c r="O688" s="34">
        <v>42</v>
      </c>
      <c r="P688">
        <v>0</v>
      </c>
      <c r="Q688">
        <v>100</v>
      </c>
      <c r="R688" s="31">
        <v>0</v>
      </c>
      <c r="S688" s="30">
        <f>IFERROR(PROPERTIES[[#This Row],[TE_STARTING_KN]]/(PROPERTIES[[#This Row],[WEIGHT]]*9.81),0)</f>
        <v>0</v>
      </c>
      <c r="T688" s="30">
        <v>0.3</v>
      </c>
      <c r="U688" s="27">
        <f>ROUND(IF(IFERROR(PROPERTIES[[#This Row],[TE_COEFFICIENT_CALC]],0)=0,PROPERTIES[[#This Row],[TE_COEFFICIENT_MANUAL]],PROPERTIES[[#This Row],[TE_COEFFICIENT_CALC]]),3)</f>
        <v>0.3</v>
      </c>
      <c r="V688" s="6">
        <v>25</v>
      </c>
      <c r="W688" s="10">
        <v>0</v>
      </c>
      <c r="X688" s="10">
        <v>0</v>
      </c>
      <c r="Y688" s="10"/>
      <c r="Z688" t="str">
        <f>"RUNNING_COST_"&amp;IF(PROPERTIES[[#This Row],[ENGINE_CLASS]]="MAGLEV","ELECTRIC",PROPERTIES[[#This Row],[ENGINE_CLASS]])</f>
        <v>RUNNING_COST_DIESEL</v>
      </c>
      <c r="AA688" s="10" t="s">
        <v>1016</v>
      </c>
      <c r="AB688" s="10" t="s">
        <v>1017</v>
      </c>
      <c r="AC688" s="10" t="str">
        <f>SUBSTITUTE(SUBSTITUTE(PROPERTIES[[#This Row],[PURCHASECOST_VALUE]], "PURCHASECOST_", ""), "_VALUE", "")</f>
        <v>WAGON</v>
      </c>
      <c r="AD688" s="2" t="b">
        <v>0</v>
      </c>
      <c r="AV688"/>
      <c r="AW688"/>
      <c r="AX688"/>
    </row>
    <row r="689" spans="1:50">
      <c r="A689" s="2" t="s">
        <v>865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35</v>
      </c>
      <c r="G689" t="s">
        <v>599</v>
      </c>
      <c r="H689">
        <v>63</v>
      </c>
      <c r="I689">
        <v>8</v>
      </c>
      <c r="J689">
        <v>8</v>
      </c>
      <c r="K689" s="2" t="s">
        <v>33</v>
      </c>
      <c r="L689">
        <f>_xlfn.XLOOKUP("LOADINGSPEEDDEF_"&amp;PROPERTIES[[#This Row],[LOADINGSPEED]],LOADINGSPEEDDEF[TYPE],LOADINGSPEEDDEF[SPEED])</f>
        <v>20</v>
      </c>
      <c r="M689" t="s">
        <v>21</v>
      </c>
      <c r="N689">
        <v>0</v>
      </c>
      <c r="O689" s="34">
        <v>27</v>
      </c>
      <c r="P689">
        <v>0</v>
      </c>
      <c r="Q689">
        <v>120</v>
      </c>
      <c r="R689" s="31">
        <v>0</v>
      </c>
      <c r="S689" s="30">
        <f>IFERROR(PROPERTIES[[#This Row],[TE_STARTING_KN]]/(PROPERTIES[[#This Row],[WEIGHT]]*9.81),0)</f>
        <v>0</v>
      </c>
      <c r="T689" s="30">
        <v>0.3</v>
      </c>
      <c r="U689" s="27">
        <f>ROUND(IF(IFERROR(PROPERTIES[[#This Row],[TE_COEFFICIENT_CALC]],0)=0,PROPERTIES[[#This Row],[TE_COEFFICIENT_MANUAL]],PROPERTIES[[#This Row],[TE_COEFFICIENT_CALC]]),3)</f>
        <v>0.3</v>
      </c>
      <c r="V689" s="6">
        <v>25</v>
      </c>
      <c r="W689" s="10">
        <v>0</v>
      </c>
      <c r="X689" s="10">
        <v>0</v>
      </c>
      <c r="Y689" s="10"/>
      <c r="Z689" t="str">
        <f>"RUNNING_COST_"&amp;IF(PROPERTIES[[#This Row],[ENGINE_CLASS]]="MAGLEV","ELECTRIC",PROPERTIES[[#This Row],[ENGINE_CLASS]])</f>
        <v>RUNNING_COST_DIESEL</v>
      </c>
      <c r="AA689" s="10" t="s">
        <v>1016</v>
      </c>
      <c r="AB689" s="10" t="s">
        <v>1017</v>
      </c>
      <c r="AC689" s="10" t="str">
        <f>SUBSTITUTE(SUBSTITUTE(PROPERTIES[[#This Row],[PURCHASECOST_VALUE]], "PURCHASECOST_", ""), "_VALUE", "")</f>
        <v>WAGON</v>
      </c>
      <c r="AD689" s="2" t="b">
        <v>0</v>
      </c>
      <c r="AV689"/>
      <c r="AW689"/>
      <c r="AX689"/>
    </row>
    <row r="690" spans="1:50">
      <c r="A690" s="2" t="s">
        <v>866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35</v>
      </c>
      <c r="G690" t="s">
        <v>599</v>
      </c>
      <c r="H690">
        <v>63</v>
      </c>
      <c r="I690">
        <v>8</v>
      </c>
      <c r="J690">
        <v>8</v>
      </c>
      <c r="K690" s="2" t="s">
        <v>33</v>
      </c>
      <c r="L690">
        <f>_xlfn.XLOOKUP("LOADINGSPEEDDEF_"&amp;PROPERTIES[[#This Row],[LOADINGSPEED]],LOADINGSPEEDDEF[TYPE],LOADINGSPEEDDEF[SPEED])</f>
        <v>20</v>
      </c>
      <c r="M690" t="s">
        <v>21</v>
      </c>
      <c r="N690">
        <v>0</v>
      </c>
      <c r="O690" s="34">
        <v>27</v>
      </c>
      <c r="P690">
        <v>0</v>
      </c>
      <c r="Q690">
        <v>120</v>
      </c>
      <c r="R690" s="31">
        <v>0</v>
      </c>
      <c r="S690" s="30">
        <f>IFERROR(PROPERTIES[[#This Row],[TE_STARTING_KN]]/(PROPERTIES[[#This Row],[WEIGHT]]*9.81),0)</f>
        <v>0</v>
      </c>
      <c r="T690" s="30">
        <v>0.3</v>
      </c>
      <c r="U690" s="27">
        <f>ROUND(IF(IFERROR(PROPERTIES[[#This Row],[TE_COEFFICIENT_CALC]],0)=0,PROPERTIES[[#This Row],[TE_COEFFICIENT_MANUAL]],PROPERTIES[[#This Row],[TE_COEFFICIENT_CALC]]),3)</f>
        <v>0.3</v>
      </c>
      <c r="V690" s="6">
        <v>25</v>
      </c>
      <c r="W690" s="10">
        <v>0</v>
      </c>
      <c r="X690" s="10">
        <v>0</v>
      </c>
      <c r="Y690" s="10"/>
      <c r="Z690" t="str">
        <f>"RUNNING_COST_"&amp;IF(PROPERTIES[[#This Row],[ENGINE_CLASS]]="MAGLEV","ELECTRIC",PROPERTIES[[#This Row],[ENGINE_CLASS]])</f>
        <v>RUNNING_COST_DIESEL</v>
      </c>
      <c r="AA690" s="10" t="s">
        <v>1016</v>
      </c>
      <c r="AB690" s="10" t="s">
        <v>1017</v>
      </c>
      <c r="AC690" s="10" t="str">
        <f>SUBSTITUTE(SUBSTITUTE(PROPERTIES[[#This Row],[PURCHASECOST_VALUE]], "PURCHASECOST_", ""), "_VALUE", "")</f>
        <v>WAGON</v>
      </c>
      <c r="AD690" s="2" t="b">
        <v>0</v>
      </c>
      <c r="AV690"/>
      <c r="AW690"/>
      <c r="AX690"/>
    </row>
    <row r="691" spans="1:50">
      <c r="A691" s="2" t="s">
        <v>867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35</v>
      </c>
      <c r="G691" t="s">
        <v>609</v>
      </c>
      <c r="H691">
        <v>95</v>
      </c>
      <c r="I691">
        <v>8</v>
      </c>
      <c r="J691">
        <v>8</v>
      </c>
      <c r="K691" s="2" t="s">
        <v>33</v>
      </c>
      <c r="L691">
        <f>_xlfn.XLOOKUP("LOADINGSPEEDDEF_"&amp;PROPERTIES[[#This Row],[LOADINGSPEED]],LOADINGSPEEDDEF[TYPE],LOADINGSPEEDDEF[SPEED])</f>
        <v>20</v>
      </c>
      <c r="M691" t="s">
        <v>21</v>
      </c>
      <c r="N691">
        <v>0</v>
      </c>
      <c r="O691" s="34">
        <v>24</v>
      </c>
      <c r="P691">
        <v>0</v>
      </c>
      <c r="Q691">
        <v>120</v>
      </c>
      <c r="R691" s="31">
        <v>0</v>
      </c>
      <c r="S691" s="30">
        <f>IFERROR(PROPERTIES[[#This Row],[TE_STARTING_KN]]/(PROPERTIES[[#This Row],[WEIGHT]]*9.81),0)</f>
        <v>0</v>
      </c>
      <c r="T691" s="30">
        <v>0.3</v>
      </c>
      <c r="U691" s="27">
        <f>ROUND(IF(IFERROR(PROPERTIES[[#This Row],[TE_COEFFICIENT_CALC]],0)=0,PROPERTIES[[#This Row],[TE_COEFFICIENT_MANUAL]],PROPERTIES[[#This Row],[TE_COEFFICIENT_CALC]]),3)</f>
        <v>0.3</v>
      </c>
      <c r="V691" s="6">
        <v>25</v>
      </c>
      <c r="W691" s="10">
        <v>0</v>
      </c>
      <c r="X691" s="10">
        <v>0</v>
      </c>
      <c r="Y691" s="10"/>
      <c r="Z691" t="str">
        <f>"RUNNING_COST_"&amp;IF(PROPERTIES[[#This Row],[ENGINE_CLASS]]="MAGLEV","ELECTRIC",PROPERTIES[[#This Row],[ENGINE_CLASS]])</f>
        <v>RUNNING_COST_DIESEL</v>
      </c>
      <c r="AA691" s="10" t="s">
        <v>1016</v>
      </c>
      <c r="AB691" s="10" t="s">
        <v>1017</v>
      </c>
      <c r="AC691" s="10" t="str">
        <f>SUBSTITUTE(SUBSTITUTE(PROPERTIES[[#This Row],[PURCHASECOST_VALUE]], "PURCHASECOST_", ""), "_VALUE", "")</f>
        <v>WAGON</v>
      </c>
      <c r="AD691" s="2" t="b">
        <v>0</v>
      </c>
      <c r="AV691"/>
      <c r="AW691"/>
      <c r="AX691"/>
    </row>
    <row r="692" spans="1:50">
      <c r="A692" s="2" t="s">
        <v>868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35</v>
      </c>
      <c r="G692" t="s">
        <v>604</v>
      </c>
      <c r="H692">
        <v>65</v>
      </c>
      <c r="I692">
        <v>8</v>
      </c>
      <c r="J692">
        <v>8</v>
      </c>
      <c r="K692" s="2" t="s">
        <v>33</v>
      </c>
      <c r="L692">
        <f>_xlfn.XLOOKUP("LOADINGSPEEDDEF_"&amp;PROPERTIES[[#This Row],[LOADINGSPEED]],LOADINGSPEEDDEF[TYPE],LOADINGSPEEDDEF[SPEED])</f>
        <v>20</v>
      </c>
      <c r="M692" t="s">
        <v>21</v>
      </c>
      <c r="N692">
        <v>0</v>
      </c>
      <c r="O692" s="34">
        <v>22</v>
      </c>
      <c r="P692">
        <v>0</v>
      </c>
      <c r="Q692">
        <v>120</v>
      </c>
      <c r="R692" s="31">
        <v>0</v>
      </c>
      <c r="S692" s="30">
        <f>IFERROR(PROPERTIES[[#This Row],[TE_STARTING_KN]]/(PROPERTIES[[#This Row],[WEIGHT]]*9.81),0)</f>
        <v>0</v>
      </c>
      <c r="T692" s="30">
        <v>0.3</v>
      </c>
      <c r="U692" s="27">
        <f>ROUND(IF(IFERROR(PROPERTIES[[#This Row],[TE_COEFFICIENT_CALC]],0)=0,PROPERTIES[[#This Row],[TE_COEFFICIENT_MANUAL]],PROPERTIES[[#This Row],[TE_COEFFICIENT_CALC]]),3)</f>
        <v>0.3</v>
      </c>
      <c r="V692" s="6">
        <v>25</v>
      </c>
      <c r="W692" s="10">
        <v>0</v>
      </c>
      <c r="X692" s="10">
        <v>0</v>
      </c>
      <c r="Y692" s="10"/>
      <c r="Z692" t="str">
        <f>"RUNNING_COST_"&amp;IF(PROPERTIES[[#This Row],[ENGINE_CLASS]]="MAGLEV","ELECTRIC",PROPERTIES[[#This Row],[ENGINE_CLASS]])</f>
        <v>RUNNING_COST_DIESEL</v>
      </c>
      <c r="AA692" s="10" t="s">
        <v>1016</v>
      </c>
      <c r="AB692" s="10" t="s">
        <v>1017</v>
      </c>
      <c r="AC692" s="10" t="str">
        <f>SUBSTITUTE(SUBSTITUTE(PROPERTIES[[#This Row],[PURCHASECOST_VALUE]], "PURCHASECOST_", ""), "_VALUE", "")</f>
        <v>WAGON</v>
      </c>
      <c r="AD692" s="2" t="b">
        <v>0</v>
      </c>
      <c r="AV692"/>
      <c r="AW692"/>
      <c r="AX692"/>
    </row>
    <row r="693" spans="1:50">
      <c r="A693" s="2" t="s">
        <v>869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35</v>
      </c>
      <c r="G693" t="s">
        <v>607</v>
      </c>
      <c r="H693">
        <v>65</v>
      </c>
      <c r="I693">
        <v>8</v>
      </c>
      <c r="J693">
        <v>8</v>
      </c>
      <c r="K693" s="2" t="s">
        <v>33</v>
      </c>
      <c r="L693">
        <f>_xlfn.XLOOKUP("LOADINGSPEEDDEF_"&amp;PROPERTIES[[#This Row],[LOADINGSPEED]],LOADINGSPEEDDEF[TYPE],LOADINGSPEEDDEF[SPEED])</f>
        <v>20</v>
      </c>
      <c r="M693" t="s">
        <v>21</v>
      </c>
      <c r="N693">
        <v>0</v>
      </c>
      <c r="O693" s="34">
        <v>27</v>
      </c>
      <c r="P693">
        <v>0</v>
      </c>
      <c r="Q693">
        <v>120</v>
      </c>
      <c r="R693" s="31">
        <v>0</v>
      </c>
      <c r="S693" s="30">
        <f>IFERROR(PROPERTIES[[#This Row],[TE_STARTING_KN]]/(PROPERTIES[[#This Row],[WEIGHT]]*9.81),0)</f>
        <v>0</v>
      </c>
      <c r="T693" s="30">
        <v>0.3</v>
      </c>
      <c r="U693" s="27">
        <f>ROUND(IF(IFERROR(PROPERTIES[[#This Row],[TE_COEFFICIENT_CALC]],0)=0,PROPERTIES[[#This Row],[TE_COEFFICIENT_MANUAL]],PROPERTIES[[#This Row],[TE_COEFFICIENT_CALC]]),3)</f>
        <v>0.3</v>
      </c>
      <c r="V693" s="6">
        <v>25</v>
      </c>
      <c r="W693" s="10">
        <v>0</v>
      </c>
      <c r="X693" s="10">
        <v>0</v>
      </c>
      <c r="Y693" s="10"/>
      <c r="Z693" t="str">
        <f>"RUNNING_COST_"&amp;IF(PROPERTIES[[#This Row],[ENGINE_CLASS]]="MAGLEV","ELECTRIC",PROPERTIES[[#This Row],[ENGINE_CLASS]])</f>
        <v>RUNNING_COST_DIESEL</v>
      </c>
      <c r="AA693" s="10" t="s">
        <v>1016</v>
      </c>
      <c r="AB693" s="10" t="s">
        <v>1017</v>
      </c>
      <c r="AC693" s="10" t="str">
        <f>SUBSTITUTE(SUBSTITUTE(PROPERTIES[[#This Row],[PURCHASECOST_VALUE]], "PURCHASECOST_", ""), "_VALUE", "")</f>
        <v>WAGON</v>
      </c>
      <c r="AD693" s="2" t="b">
        <v>0</v>
      </c>
      <c r="AV693"/>
      <c r="AW693"/>
      <c r="AX693"/>
    </row>
    <row r="694" spans="1:50">
      <c r="A694" s="2" t="s">
        <v>870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35</v>
      </c>
      <c r="G694" t="s">
        <v>607</v>
      </c>
      <c r="H694">
        <v>65</v>
      </c>
      <c r="I694">
        <v>8</v>
      </c>
      <c r="J694">
        <v>8</v>
      </c>
      <c r="K694" s="2" t="s">
        <v>33</v>
      </c>
      <c r="L694">
        <f>_xlfn.XLOOKUP("LOADINGSPEEDDEF_"&amp;PROPERTIES[[#This Row],[LOADINGSPEED]],LOADINGSPEEDDEF[TYPE],LOADINGSPEEDDEF[SPEED])</f>
        <v>20</v>
      </c>
      <c r="M694" t="s">
        <v>21</v>
      </c>
      <c r="N694">
        <v>0</v>
      </c>
      <c r="O694" s="34">
        <v>27</v>
      </c>
      <c r="P694">
        <v>0</v>
      </c>
      <c r="Q694">
        <v>120</v>
      </c>
      <c r="R694" s="31">
        <v>0</v>
      </c>
      <c r="S694" s="30">
        <f>IFERROR(PROPERTIES[[#This Row],[TE_STARTING_KN]]/(PROPERTIES[[#This Row],[WEIGHT]]*9.81),0)</f>
        <v>0</v>
      </c>
      <c r="T694" s="30">
        <v>0.3</v>
      </c>
      <c r="U694" s="27">
        <f>ROUND(IF(IFERROR(PROPERTIES[[#This Row],[TE_COEFFICIENT_CALC]],0)=0,PROPERTIES[[#This Row],[TE_COEFFICIENT_MANUAL]],PROPERTIES[[#This Row],[TE_COEFFICIENT_CALC]]),3)</f>
        <v>0.3</v>
      </c>
      <c r="V694" s="6">
        <v>25</v>
      </c>
      <c r="W694" s="10">
        <v>0</v>
      </c>
      <c r="X694" s="10">
        <v>0</v>
      </c>
      <c r="Y694" s="10"/>
      <c r="Z694" t="str">
        <f>"RUNNING_COST_"&amp;IF(PROPERTIES[[#This Row],[ENGINE_CLASS]]="MAGLEV","ELECTRIC",PROPERTIES[[#This Row],[ENGINE_CLASS]])</f>
        <v>RUNNING_COST_DIESEL</v>
      </c>
      <c r="AA694" s="10" t="s">
        <v>1016</v>
      </c>
      <c r="AB694" s="10" t="s">
        <v>1017</v>
      </c>
      <c r="AC694" s="10" t="str">
        <f>SUBSTITUTE(SUBSTITUTE(PROPERTIES[[#This Row],[PURCHASECOST_VALUE]], "PURCHASECOST_", ""), "_VALUE", "")</f>
        <v>WAGON</v>
      </c>
      <c r="AD694" s="2" t="b">
        <v>0</v>
      </c>
      <c r="AV694"/>
      <c r="AW694"/>
      <c r="AX694"/>
    </row>
    <row r="695" spans="1:50">
      <c r="A695" s="2" t="s">
        <v>871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35</v>
      </c>
      <c r="G695" t="s">
        <v>606</v>
      </c>
      <c r="H695">
        <v>65</v>
      </c>
      <c r="I695">
        <v>8</v>
      </c>
      <c r="J695">
        <v>8</v>
      </c>
      <c r="K695" s="2" t="s">
        <v>33</v>
      </c>
      <c r="L695">
        <f>_xlfn.XLOOKUP("LOADINGSPEEDDEF_"&amp;PROPERTIES[[#This Row],[LOADINGSPEED]],LOADINGSPEEDDEF[TYPE],LOADINGSPEEDDEF[SPEED])</f>
        <v>20</v>
      </c>
      <c r="M695" t="s">
        <v>21</v>
      </c>
      <c r="N695">
        <v>0</v>
      </c>
      <c r="O695" s="34">
        <v>26</v>
      </c>
      <c r="P695">
        <v>0</v>
      </c>
      <c r="Q695">
        <v>120</v>
      </c>
      <c r="R695" s="31">
        <v>0</v>
      </c>
      <c r="S695" s="30">
        <f>IFERROR(PROPERTIES[[#This Row],[TE_STARTING_KN]]/(PROPERTIES[[#This Row],[WEIGHT]]*9.81),0)</f>
        <v>0</v>
      </c>
      <c r="T695" s="30">
        <v>0.3</v>
      </c>
      <c r="U695" s="27">
        <f>ROUND(IF(IFERROR(PROPERTIES[[#This Row],[TE_COEFFICIENT_CALC]],0)=0,PROPERTIES[[#This Row],[TE_COEFFICIENT_MANUAL]],PROPERTIES[[#This Row],[TE_COEFFICIENT_CALC]]),3)</f>
        <v>0.3</v>
      </c>
      <c r="V695" s="6">
        <v>25</v>
      </c>
      <c r="W695" s="10">
        <v>0</v>
      </c>
      <c r="X695" s="10">
        <v>0</v>
      </c>
      <c r="Y695" s="10"/>
      <c r="Z695" t="str">
        <f>"RUNNING_COST_"&amp;IF(PROPERTIES[[#This Row],[ENGINE_CLASS]]="MAGLEV","ELECTRIC",PROPERTIES[[#This Row],[ENGINE_CLASS]])</f>
        <v>RUNNING_COST_DIESEL</v>
      </c>
      <c r="AA695" s="10" t="s">
        <v>1016</v>
      </c>
      <c r="AB695" s="10" t="s">
        <v>1017</v>
      </c>
      <c r="AC695" s="10" t="str">
        <f>SUBSTITUTE(SUBSTITUTE(PROPERTIES[[#This Row],[PURCHASECOST_VALUE]], "PURCHASECOST_", ""), "_VALUE", "")</f>
        <v>WAGON</v>
      </c>
      <c r="AD695" s="2" t="b">
        <v>0</v>
      </c>
      <c r="AV695"/>
      <c r="AW695"/>
      <c r="AX695"/>
    </row>
    <row r="696" spans="1:50">
      <c r="A696" s="2" t="s">
        <v>872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35</v>
      </c>
      <c r="G696" t="s">
        <v>606</v>
      </c>
      <c r="H696">
        <v>65</v>
      </c>
      <c r="I696">
        <v>8</v>
      </c>
      <c r="J696">
        <v>8</v>
      </c>
      <c r="K696" s="2" t="s">
        <v>33</v>
      </c>
      <c r="L696">
        <f>_xlfn.XLOOKUP("LOADINGSPEEDDEF_"&amp;PROPERTIES[[#This Row],[LOADINGSPEED]],LOADINGSPEEDDEF[TYPE],LOADINGSPEEDDEF[SPEED])</f>
        <v>20</v>
      </c>
      <c r="M696" t="s">
        <v>21</v>
      </c>
      <c r="N696">
        <v>0</v>
      </c>
      <c r="O696" s="34">
        <v>26</v>
      </c>
      <c r="P696">
        <v>0</v>
      </c>
      <c r="Q696">
        <v>120</v>
      </c>
      <c r="R696" s="31">
        <v>0</v>
      </c>
      <c r="S696" s="30">
        <f>IFERROR(PROPERTIES[[#This Row],[TE_STARTING_KN]]/(PROPERTIES[[#This Row],[WEIGHT]]*9.81),0)</f>
        <v>0</v>
      </c>
      <c r="T696" s="30">
        <v>0.3</v>
      </c>
      <c r="U696" s="27">
        <f>ROUND(IF(IFERROR(PROPERTIES[[#This Row],[TE_COEFFICIENT_CALC]],0)=0,PROPERTIES[[#This Row],[TE_COEFFICIENT_MANUAL]],PROPERTIES[[#This Row],[TE_COEFFICIENT_CALC]]),3)</f>
        <v>0.3</v>
      </c>
      <c r="V696" s="6">
        <v>25</v>
      </c>
      <c r="W696" s="10">
        <v>0</v>
      </c>
      <c r="X696" s="10">
        <v>0</v>
      </c>
      <c r="Y696" s="10"/>
      <c r="Z696" t="str">
        <f>"RUNNING_COST_"&amp;IF(PROPERTIES[[#This Row],[ENGINE_CLASS]]="MAGLEV","ELECTRIC",PROPERTIES[[#This Row],[ENGINE_CLASS]])</f>
        <v>RUNNING_COST_DIESEL</v>
      </c>
      <c r="AA696" s="10" t="s">
        <v>1016</v>
      </c>
      <c r="AB696" s="10" t="s">
        <v>1017</v>
      </c>
      <c r="AC696" s="10" t="str">
        <f>SUBSTITUTE(SUBSTITUTE(PROPERTIES[[#This Row],[PURCHASECOST_VALUE]], "PURCHASECOST_", ""), "_VALUE", "")</f>
        <v>WAGON</v>
      </c>
      <c r="AD696" s="2" t="b">
        <v>0</v>
      </c>
      <c r="AV696"/>
      <c r="AW696"/>
      <c r="AX696"/>
    </row>
    <row r="697" spans="1:50">
      <c r="A697" s="2" t="s">
        <v>873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35</v>
      </c>
      <c r="G697" t="s">
        <v>600</v>
      </c>
      <c r="H697">
        <v>16</v>
      </c>
      <c r="I697">
        <v>8</v>
      </c>
      <c r="J697">
        <v>8</v>
      </c>
      <c r="K697" s="2" t="s">
        <v>33</v>
      </c>
      <c r="L697">
        <f>_xlfn.XLOOKUP("LOADINGSPEEDDEF_"&amp;PROPERTIES[[#This Row],[LOADINGSPEED]],LOADINGSPEEDDEF[TYPE],LOADINGSPEEDDEF[SPEED])</f>
        <v>20</v>
      </c>
      <c r="M697" t="s">
        <v>21</v>
      </c>
      <c r="N697">
        <v>0</v>
      </c>
      <c r="O697" s="34">
        <v>28</v>
      </c>
      <c r="P697">
        <v>0</v>
      </c>
      <c r="Q697">
        <v>160</v>
      </c>
      <c r="R697" s="31">
        <v>0</v>
      </c>
      <c r="S697" s="30">
        <f>IFERROR(PROPERTIES[[#This Row],[TE_STARTING_KN]]/(PROPERTIES[[#This Row],[WEIGHT]]*9.81),0)</f>
        <v>0</v>
      </c>
      <c r="T697" s="30">
        <v>0.3</v>
      </c>
      <c r="U697" s="27">
        <f>ROUND(IF(IFERROR(PROPERTIES[[#This Row],[TE_COEFFICIENT_CALC]],0)=0,PROPERTIES[[#This Row],[TE_COEFFICIENT_MANUAL]],PROPERTIES[[#This Row],[TE_COEFFICIENT_CALC]]),3)</f>
        <v>0.3</v>
      </c>
      <c r="V697" s="6">
        <v>25</v>
      </c>
      <c r="W697" s="10">
        <v>0</v>
      </c>
      <c r="X697" s="10">
        <v>0</v>
      </c>
      <c r="Y697" s="10"/>
      <c r="Z697" t="str">
        <f>"RUNNING_COST_"&amp;IF(PROPERTIES[[#This Row],[ENGINE_CLASS]]="MAGLEV","ELECTRIC",PROPERTIES[[#This Row],[ENGINE_CLASS]])</f>
        <v>RUNNING_COST_DIESEL</v>
      </c>
      <c r="AA697" s="10" t="s">
        <v>1016</v>
      </c>
      <c r="AB697" s="10" t="s">
        <v>1017</v>
      </c>
      <c r="AC697" s="10" t="str">
        <f>SUBSTITUTE(SUBSTITUTE(PROPERTIES[[#This Row],[PURCHASECOST_VALUE]], "PURCHASECOST_", ""), "_VALUE", "")</f>
        <v>WAGON</v>
      </c>
      <c r="AD697" s="2" t="b">
        <v>0</v>
      </c>
      <c r="AV697"/>
      <c r="AW697"/>
      <c r="AX697"/>
    </row>
    <row r="698" spans="1:50">
      <c r="A698" s="2" t="s">
        <v>874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35</v>
      </c>
      <c r="G698" t="s">
        <v>532</v>
      </c>
      <c r="H698">
        <v>50</v>
      </c>
      <c r="I698">
        <v>8</v>
      </c>
      <c r="J698">
        <v>8</v>
      </c>
      <c r="K698" s="2" t="s">
        <v>33</v>
      </c>
      <c r="L698">
        <f>_xlfn.XLOOKUP("LOADINGSPEEDDEF_"&amp;PROPERTIES[[#This Row],[LOADINGSPEED]],LOADINGSPEEDDEF[TYPE],LOADINGSPEEDDEF[SPEED])</f>
        <v>20</v>
      </c>
      <c r="M698" t="s">
        <v>21</v>
      </c>
      <c r="N698">
        <v>0</v>
      </c>
      <c r="O698" s="34">
        <v>22</v>
      </c>
      <c r="P698">
        <v>0</v>
      </c>
      <c r="Q698">
        <v>160</v>
      </c>
      <c r="R698" s="31">
        <v>0</v>
      </c>
      <c r="S698" s="30">
        <f>IFERROR(PROPERTIES[[#This Row],[TE_STARTING_KN]]/(PROPERTIES[[#This Row],[WEIGHT]]*9.81),0)</f>
        <v>0</v>
      </c>
      <c r="T698" s="30">
        <v>0.3</v>
      </c>
      <c r="U698" s="27">
        <f>ROUND(IF(IFERROR(PROPERTIES[[#This Row],[TE_COEFFICIENT_CALC]],0)=0,PROPERTIES[[#This Row],[TE_COEFFICIENT_MANUAL]],PROPERTIES[[#This Row],[TE_COEFFICIENT_CALC]]),3)</f>
        <v>0.3</v>
      </c>
      <c r="V698" s="6">
        <v>25</v>
      </c>
      <c r="W698" s="10">
        <v>0</v>
      </c>
      <c r="X698" s="10">
        <v>0</v>
      </c>
      <c r="Y698" s="10"/>
      <c r="Z698" t="str">
        <f>"RUNNING_COST_"&amp;IF(PROPERTIES[[#This Row],[ENGINE_CLASS]]="MAGLEV","ELECTRIC",PROPERTIES[[#This Row],[ENGINE_CLASS]])</f>
        <v>RUNNING_COST_DIESEL</v>
      </c>
      <c r="AA698" s="10" t="s">
        <v>1016</v>
      </c>
      <c r="AB698" s="10" t="s">
        <v>1017</v>
      </c>
      <c r="AC698" s="10" t="str">
        <f>SUBSTITUTE(SUBSTITUTE(PROPERTIES[[#This Row],[PURCHASECOST_VALUE]], "PURCHASECOST_", ""), "_VALUE", "")</f>
        <v>WAGON</v>
      </c>
      <c r="AD698" s="2" t="b">
        <v>0</v>
      </c>
      <c r="AV698"/>
      <c r="AW698"/>
      <c r="AX698"/>
    </row>
    <row r="699" spans="1:50">
      <c r="A699" s="2" t="s">
        <v>875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35</v>
      </c>
      <c r="G699" t="s">
        <v>601</v>
      </c>
      <c r="H699">
        <v>55</v>
      </c>
      <c r="I699">
        <v>8</v>
      </c>
      <c r="J699">
        <v>8</v>
      </c>
      <c r="K699" s="2" t="s">
        <v>33</v>
      </c>
      <c r="L699">
        <f>_xlfn.XLOOKUP("LOADINGSPEEDDEF_"&amp;PROPERTIES[[#This Row],[LOADINGSPEED]],LOADINGSPEEDDEF[TYPE],LOADINGSPEEDDEF[SPEED])</f>
        <v>20</v>
      </c>
      <c r="M699" t="s">
        <v>21</v>
      </c>
      <c r="N699">
        <v>0</v>
      </c>
      <c r="O699" s="34">
        <v>40</v>
      </c>
      <c r="P699">
        <v>0</v>
      </c>
      <c r="Q699">
        <v>120</v>
      </c>
      <c r="R699" s="31">
        <v>0</v>
      </c>
      <c r="S699" s="30">
        <f>IFERROR(PROPERTIES[[#This Row],[TE_STARTING_KN]]/(PROPERTIES[[#This Row],[WEIGHT]]*9.81),0)</f>
        <v>0</v>
      </c>
      <c r="T699" s="30">
        <v>0.3</v>
      </c>
      <c r="U699" s="27">
        <f>ROUND(IF(IFERROR(PROPERTIES[[#This Row],[TE_COEFFICIENT_CALC]],0)=0,PROPERTIES[[#This Row],[TE_COEFFICIENT_MANUAL]],PROPERTIES[[#This Row],[TE_COEFFICIENT_CALC]]),3)</f>
        <v>0.3</v>
      </c>
      <c r="V699" s="6">
        <v>25</v>
      </c>
      <c r="W699" s="10">
        <v>0</v>
      </c>
      <c r="X699" s="10">
        <v>0</v>
      </c>
      <c r="Y699" s="10"/>
      <c r="Z699" t="str">
        <f>"RUNNING_COST_"&amp;IF(PROPERTIES[[#This Row],[ENGINE_CLASS]]="MAGLEV","ELECTRIC",PROPERTIES[[#This Row],[ENGINE_CLASS]])</f>
        <v>RUNNING_COST_DIESEL</v>
      </c>
      <c r="AA699" s="10" t="s">
        <v>1016</v>
      </c>
      <c r="AB699" s="10" t="s">
        <v>1017</v>
      </c>
      <c r="AC699" s="10" t="str">
        <f>SUBSTITUTE(SUBSTITUTE(PROPERTIES[[#This Row],[PURCHASECOST_VALUE]], "PURCHASECOST_", ""), "_VALUE", "")</f>
        <v>WAGON</v>
      </c>
      <c r="AD699" s="2" t="b">
        <v>0</v>
      </c>
      <c r="AV699"/>
      <c r="AW699"/>
      <c r="AX699"/>
    </row>
    <row r="700" spans="1:50">
      <c r="A700" s="2" t="s">
        <v>876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35</v>
      </c>
      <c r="G700" t="s">
        <v>602</v>
      </c>
      <c r="H700">
        <v>65</v>
      </c>
      <c r="I700">
        <v>8</v>
      </c>
      <c r="J700">
        <v>8</v>
      </c>
      <c r="K700" s="2" t="s">
        <v>33</v>
      </c>
      <c r="L700">
        <f>_xlfn.XLOOKUP("LOADINGSPEEDDEF_"&amp;PROPERTIES[[#This Row],[LOADINGSPEED]],LOADINGSPEEDDEF[TYPE],LOADINGSPEEDDEF[SPEED])</f>
        <v>20</v>
      </c>
      <c r="M700" t="s">
        <v>21</v>
      </c>
      <c r="N700">
        <v>0</v>
      </c>
      <c r="O700" s="34">
        <v>25</v>
      </c>
      <c r="P700">
        <v>0</v>
      </c>
      <c r="Q700">
        <v>120</v>
      </c>
      <c r="R700" s="31">
        <v>0</v>
      </c>
      <c r="S700" s="30">
        <f>IFERROR(PROPERTIES[[#This Row],[TE_STARTING_KN]]/(PROPERTIES[[#This Row],[WEIGHT]]*9.81),0)</f>
        <v>0</v>
      </c>
      <c r="T700" s="30">
        <v>0.3</v>
      </c>
      <c r="U700" s="27">
        <f>ROUND(IF(IFERROR(PROPERTIES[[#This Row],[TE_COEFFICIENT_CALC]],0)=0,PROPERTIES[[#This Row],[TE_COEFFICIENT_MANUAL]],PROPERTIES[[#This Row],[TE_COEFFICIENT_CALC]]),3)</f>
        <v>0.3</v>
      </c>
      <c r="V700" s="6">
        <v>25</v>
      </c>
      <c r="W700" s="10">
        <v>0</v>
      </c>
      <c r="X700" s="10">
        <v>0</v>
      </c>
      <c r="Y700" s="10"/>
      <c r="Z700" t="str">
        <f>"RUNNING_COST_"&amp;IF(PROPERTIES[[#This Row],[ENGINE_CLASS]]="MAGLEV","ELECTRIC",PROPERTIES[[#This Row],[ENGINE_CLASS]])</f>
        <v>RUNNING_COST_DIESEL</v>
      </c>
      <c r="AA700" s="10" t="s">
        <v>1016</v>
      </c>
      <c r="AB700" s="10" t="s">
        <v>1017</v>
      </c>
      <c r="AC700" s="10" t="str">
        <f>SUBSTITUTE(SUBSTITUTE(PROPERTIES[[#This Row],[PURCHASECOST_VALUE]], "PURCHASECOST_", ""), "_VALUE", "")</f>
        <v>WAGON</v>
      </c>
      <c r="AD700" s="2" t="b">
        <v>0</v>
      </c>
      <c r="AV700"/>
      <c r="AW700"/>
      <c r="AX700"/>
    </row>
    <row r="701" spans="1:50">
      <c r="A701" s="2" t="s">
        <v>877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35</v>
      </c>
      <c r="G701" t="s">
        <v>608</v>
      </c>
      <c r="H701">
        <v>50</v>
      </c>
      <c r="I701">
        <v>4</v>
      </c>
      <c r="J701">
        <v>12</v>
      </c>
      <c r="K701" s="2" t="s">
        <v>33</v>
      </c>
      <c r="L701">
        <f>_xlfn.XLOOKUP("LOADINGSPEEDDEF_"&amp;PROPERTIES[[#This Row],[LOADINGSPEED]],LOADINGSPEEDDEF[TYPE],LOADINGSPEEDDEF[SPEED])</f>
        <v>20</v>
      </c>
      <c r="M701" t="s">
        <v>21</v>
      </c>
      <c r="N701">
        <v>0</v>
      </c>
      <c r="O701" s="34">
        <v>50</v>
      </c>
      <c r="P701">
        <v>0</v>
      </c>
      <c r="Q701">
        <v>100</v>
      </c>
      <c r="R701" s="31">
        <v>0</v>
      </c>
      <c r="S701" s="30">
        <f>IFERROR(PROPERTIES[[#This Row],[TE_STARTING_KN]]/(PROPERTIES[[#This Row],[WEIGHT]]*9.81),0)</f>
        <v>0</v>
      </c>
      <c r="T701" s="30">
        <v>0.3</v>
      </c>
      <c r="U701" s="27">
        <f>ROUND(IF(IFERROR(PROPERTIES[[#This Row],[TE_COEFFICIENT_CALC]],0)=0,PROPERTIES[[#This Row],[TE_COEFFICIENT_MANUAL]],PROPERTIES[[#This Row],[TE_COEFFICIENT_CALC]]),3)</f>
        <v>0.3</v>
      </c>
      <c r="V701" s="6">
        <v>25</v>
      </c>
      <c r="W701" s="10">
        <v>0</v>
      </c>
      <c r="X701" s="10">
        <v>0</v>
      </c>
      <c r="Y701" s="10"/>
      <c r="Z701" t="str">
        <f>"RUNNING_COST_"&amp;IF(PROPERTIES[[#This Row],[ENGINE_CLASS]]="MAGLEV","ELECTRIC",PROPERTIES[[#This Row],[ENGINE_CLASS]])</f>
        <v>RUNNING_COST_DIESEL</v>
      </c>
      <c r="AA701" s="10" t="s">
        <v>1016</v>
      </c>
      <c r="AB701" s="10" t="s">
        <v>1017</v>
      </c>
      <c r="AC701" s="10" t="str">
        <f>SUBSTITUTE(SUBSTITUTE(PROPERTIES[[#This Row],[PURCHASECOST_VALUE]], "PURCHASECOST_", ""), "_VALUE", "")</f>
        <v>WAGON</v>
      </c>
      <c r="AD701" s="2" t="b">
        <v>0</v>
      </c>
      <c r="AV701"/>
      <c r="AW701"/>
      <c r="AX701"/>
    </row>
    <row r="702" spans="1:50">
      <c r="A702" s="2" t="s">
        <v>878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35</v>
      </c>
      <c r="G702" t="s">
        <v>603</v>
      </c>
      <c r="H702">
        <v>72</v>
      </c>
      <c r="I702">
        <v>8</v>
      </c>
      <c r="J702">
        <v>8</v>
      </c>
      <c r="K702" s="2" t="s">
        <v>33</v>
      </c>
      <c r="L702">
        <f>_xlfn.XLOOKUP("LOADINGSPEEDDEF_"&amp;PROPERTIES[[#This Row],[LOADINGSPEED]],LOADINGSPEEDDEF[TYPE],LOADINGSPEEDDEF[SPEED])</f>
        <v>20</v>
      </c>
      <c r="M702" t="s">
        <v>21</v>
      </c>
      <c r="N702">
        <v>0</v>
      </c>
      <c r="O702" s="34">
        <v>23</v>
      </c>
      <c r="P702">
        <v>0</v>
      </c>
      <c r="Q702">
        <v>160</v>
      </c>
      <c r="R702" s="31">
        <v>0</v>
      </c>
      <c r="S702" s="30">
        <f>IFERROR(PROPERTIES[[#This Row],[TE_STARTING_KN]]/(PROPERTIES[[#This Row],[WEIGHT]]*9.81),0)</f>
        <v>0</v>
      </c>
      <c r="T702" s="30">
        <v>0.3</v>
      </c>
      <c r="U702" s="27">
        <f>ROUND(IF(IFERROR(PROPERTIES[[#This Row],[TE_COEFFICIENT_CALC]],0)=0,PROPERTIES[[#This Row],[TE_COEFFICIENT_MANUAL]],PROPERTIES[[#This Row],[TE_COEFFICIENT_CALC]]),3)</f>
        <v>0.3</v>
      </c>
      <c r="V702" s="6">
        <v>25</v>
      </c>
      <c r="W702" s="10">
        <v>0</v>
      </c>
      <c r="X702" s="10">
        <v>0</v>
      </c>
      <c r="Y702" s="10"/>
      <c r="Z702" t="str">
        <f>"RUNNING_COST_"&amp;IF(PROPERTIES[[#This Row],[ENGINE_CLASS]]="MAGLEV","ELECTRIC",PROPERTIES[[#This Row],[ENGINE_CLASS]])</f>
        <v>RUNNING_COST_DIESEL</v>
      </c>
      <c r="AA702" s="10" t="s">
        <v>1016</v>
      </c>
      <c r="AB702" s="10" t="s">
        <v>1017</v>
      </c>
      <c r="AC702" s="10" t="str">
        <f>SUBSTITUTE(SUBSTITUTE(PROPERTIES[[#This Row],[PURCHASECOST_VALUE]], "PURCHASECOST_", ""), "_VALUE", "")</f>
        <v>WAGON</v>
      </c>
      <c r="AD702" s="2" t="b">
        <v>0</v>
      </c>
      <c r="AV702"/>
      <c r="AW702"/>
      <c r="AX702"/>
    </row>
    <row r="703" spans="1:50">
      <c r="A703" s="2" t="s">
        <v>879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35</v>
      </c>
      <c r="G703" t="s">
        <v>605</v>
      </c>
      <c r="H703">
        <v>96</v>
      </c>
      <c r="I703">
        <v>8</v>
      </c>
      <c r="J703">
        <v>8</v>
      </c>
      <c r="K703" s="2" t="s">
        <v>33</v>
      </c>
      <c r="L703">
        <f>_xlfn.XLOOKUP("LOADINGSPEEDDEF_"&amp;PROPERTIES[[#This Row],[LOADINGSPEED]],LOADINGSPEEDDEF[TYPE],LOADINGSPEEDDEF[SPEED])</f>
        <v>20</v>
      </c>
      <c r="M703" t="s">
        <v>21</v>
      </c>
      <c r="N703">
        <v>0</v>
      </c>
      <c r="O703" s="34">
        <v>42</v>
      </c>
      <c r="P703">
        <v>0</v>
      </c>
      <c r="Q703">
        <v>140</v>
      </c>
      <c r="R703" s="31">
        <v>0</v>
      </c>
      <c r="S703" s="30">
        <f>IFERROR(PROPERTIES[[#This Row],[TE_STARTING_KN]]/(PROPERTIES[[#This Row],[WEIGHT]]*9.81),0)</f>
        <v>0</v>
      </c>
      <c r="T703" s="30">
        <v>0.3</v>
      </c>
      <c r="U703" s="27">
        <f>ROUND(IF(IFERROR(PROPERTIES[[#This Row],[TE_COEFFICIENT_CALC]],0)=0,PROPERTIES[[#This Row],[TE_COEFFICIENT_MANUAL]],PROPERTIES[[#This Row],[TE_COEFFICIENT_CALC]]),3)</f>
        <v>0.3</v>
      </c>
      <c r="V703" s="6">
        <v>25</v>
      </c>
      <c r="W703" s="10">
        <v>0</v>
      </c>
      <c r="X703" s="10">
        <v>0</v>
      </c>
      <c r="Y703" s="10"/>
      <c r="Z703" t="str">
        <f>"RUNNING_COST_"&amp;IF(PROPERTIES[[#This Row],[ENGINE_CLASS]]="MAGLEV","ELECTRIC",PROPERTIES[[#This Row],[ENGINE_CLASS]])</f>
        <v>RUNNING_COST_DIESEL</v>
      </c>
      <c r="AA703" s="10" t="s">
        <v>1016</v>
      </c>
      <c r="AB703" s="10" t="s">
        <v>1017</v>
      </c>
      <c r="AC703" s="10" t="str">
        <f>SUBSTITUTE(SUBSTITUTE(PROPERTIES[[#This Row],[PURCHASECOST_VALUE]], "PURCHASECOST_", ""), "_VALUE", "")</f>
        <v>WAGON</v>
      </c>
      <c r="AD703" s="2" t="b">
        <v>0</v>
      </c>
      <c r="AV703"/>
      <c r="AW703"/>
      <c r="AX703"/>
    </row>
    <row r="704" spans="1:50">
      <c r="A704" s="2" t="s">
        <v>880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35</v>
      </c>
      <c r="G704" t="s">
        <v>599</v>
      </c>
      <c r="H704">
        <v>74</v>
      </c>
      <c r="I704">
        <v>8</v>
      </c>
      <c r="J704">
        <v>8</v>
      </c>
      <c r="K704" s="2" t="s">
        <v>33</v>
      </c>
      <c r="L704">
        <f>_xlfn.XLOOKUP("LOADINGSPEEDDEF_"&amp;PROPERTIES[[#This Row],[LOADINGSPEED]],LOADINGSPEEDDEF[TYPE],LOADINGSPEEDDEF[SPEED])</f>
        <v>20</v>
      </c>
      <c r="M704" t="s">
        <v>21</v>
      </c>
      <c r="N704">
        <v>0</v>
      </c>
      <c r="O704" s="34">
        <v>27</v>
      </c>
      <c r="P704">
        <v>0</v>
      </c>
      <c r="Q704">
        <v>160</v>
      </c>
      <c r="R704" s="31">
        <v>0</v>
      </c>
      <c r="S704" s="30">
        <f>IFERROR(PROPERTIES[[#This Row],[TE_STARTING_KN]]/(PROPERTIES[[#This Row],[WEIGHT]]*9.81),0)</f>
        <v>0</v>
      </c>
      <c r="T704" s="30">
        <v>0.3</v>
      </c>
      <c r="U704" s="27">
        <f>ROUND(IF(IFERROR(PROPERTIES[[#This Row],[TE_COEFFICIENT_CALC]],0)=0,PROPERTIES[[#This Row],[TE_COEFFICIENT_MANUAL]],PROPERTIES[[#This Row],[TE_COEFFICIENT_CALC]]),3)</f>
        <v>0.3</v>
      </c>
      <c r="V704" s="6">
        <v>25</v>
      </c>
      <c r="W704" s="10">
        <v>0</v>
      </c>
      <c r="X704" s="10">
        <v>0</v>
      </c>
      <c r="Y704" s="10"/>
      <c r="Z704" t="str">
        <f>"RUNNING_COST_"&amp;IF(PROPERTIES[[#This Row],[ENGINE_CLASS]]="MAGLEV","ELECTRIC",PROPERTIES[[#This Row],[ENGINE_CLASS]])</f>
        <v>RUNNING_COST_DIESEL</v>
      </c>
      <c r="AA704" s="10" t="s">
        <v>1016</v>
      </c>
      <c r="AB704" s="10" t="s">
        <v>1017</v>
      </c>
      <c r="AC704" s="10" t="str">
        <f>SUBSTITUTE(SUBSTITUTE(PROPERTIES[[#This Row],[PURCHASECOST_VALUE]], "PURCHASECOST_", ""), "_VALUE", "")</f>
        <v>WAGON</v>
      </c>
      <c r="AD704" s="2" t="b">
        <v>0</v>
      </c>
      <c r="AV704"/>
      <c r="AW704"/>
      <c r="AX704"/>
    </row>
    <row r="705" spans="1:50">
      <c r="A705" s="2" t="s">
        <v>881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35</v>
      </c>
      <c r="G705" t="s">
        <v>599</v>
      </c>
      <c r="H705">
        <v>74</v>
      </c>
      <c r="I705">
        <v>8</v>
      </c>
      <c r="J705">
        <v>8</v>
      </c>
      <c r="K705" s="2" t="s">
        <v>33</v>
      </c>
      <c r="L705">
        <f>_xlfn.XLOOKUP("LOADINGSPEEDDEF_"&amp;PROPERTIES[[#This Row],[LOADINGSPEED]],LOADINGSPEEDDEF[TYPE],LOADINGSPEEDDEF[SPEED])</f>
        <v>20</v>
      </c>
      <c r="M705" t="s">
        <v>21</v>
      </c>
      <c r="N705">
        <v>0</v>
      </c>
      <c r="O705" s="34">
        <v>27</v>
      </c>
      <c r="P705">
        <v>0</v>
      </c>
      <c r="Q705">
        <v>160</v>
      </c>
      <c r="R705" s="31">
        <v>0</v>
      </c>
      <c r="S705" s="30">
        <f>IFERROR(PROPERTIES[[#This Row],[TE_STARTING_KN]]/(PROPERTIES[[#This Row],[WEIGHT]]*9.81),0)</f>
        <v>0</v>
      </c>
      <c r="T705" s="30">
        <v>0.3</v>
      </c>
      <c r="U705" s="27">
        <f>ROUND(IF(IFERROR(PROPERTIES[[#This Row],[TE_COEFFICIENT_CALC]],0)=0,PROPERTIES[[#This Row],[TE_COEFFICIENT_MANUAL]],PROPERTIES[[#This Row],[TE_COEFFICIENT_CALC]]),3)</f>
        <v>0.3</v>
      </c>
      <c r="V705" s="6">
        <v>25</v>
      </c>
      <c r="W705" s="10">
        <v>0</v>
      </c>
      <c r="X705" s="10">
        <v>0</v>
      </c>
      <c r="Y705" s="10"/>
      <c r="Z705" t="str">
        <f>"RUNNING_COST_"&amp;IF(PROPERTIES[[#This Row],[ENGINE_CLASS]]="MAGLEV","ELECTRIC",PROPERTIES[[#This Row],[ENGINE_CLASS]])</f>
        <v>RUNNING_COST_DIESEL</v>
      </c>
      <c r="AA705" s="10" t="s">
        <v>1016</v>
      </c>
      <c r="AB705" s="10" t="s">
        <v>1017</v>
      </c>
      <c r="AC705" s="10" t="str">
        <f>SUBSTITUTE(SUBSTITUTE(PROPERTIES[[#This Row],[PURCHASECOST_VALUE]], "PURCHASECOST_", ""), "_VALUE", "")</f>
        <v>WAGON</v>
      </c>
      <c r="AD705" s="2" t="b">
        <v>0</v>
      </c>
      <c r="AV705"/>
      <c r="AW705"/>
      <c r="AX705"/>
    </row>
    <row r="706" spans="1:50">
      <c r="A706" s="2" t="s">
        <v>882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35</v>
      </c>
      <c r="G706" t="s">
        <v>609</v>
      </c>
      <c r="H706">
        <v>105</v>
      </c>
      <c r="I706">
        <v>8</v>
      </c>
      <c r="J706">
        <v>8</v>
      </c>
      <c r="K706" s="2" t="s">
        <v>33</v>
      </c>
      <c r="L706">
        <f>_xlfn.XLOOKUP("LOADINGSPEEDDEF_"&amp;PROPERTIES[[#This Row],[LOADINGSPEED]],LOADINGSPEEDDEF[TYPE],LOADINGSPEEDDEF[SPEED])</f>
        <v>20</v>
      </c>
      <c r="M706" t="s">
        <v>21</v>
      </c>
      <c r="N706">
        <v>0</v>
      </c>
      <c r="O706" s="34">
        <v>24</v>
      </c>
      <c r="P706">
        <v>0</v>
      </c>
      <c r="Q706">
        <v>160</v>
      </c>
      <c r="R706" s="31">
        <v>0</v>
      </c>
      <c r="S706" s="30">
        <f>IFERROR(PROPERTIES[[#This Row],[TE_STARTING_KN]]/(PROPERTIES[[#This Row],[WEIGHT]]*9.81),0)</f>
        <v>0</v>
      </c>
      <c r="T706" s="30">
        <v>0.3</v>
      </c>
      <c r="U706" s="27">
        <f>ROUND(IF(IFERROR(PROPERTIES[[#This Row],[TE_COEFFICIENT_CALC]],0)=0,PROPERTIES[[#This Row],[TE_COEFFICIENT_MANUAL]],PROPERTIES[[#This Row],[TE_COEFFICIENT_CALC]]),3)</f>
        <v>0.3</v>
      </c>
      <c r="V706" s="6">
        <v>25</v>
      </c>
      <c r="W706" s="10">
        <v>0</v>
      </c>
      <c r="X706" s="10">
        <v>0</v>
      </c>
      <c r="Y706" s="10"/>
      <c r="Z706" t="str">
        <f>"RUNNING_COST_"&amp;IF(PROPERTIES[[#This Row],[ENGINE_CLASS]]="MAGLEV","ELECTRIC",PROPERTIES[[#This Row],[ENGINE_CLASS]])</f>
        <v>RUNNING_COST_DIESEL</v>
      </c>
      <c r="AA706" s="10" t="s">
        <v>1016</v>
      </c>
      <c r="AB706" s="10" t="s">
        <v>1017</v>
      </c>
      <c r="AC706" s="10" t="str">
        <f>SUBSTITUTE(SUBSTITUTE(PROPERTIES[[#This Row],[PURCHASECOST_VALUE]], "PURCHASECOST_", ""), "_VALUE", "")</f>
        <v>WAGON</v>
      </c>
      <c r="AD706" s="2" t="b">
        <v>0</v>
      </c>
      <c r="AV706"/>
      <c r="AW706"/>
      <c r="AX706"/>
    </row>
    <row r="707" spans="1:50">
      <c r="A707" s="2" t="s">
        <v>883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35</v>
      </c>
      <c r="G707" t="s">
        <v>604</v>
      </c>
      <c r="H707">
        <v>75</v>
      </c>
      <c r="I707">
        <v>8</v>
      </c>
      <c r="J707">
        <v>8</v>
      </c>
      <c r="K707" s="2" t="s">
        <v>33</v>
      </c>
      <c r="L707">
        <f>_xlfn.XLOOKUP("LOADINGSPEEDDEF_"&amp;PROPERTIES[[#This Row],[LOADINGSPEED]],LOADINGSPEEDDEF[TYPE],LOADINGSPEEDDEF[SPEED])</f>
        <v>20</v>
      </c>
      <c r="M707" t="s">
        <v>21</v>
      </c>
      <c r="N707">
        <v>0</v>
      </c>
      <c r="O707" s="34">
        <v>22</v>
      </c>
      <c r="P707">
        <v>0</v>
      </c>
      <c r="Q707">
        <v>160</v>
      </c>
      <c r="R707" s="31">
        <v>0</v>
      </c>
      <c r="S707" s="30">
        <f>IFERROR(PROPERTIES[[#This Row],[TE_STARTING_KN]]/(PROPERTIES[[#This Row],[WEIGHT]]*9.81),0)</f>
        <v>0</v>
      </c>
      <c r="T707" s="30">
        <v>0.3</v>
      </c>
      <c r="U707" s="27">
        <f>ROUND(IF(IFERROR(PROPERTIES[[#This Row],[TE_COEFFICIENT_CALC]],0)=0,PROPERTIES[[#This Row],[TE_COEFFICIENT_MANUAL]],PROPERTIES[[#This Row],[TE_COEFFICIENT_CALC]]),3)</f>
        <v>0.3</v>
      </c>
      <c r="V707" s="6">
        <v>25</v>
      </c>
      <c r="W707" s="10">
        <v>0</v>
      </c>
      <c r="X707" s="10">
        <v>0</v>
      </c>
      <c r="Y707" s="10"/>
      <c r="Z707" t="str">
        <f>"RUNNING_COST_"&amp;IF(PROPERTIES[[#This Row],[ENGINE_CLASS]]="MAGLEV","ELECTRIC",PROPERTIES[[#This Row],[ENGINE_CLASS]])</f>
        <v>RUNNING_COST_DIESEL</v>
      </c>
      <c r="AA707" s="10" t="s">
        <v>1016</v>
      </c>
      <c r="AB707" s="10" t="s">
        <v>1017</v>
      </c>
      <c r="AC707" s="10" t="str">
        <f>SUBSTITUTE(SUBSTITUTE(PROPERTIES[[#This Row],[PURCHASECOST_VALUE]], "PURCHASECOST_", ""), "_VALUE", "")</f>
        <v>WAGON</v>
      </c>
      <c r="AD707" s="2" t="b">
        <v>0</v>
      </c>
      <c r="AV707"/>
      <c r="AW707"/>
      <c r="AX707"/>
    </row>
    <row r="708" spans="1:50">
      <c r="A708" s="2" t="s">
        <v>884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35</v>
      </c>
      <c r="G708" t="s">
        <v>607</v>
      </c>
      <c r="H708">
        <v>75</v>
      </c>
      <c r="I708">
        <v>8</v>
      </c>
      <c r="J708">
        <v>8</v>
      </c>
      <c r="K708" s="2" t="s">
        <v>33</v>
      </c>
      <c r="L708">
        <f>_xlfn.XLOOKUP("LOADINGSPEEDDEF_"&amp;PROPERTIES[[#This Row],[LOADINGSPEED]],LOADINGSPEEDDEF[TYPE],LOADINGSPEEDDEF[SPEED])</f>
        <v>20</v>
      </c>
      <c r="M708" t="s">
        <v>21</v>
      </c>
      <c r="N708">
        <v>0</v>
      </c>
      <c r="O708" s="34">
        <v>27</v>
      </c>
      <c r="P708">
        <v>0</v>
      </c>
      <c r="Q708">
        <v>160</v>
      </c>
      <c r="R708" s="31">
        <v>0</v>
      </c>
      <c r="S708" s="30">
        <f>IFERROR(PROPERTIES[[#This Row],[TE_STARTING_KN]]/(PROPERTIES[[#This Row],[WEIGHT]]*9.81),0)</f>
        <v>0</v>
      </c>
      <c r="T708" s="30">
        <v>0.3</v>
      </c>
      <c r="U708" s="27">
        <f>ROUND(IF(IFERROR(PROPERTIES[[#This Row],[TE_COEFFICIENT_CALC]],0)=0,PROPERTIES[[#This Row],[TE_COEFFICIENT_MANUAL]],PROPERTIES[[#This Row],[TE_COEFFICIENT_CALC]]),3)</f>
        <v>0.3</v>
      </c>
      <c r="V708" s="6">
        <v>25</v>
      </c>
      <c r="W708" s="10">
        <v>0</v>
      </c>
      <c r="X708" s="10">
        <v>0</v>
      </c>
      <c r="Y708" s="10"/>
      <c r="Z708" t="str">
        <f>"RUNNING_COST_"&amp;IF(PROPERTIES[[#This Row],[ENGINE_CLASS]]="MAGLEV","ELECTRIC",PROPERTIES[[#This Row],[ENGINE_CLASS]])</f>
        <v>RUNNING_COST_DIESEL</v>
      </c>
      <c r="AA708" s="10" t="s">
        <v>1016</v>
      </c>
      <c r="AB708" s="10" t="s">
        <v>1017</v>
      </c>
      <c r="AC708" s="10" t="str">
        <f>SUBSTITUTE(SUBSTITUTE(PROPERTIES[[#This Row],[PURCHASECOST_VALUE]], "PURCHASECOST_", ""), "_VALUE", "")</f>
        <v>WAGON</v>
      </c>
      <c r="AD708" s="2" t="b">
        <v>0</v>
      </c>
      <c r="AV708"/>
      <c r="AW708"/>
      <c r="AX708"/>
    </row>
    <row r="709" spans="1:50">
      <c r="A709" s="2" t="s">
        <v>885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35</v>
      </c>
      <c r="G709" t="s">
        <v>607</v>
      </c>
      <c r="H709">
        <v>75</v>
      </c>
      <c r="I709">
        <v>8</v>
      </c>
      <c r="J709">
        <v>8</v>
      </c>
      <c r="K709" s="2" t="s">
        <v>33</v>
      </c>
      <c r="L709">
        <f>_xlfn.XLOOKUP("LOADINGSPEEDDEF_"&amp;PROPERTIES[[#This Row],[LOADINGSPEED]],LOADINGSPEEDDEF[TYPE],LOADINGSPEEDDEF[SPEED])</f>
        <v>20</v>
      </c>
      <c r="M709" t="s">
        <v>21</v>
      </c>
      <c r="N709">
        <v>0</v>
      </c>
      <c r="O709" s="34">
        <v>27</v>
      </c>
      <c r="P709">
        <v>0</v>
      </c>
      <c r="Q709">
        <v>160</v>
      </c>
      <c r="R709" s="31">
        <v>0</v>
      </c>
      <c r="S709" s="30">
        <f>IFERROR(PROPERTIES[[#This Row],[TE_STARTING_KN]]/(PROPERTIES[[#This Row],[WEIGHT]]*9.81),0)</f>
        <v>0</v>
      </c>
      <c r="T709" s="30">
        <v>0.3</v>
      </c>
      <c r="U709" s="27">
        <f>ROUND(IF(IFERROR(PROPERTIES[[#This Row],[TE_COEFFICIENT_CALC]],0)=0,PROPERTIES[[#This Row],[TE_COEFFICIENT_MANUAL]],PROPERTIES[[#This Row],[TE_COEFFICIENT_CALC]]),3)</f>
        <v>0.3</v>
      </c>
      <c r="V709" s="6">
        <v>25</v>
      </c>
      <c r="W709" s="10">
        <v>0</v>
      </c>
      <c r="X709" s="10">
        <v>0</v>
      </c>
      <c r="Y709" s="10"/>
      <c r="Z709" t="str">
        <f>"RUNNING_COST_"&amp;IF(PROPERTIES[[#This Row],[ENGINE_CLASS]]="MAGLEV","ELECTRIC",PROPERTIES[[#This Row],[ENGINE_CLASS]])</f>
        <v>RUNNING_COST_DIESEL</v>
      </c>
      <c r="AA709" s="10" t="s">
        <v>1016</v>
      </c>
      <c r="AB709" s="10" t="s">
        <v>1017</v>
      </c>
      <c r="AC709" s="10" t="str">
        <f>SUBSTITUTE(SUBSTITUTE(PROPERTIES[[#This Row],[PURCHASECOST_VALUE]], "PURCHASECOST_", ""), "_VALUE", "")</f>
        <v>WAGON</v>
      </c>
      <c r="AD709" s="2" t="b">
        <v>0</v>
      </c>
      <c r="AV709"/>
      <c r="AW709"/>
      <c r="AX709"/>
    </row>
    <row r="710" spans="1:50">
      <c r="A710" s="2" t="s">
        <v>886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35</v>
      </c>
      <c r="G710" t="s">
        <v>606</v>
      </c>
      <c r="H710">
        <v>75</v>
      </c>
      <c r="I710">
        <v>8</v>
      </c>
      <c r="J710">
        <v>8</v>
      </c>
      <c r="K710" s="2" t="s">
        <v>33</v>
      </c>
      <c r="L710">
        <f>_xlfn.XLOOKUP("LOADINGSPEEDDEF_"&amp;PROPERTIES[[#This Row],[LOADINGSPEED]],LOADINGSPEEDDEF[TYPE],LOADINGSPEEDDEF[SPEED])</f>
        <v>20</v>
      </c>
      <c r="M710" t="s">
        <v>21</v>
      </c>
      <c r="N710">
        <v>0</v>
      </c>
      <c r="O710" s="34">
        <v>26</v>
      </c>
      <c r="P710">
        <v>0</v>
      </c>
      <c r="Q710">
        <v>160</v>
      </c>
      <c r="R710" s="31">
        <v>0</v>
      </c>
      <c r="S710" s="30">
        <f>IFERROR(PROPERTIES[[#This Row],[TE_STARTING_KN]]/(PROPERTIES[[#This Row],[WEIGHT]]*9.81),0)</f>
        <v>0</v>
      </c>
      <c r="T710" s="30">
        <v>0.3</v>
      </c>
      <c r="U710" s="27">
        <f>ROUND(IF(IFERROR(PROPERTIES[[#This Row],[TE_COEFFICIENT_CALC]],0)=0,PROPERTIES[[#This Row],[TE_COEFFICIENT_MANUAL]],PROPERTIES[[#This Row],[TE_COEFFICIENT_CALC]]),3)</f>
        <v>0.3</v>
      </c>
      <c r="V710" s="6">
        <v>25</v>
      </c>
      <c r="W710" s="10">
        <v>0</v>
      </c>
      <c r="X710" s="10">
        <v>0</v>
      </c>
      <c r="Y710" s="10"/>
      <c r="Z710" t="str">
        <f>"RUNNING_COST_"&amp;IF(PROPERTIES[[#This Row],[ENGINE_CLASS]]="MAGLEV","ELECTRIC",PROPERTIES[[#This Row],[ENGINE_CLASS]])</f>
        <v>RUNNING_COST_DIESEL</v>
      </c>
      <c r="AA710" s="10" t="s">
        <v>1016</v>
      </c>
      <c r="AB710" s="10" t="s">
        <v>1017</v>
      </c>
      <c r="AC710" s="10" t="str">
        <f>SUBSTITUTE(SUBSTITUTE(PROPERTIES[[#This Row],[PURCHASECOST_VALUE]], "PURCHASECOST_", ""), "_VALUE", "")</f>
        <v>WAGON</v>
      </c>
      <c r="AD710" s="2" t="b">
        <v>0</v>
      </c>
      <c r="AV710"/>
      <c r="AW710"/>
      <c r="AX710"/>
    </row>
    <row r="711" spans="1:50">
      <c r="A711" s="2" t="s">
        <v>887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35</v>
      </c>
      <c r="G711" t="s">
        <v>606</v>
      </c>
      <c r="H711">
        <v>75</v>
      </c>
      <c r="I711">
        <v>8</v>
      </c>
      <c r="J711">
        <v>8</v>
      </c>
      <c r="K711" s="2" t="s">
        <v>33</v>
      </c>
      <c r="L711">
        <f>_xlfn.XLOOKUP("LOADINGSPEEDDEF_"&amp;PROPERTIES[[#This Row],[LOADINGSPEED]],LOADINGSPEEDDEF[TYPE],LOADINGSPEEDDEF[SPEED])</f>
        <v>20</v>
      </c>
      <c r="M711" t="s">
        <v>21</v>
      </c>
      <c r="N711">
        <v>0</v>
      </c>
      <c r="O711" s="34">
        <v>26</v>
      </c>
      <c r="P711">
        <v>0</v>
      </c>
      <c r="Q711">
        <v>160</v>
      </c>
      <c r="R711" s="31">
        <v>0</v>
      </c>
      <c r="S711" s="30">
        <f>IFERROR(PROPERTIES[[#This Row],[TE_STARTING_KN]]/(PROPERTIES[[#This Row],[WEIGHT]]*9.81),0)</f>
        <v>0</v>
      </c>
      <c r="T711" s="30">
        <v>0.3</v>
      </c>
      <c r="U711" s="27">
        <f>ROUND(IF(IFERROR(PROPERTIES[[#This Row],[TE_COEFFICIENT_CALC]],0)=0,PROPERTIES[[#This Row],[TE_COEFFICIENT_MANUAL]],PROPERTIES[[#This Row],[TE_COEFFICIENT_CALC]]),3)</f>
        <v>0.3</v>
      </c>
      <c r="V711" s="6">
        <v>25</v>
      </c>
      <c r="W711" s="10">
        <v>0</v>
      </c>
      <c r="X711" s="10">
        <v>0</v>
      </c>
      <c r="Y711" s="10"/>
      <c r="Z711" t="str">
        <f>"RUNNING_COST_"&amp;IF(PROPERTIES[[#This Row],[ENGINE_CLASS]]="MAGLEV","ELECTRIC",PROPERTIES[[#This Row],[ENGINE_CLASS]])</f>
        <v>RUNNING_COST_DIESEL</v>
      </c>
      <c r="AA711" s="10" t="s">
        <v>1016</v>
      </c>
      <c r="AB711" s="10" t="s">
        <v>1017</v>
      </c>
      <c r="AC711" s="10" t="str">
        <f>SUBSTITUTE(SUBSTITUTE(PROPERTIES[[#This Row],[PURCHASECOST_VALUE]], "PURCHASECOST_", ""), "_VALUE", "")</f>
        <v>WAGON</v>
      </c>
      <c r="AD711" s="2" t="b">
        <v>0</v>
      </c>
      <c r="AV711"/>
      <c r="AW711"/>
      <c r="AX711"/>
    </row>
    <row r="712" spans="1:50">
      <c r="A712" s="2" t="s">
        <v>888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35</v>
      </c>
      <c r="G712" t="s">
        <v>600</v>
      </c>
      <c r="H712">
        <v>20</v>
      </c>
      <c r="I712">
        <v>8</v>
      </c>
      <c r="J712">
        <v>8</v>
      </c>
      <c r="K712" s="2" t="s">
        <v>33</v>
      </c>
      <c r="L712">
        <f>_xlfn.XLOOKUP("LOADINGSPEEDDEF_"&amp;PROPERTIES[[#This Row],[LOADINGSPEED]],LOADINGSPEEDDEF[TYPE],LOADINGSPEEDDEF[SPEED])</f>
        <v>20</v>
      </c>
      <c r="M712" t="s">
        <v>21</v>
      </c>
      <c r="N712">
        <v>0</v>
      </c>
      <c r="O712" s="34">
        <v>28</v>
      </c>
      <c r="P712">
        <v>0</v>
      </c>
      <c r="Q712">
        <v>160</v>
      </c>
      <c r="R712" s="31">
        <v>0</v>
      </c>
      <c r="S712" s="30">
        <f>IFERROR(PROPERTIES[[#This Row],[TE_STARTING_KN]]/(PROPERTIES[[#This Row],[WEIGHT]]*9.81),0)</f>
        <v>0</v>
      </c>
      <c r="T712" s="30">
        <v>0.3</v>
      </c>
      <c r="U712" s="27">
        <f>ROUND(IF(IFERROR(PROPERTIES[[#This Row],[TE_COEFFICIENT_CALC]],0)=0,PROPERTIES[[#This Row],[TE_COEFFICIENT_MANUAL]],PROPERTIES[[#This Row],[TE_COEFFICIENT_CALC]]),3)</f>
        <v>0.3</v>
      </c>
      <c r="V712" s="6">
        <v>25</v>
      </c>
      <c r="W712" s="10">
        <v>0</v>
      </c>
      <c r="X712" s="10">
        <v>0</v>
      </c>
      <c r="Y712" s="10"/>
      <c r="Z712" t="str">
        <f>"RUNNING_COST_"&amp;IF(PROPERTIES[[#This Row],[ENGINE_CLASS]]="MAGLEV","ELECTRIC",PROPERTIES[[#This Row],[ENGINE_CLASS]])</f>
        <v>RUNNING_COST_DIESEL</v>
      </c>
      <c r="AA712" s="10" t="s">
        <v>1016</v>
      </c>
      <c r="AB712" s="10" t="s">
        <v>1017</v>
      </c>
      <c r="AC712" s="10" t="str">
        <f>SUBSTITUTE(SUBSTITUTE(PROPERTIES[[#This Row],[PURCHASECOST_VALUE]], "PURCHASECOST_", ""), "_VALUE", "")</f>
        <v>WAGON</v>
      </c>
      <c r="AD712" s="2" t="b">
        <v>0</v>
      </c>
      <c r="AV712"/>
      <c r="AW712"/>
      <c r="AX712"/>
    </row>
    <row r="713" spans="1:50">
      <c r="A713" s="2" t="s">
        <v>889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35</v>
      </c>
      <c r="G713" t="s">
        <v>532</v>
      </c>
      <c r="H713">
        <v>60</v>
      </c>
      <c r="I713">
        <v>8</v>
      </c>
      <c r="J713">
        <v>8</v>
      </c>
      <c r="K713" s="2" t="s">
        <v>33</v>
      </c>
      <c r="L713">
        <f>_xlfn.XLOOKUP("LOADINGSPEEDDEF_"&amp;PROPERTIES[[#This Row],[LOADINGSPEED]],LOADINGSPEEDDEF[TYPE],LOADINGSPEEDDEF[SPEED])</f>
        <v>20</v>
      </c>
      <c r="M713" t="s">
        <v>21</v>
      </c>
      <c r="N713">
        <v>0</v>
      </c>
      <c r="O713" s="34">
        <v>22</v>
      </c>
      <c r="P713">
        <v>0</v>
      </c>
      <c r="Q713">
        <v>160</v>
      </c>
      <c r="R713" s="31">
        <v>0</v>
      </c>
      <c r="S713" s="30">
        <f>IFERROR(PROPERTIES[[#This Row],[TE_STARTING_KN]]/(PROPERTIES[[#This Row],[WEIGHT]]*9.81),0)</f>
        <v>0</v>
      </c>
      <c r="T713" s="30">
        <v>0.3</v>
      </c>
      <c r="U713" s="27">
        <f>ROUND(IF(IFERROR(PROPERTIES[[#This Row],[TE_COEFFICIENT_CALC]],0)=0,PROPERTIES[[#This Row],[TE_COEFFICIENT_MANUAL]],PROPERTIES[[#This Row],[TE_COEFFICIENT_CALC]]),3)</f>
        <v>0.3</v>
      </c>
      <c r="V713" s="6">
        <v>25</v>
      </c>
      <c r="W713" s="10">
        <v>0</v>
      </c>
      <c r="X713" s="10">
        <v>0</v>
      </c>
      <c r="Y713" s="10"/>
      <c r="Z713" t="str">
        <f>"RUNNING_COST_"&amp;IF(PROPERTIES[[#This Row],[ENGINE_CLASS]]="MAGLEV","ELECTRIC",PROPERTIES[[#This Row],[ENGINE_CLASS]])</f>
        <v>RUNNING_COST_DIESEL</v>
      </c>
      <c r="AA713" s="10" t="s">
        <v>1016</v>
      </c>
      <c r="AB713" s="10" t="s">
        <v>1017</v>
      </c>
      <c r="AC713" s="10" t="str">
        <f>SUBSTITUTE(SUBSTITUTE(PROPERTIES[[#This Row],[PURCHASECOST_VALUE]], "PURCHASECOST_", ""), "_VALUE", "")</f>
        <v>WAGON</v>
      </c>
      <c r="AD713" s="2" t="b">
        <v>0</v>
      </c>
      <c r="AV713"/>
      <c r="AW713"/>
      <c r="AX713"/>
    </row>
    <row r="714" spans="1:50">
      <c r="A714" s="2" t="s">
        <v>890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35</v>
      </c>
      <c r="G714" t="s">
        <v>601</v>
      </c>
      <c r="H714">
        <v>65</v>
      </c>
      <c r="I714">
        <v>8</v>
      </c>
      <c r="J714">
        <v>8</v>
      </c>
      <c r="K714" s="2" t="s">
        <v>33</v>
      </c>
      <c r="L714">
        <f>_xlfn.XLOOKUP("LOADINGSPEEDDEF_"&amp;PROPERTIES[[#This Row],[LOADINGSPEED]],LOADINGSPEEDDEF[TYPE],LOADINGSPEEDDEF[SPEED])</f>
        <v>20</v>
      </c>
      <c r="M714" t="s">
        <v>21</v>
      </c>
      <c r="N714">
        <v>0</v>
      </c>
      <c r="O714" s="34">
        <v>40</v>
      </c>
      <c r="P714">
        <v>0</v>
      </c>
      <c r="Q714">
        <v>160</v>
      </c>
      <c r="R714" s="31">
        <v>0</v>
      </c>
      <c r="S714" s="30">
        <f>IFERROR(PROPERTIES[[#This Row],[TE_STARTING_KN]]/(PROPERTIES[[#This Row],[WEIGHT]]*9.81),0)</f>
        <v>0</v>
      </c>
      <c r="T714" s="30">
        <v>0.3</v>
      </c>
      <c r="U714" s="27">
        <f>ROUND(IF(IFERROR(PROPERTIES[[#This Row],[TE_COEFFICIENT_CALC]],0)=0,PROPERTIES[[#This Row],[TE_COEFFICIENT_MANUAL]],PROPERTIES[[#This Row],[TE_COEFFICIENT_CALC]]),3)</f>
        <v>0.3</v>
      </c>
      <c r="V714" s="6">
        <v>25</v>
      </c>
      <c r="W714" s="10">
        <v>0</v>
      </c>
      <c r="X714" s="10">
        <v>0</v>
      </c>
      <c r="Y714" s="10"/>
      <c r="Z714" t="str">
        <f>"RUNNING_COST_"&amp;IF(PROPERTIES[[#This Row],[ENGINE_CLASS]]="MAGLEV","ELECTRIC",PROPERTIES[[#This Row],[ENGINE_CLASS]])</f>
        <v>RUNNING_COST_DIESEL</v>
      </c>
      <c r="AA714" s="10" t="s">
        <v>1016</v>
      </c>
      <c r="AB714" s="10" t="s">
        <v>1017</v>
      </c>
      <c r="AC714" s="10" t="str">
        <f>SUBSTITUTE(SUBSTITUTE(PROPERTIES[[#This Row],[PURCHASECOST_VALUE]], "PURCHASECOST_", ""), "_VALUE", "")</f>
        <v>WAGON</v>
      </c>
      <c r="AD714" s="2" t="b">
        <v>0</v>
      </c>
      <c r="AV714"/>
      <c r="AW714"/>
      <c r="AX714"/>
    </row>
    <row r="715" spans="1:50">
      <c r="A715" s="2" t="s">
        <v>891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35</v>
      </c>
      <c r="G715" t="s">
        <v>602</v>
      </c>
      <c r="H715">
        <v>75</v>
      </c>
      <c r="I715">
        <v>8</v>
      </c>
      <c r="J715">
        <v>8</v>
      </c>
      <c r="K715" s="2" t="s">
        <v>33</v>
      </c>
      <c r="L715">
        <f>_xlfn.XLOOKUP("LOADINGSPEEDDEF_"&amp;PROPERTIES[[#This Row],[LOADINGSPEED]],LOADINGSPEEDDEF[TYPE],LOADINGSPEEDDEF[SPEED])</f>
        <v>20</v>
      </c>
      <c r="M715" t="s">
        <v>21</v>
      </c>
      <c r="N715">
        <v>0</v>
      </c>
      <c r="O715" s="34">
        <v>25</v>
      </c>
      <c r="P715">
        <v>0</v>
      </c>
      <c r="Q715">
        <v>160</v>
      </c>
      <c r="R715" s="31">
        <v>0</v>
      </c>
      <c r="S715" s="30">
        <f>IFERROR(PROPERTIES[[#This Row],[TE_STARTING_KN]]/(PROPERTIES[[#This Row],[WEIGHT]]*9.81),0)</f>
        <v>0</v>
      </c>
      <c r="T715" s="30">
        <v>0.3</v>
      </c>
      <c r="U715" s="27">
        <f>ROUND(IF(IFERROR(PROPERTIES[[#This Row],[TE_COEFFICIENT_CALC]],0)=0,PROPERTIES[[#This Row],[TE_COEFFICIENT_MANUAL]],PROPERTIES[[#This Row],[TE_COEFFICIENT_CALC]]),3)</f>
        <v>0.3</v>
      </c>
      <c r="V715" s="6">
        <v>25</v>
      </c>
      <c r="W715" s="10">
        <v>0</v>
      </c>
      <c r="X715" s="10">
        <v>0</v>
      </c>
      <c r="Y715" s="10"/>
      <c r="Z715" t="str">
        <f>"RUNNING_COST_"&amp;IF(PROPERTIES[[#This Row],[ENGINE_CLASS]]="MAGLEV","ELECTRIC",PROPERTIES[[#This Row],[ENGINE_CLASS]])</f>
        <v>RUNNING_COST_DIESEL</v>
      </c>
      <c r="AA715" s="10" t="s">
        <v>1016</v>
      </c>
      <c r="AB715" s="10" t="s">
        <v>1017</v>
      </c>
      <c r="AC715" s="10" t="str">
        <f>SUBSTITUTE(SUBSTITUTE(PROPERTIES[[#This Row],[PURCHASECOST_VALUE]], "PURCHASECOST_", ""), "_VALUE", "")</f>
        <v>WAGON</v>
      </c>
      <c r="AD715" s="2" t="b">
        <v>0</v>
      </c>
      <c r="AV715"/>
      <c r="AW715"/>
      <c r="AX715"/>
    </row>
    <row r="716" spans="1:50">
      <c r="A716" s="2" t="s">
        <v>892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35</v>
      </c>
      <c r="G716" t="s">
        <v>608</v>
      </c>
      <c r="H716">
        <v>65</v>
      </c>
      <c r="I716">
        <v>4</v>
      </c>
      <c r="J716">
        <v>12</v>
      </c>
      <c r="K716" s="2" t="s">
        <v>33</v>
      </c>
      <c r="L716">
        <f>_xlfn.XLOOKUP("LOADINGSPEEDDEF_"&amp;PROPERTIES[[#This Row],[LOADINGSPEED]],LOADINGSPEEDDEF[TYPE],LOADINGSPEEDDEF[SPEED])</f>
        <v>20</v>
      </c>
      <c r="M716" t="s">
        <v>21</v>
      </c>
      <c r="N716">
        <v>0</v>
      </c>
      <c r="O716" s="34">
        <v>50</v>
      </c>
      <c r="P716">
        <v>0</v>
      </c>
      <c r="Q716">
        <v>140</v>
      </c>
      <c r="R716" s="31">
        <v>0</v>
      </c>
      <c r="S716" s="30">
        <f>IFERROR(PROPERTIES[[#This Row],[TE_STARTING_KN]]/(PROPERTIES[[#This Row],[WEIGHT]]*9.81),0)</f>
        <v>0</v>
      </c>
      <c r="T716" s="30">
        <v>0.3</v>
      </c>
      <c r="U716" s="27">
        <f>ROUND(IF(IFERROR(PROPERTIES[[#This Row],[TE_COEFFICIENT_CALC]],0)=0,PROPERTIES[[#This Row],[TE_COEFFICIENT_MANUAL]],PROPERTIES[[#This Row],[TE_COEFFICIENT_CALC]]),3)</f>
        <v>0.3</v>
      </c>
      <c r="V716" s="6">
        <v>25</v>
      </c>
      <c r="W716" s="10">
        <v>0</v>
      </c>
      <c r="X716" s="10">
        <v>0</v>
      </c>
      <c r="Y716" s="10"/>
      <c r="Z716" t="str">
        <f>"RUNNING_COST_"&amp;IF(PROPERTIES[[#This Row],[ENGINE_CLASS]]="MAGLEV","ELECTRIC",PROPERTIES[[#This Row],[ENGINE_CLASS]])</f>
        <v>RUNNING_COST_DIESEL</v>
      </c>
      <c r="AA716" s="10" t="s">
        <v>1016</v>
      </c>
      <c r="AB716" s="10" t="s">
        <v>1017</v>
      </c>
      <c r="AC716" s="10" t="str">
        <f>SUBSTITUTE(SUBSTITUTE(PROPERTIES[[#This Row],[PURCHASECOST_VALUE]], "PURCHASECOST_", ""), "_VALUE", "")</f>
        <v>WAGON</v>
      </c>
      <c r="AD716" s="2" t="b">
        <v>0</v>
      </c>
      <c r="AV716"/>
      <c r="AW716"/>
      <c r="AX716"/>
    </row>
    <row r="717" spans="1:50">
      <c r="A717" s="2" t="s">
        <v>907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35</v>
      </c>
      <c r="G717" t="s">
        <v>20</v>
      </c>
      <c r="H717">
        <v>0</v>
      </c>
      <c r="I717">
        <v>5</v>
      </c>
      <c r="J717">
        <v>5</v>
      </c>
      <c r="K717" s="2" t="s">
        <v>33</v>
      </c>
      <c r="L717">
        <f>_xlfn.XLOOKUP("LOADINGSPEEDDEF_"&amp;PROPERTIES[[#This Row],[LOADINGSPEED]],LOADINGSPEEDDEF[TYPE],LOADINGSPEEDDEF[SPEED])</f>
        <v>20</v>
      </c>
      <c r="M717" t="s">
        <v>21</v>
      </c>
      <c r="N717">
        <v>0</v>
      </c>
      <c r="O717" s="34">
        <v>15</v>
      </c>
      <c r="P717">
        <v>0</v>
      </c>
      <c r="Q717">
        <v>0</v>
      </c>
      <c r="R717" s="31">
        <v>0</v>
      </c>
      <c r="S717" s="30">
        <f>IFERROR(PROPERTIES[[#This Row],[TE_STARTING_KN]]/(PROPERTIES[[#This Row],[WEIGHT]]*9.81),0)</f>
        <v>0</v>
      </c>
      <c r="T717" s="30">
        <v>0.3</v>
      </c>
      <c r="U717" s="27">
        <f>ROUND(IF(IFERROR(PROPERTIES[[#This Row],[TE_COEFFICIENT_CALC]],0)=0,PROPERTIES[[#This Row],[TE_COEFFICIENT_MANUAL]],PROPERTIES[[#This Row],[TE_COEFFICIENT_CALC]]),3)</f>
        <v>0.3</v>
      </c>
      <c r="V717" s="6">
        <v>25</v>
      </c>
      <c r="W717" s="10">
        <v>0</v>
      </c>
      <c r="X717" s="10">
        <v>0</v>
      </c>
      <c r="Y717" s="10"/>
      <c r="Z717" t="str">
        <f>"RUNNING_COST_"&amp;IF(PROPERTIES[[#This Row],[ENGINE_CLASS]]="MAGLEV","ELECTRIC",PROPERTIES[[#This Row],[ENGINE_CLASS]])</f>
        <v>RUNNING_COST_DIESEL</v>
      </c>
      <c r="AA717" s="10" t="s">
        <v>1016</v>
      </c>
      <c r="AB717" s="10" t="s">
        <v>1017</v>
      </c>
      <c r="AC717" s="10" t="str">
        <f>SUBSTITUTE(SUBSTITUTE(PROPERTIES[[#This Row],[PURCHASECOST_VALUE]], "PURCHASECOST_", ""), "_VALUE", "")</f>
        <v>WAGON</v>
      </c>
      <c r="AD717" s="2" t="b">
        <v>0</v>
      </c>
      <c r="AV717"/>
      <c r="AW717"/>
      <c r="AX717"/>
    </row>
    <row r="718" spans="1:50">
      <c r="A718" s="2" t="s">
        <v>908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35</v>
      </c>
      <c r="G718" t="s">
        <v>20</v>
      </c>
      <c r="H718">
        <v>0</v>
      </c>
      <c r="I718">
        <v>5</v>
      </c>
      <c r="J718">
        <v>5</v>
      </c>
      <c r="K718" s="2" t="s">
        <v>33</v>
      </c>
      <c r="L718">
        <f>_xlfn.XLOOKUP("LOADINGSPEEDDEF_"&amp;PROPERTIES[[#This Row],[LOADINGSPEED]],LOADINGSPEEDDEF[TYPE],LOADINGSPEEDDEF[SPEED])</f>
        <v>20</v>
      </c>
      <c r="M718" t="s">
        <v>21</v>
      </c>
      <c r="N718">
        <v>0</v>
      </c>
      <c r="O718" s="34">
        <v>15</v>
      </c>
      <c r="P718">
        <v>0</v>
      </c>
      <c r="Q718">
        <v>0</v>
      </c>
      <c r="R718" s="31">
        <v>0</v>
      </c>
      <c r="S718" s="30">
        <f>IFERROR(PROPERTIES[[#This Row],[TE_STARTING_KN]]/(PROPERTIES[[#This Row],[WEIGHT]]*9.81),0)</f>
        <v>0</v>
      </c>
      <c r="T718" s="30">
        <v>0.3</v>
      </c>
      <c r="U718" s="27">
        <f>ROUND(IF(IFERROR(PROPERTIES[[#This Row],[TE_COEFFICIENT_CALC]],0)=0,PROPERTIES[[#This Row],[TE_COEFFICIENT_MANUAL]],PROPERTIES[[#This Row],[TE_COEFFICIENT_CALC]]),3)</f>
        <v>0.3</v>
      </c>
      <c r="V718" s="6">
        <v>25</v>
      </c>
      <c r="W718" s="10">
        <v>0</v>
      </c>
      <c r="X718" s="10">
        <v>0</v>
      </c>
      <c r="Y718" s="10"/>
      <c r="Z718" t="str">
        <f>"RUNNING_COST_"&amp;IF(PROPERTIES[[#This Row],[ENGINE_CLASS]]="MAGLEV","ELECTRIC",PROPERTIES[[#This Row],[ENGINE_CLASS]])</f>
        <v>RUNNING_COST_DIESEL</v>
      </c>
      <c r="AA718" s="10" t="s">
        <v>1016</v>
      </c>
      <c r="AB718" s="10" t="s">
        <v>1017</v>
      </c>
      <c r="AC718" s="10" t="str">
        <f>SUBSTITUTE(SUBSTITUTE(PROPERTIES[[#This Row],[PURCHASECOST_VALUE]], "PURCHASECOST_", ""), "_VALUE", "")</f>
        <v>WAGON</v>
      </c>
      <c r="AD718" s="2" t="b">
        <v>0</v>
      </c>
      <c r="AV718"/>
      <c r="AW718"/>
      <c r="AX718"/>
    </row>
    <row r="719" spans="1:50">
      <c r="A719" s="2" t="s">
        <v>764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35</v>
      </c>
      <c r="G719" t="s">
        <v>325</v>
      </c>
      <c r="H719">
        <v>20</v>
      </c>
      <c r="I719">
        <v>4</v>
      </c>
      <c r="J719">
        <v>4</v>
      </c>
      <c r="K719" s="2" t="s">
        <v>24</v>
      </c>
      <c r="L719">
        <v>40</v>
      </c>
      <c r="M719">
        <v>90</v>
      </c>
      <c r="N719">
        <v>1</v>
      </c>
      <c r="O719" s="34">
        <v>5</v>
      </c>
      <c r="P719">
        <v>0</v>
      </c>
      <c r="Q719">
        <v>40</v>
      </c>
      <c r="R719" s="31">
        <v>0</v>
      </c>
      <c r="S719" s="30">
        <f>IFERROR(PROPERTIES[[#This Row],[TE_STARTING_KN]]/(PROPERTIES[[#This Row],[WEIGHT]]*9.81),0)</f>
        <v>0</v>
      </c>
      <c r="T719" s="30">
        <v>0.3</v>
      </c>
      <c r="U719" s="27">
        <f>ROUND(IF(IFERROR(PROPERTIES[[#This Row],[TE_COEFFICIENT_CALC]],0)=0,PROPERTIES[[#This Row],[TE_COEFFICIENT_MANUAL]],PROPERTIES[[#This Row],[TE_COEFFICIENT_CALC]]),3)</f>
        <v>0.3</v>
      </c>
      <c r="V719" s="6">
        <v>25</v>
      </c>
      <c r="W719" s="10">
        <v>0</v>
      </c>
      <c r="X719" s="10">
        <v>0</v>
      </c>
      <c r="Y719" s="10"/>
      <c r="Z719" t="str">
        <f>"RUNNING_COST_"&amp;IF(PROPERTIES[[#This Row],[ENGINE_CLASS]]="MAGLEV","ELECTRIC",PROPERTIES[[#This Row],[ENGINE_CLASS]])</f>
        <v>RUNNING_COST_DIESEL</v>
      </c>
      <c r="AA719" s="10" t="s">
        <v>1018</v>
      </c>
      <c r="AB719" s="10" t="s">
        <v>1019</v>
      </c>
      <c r="AC719" s="10" t="str">
        <f>SUBSTITUTE(SUBSTITUTE(PROPERTIES[[#This Row],[PURCHASECOST_VALUE]], "PURCHASECOST_", ""), "_VALUE", "")</f>
        <v>COACH</v>
      </c>
      <c r="AD719" s="2" t="b">
        <v>0</v>
      </c>
      <c r="AV719"/>
      <c r="AW719"/>
      <c r="AX719"/>
    </row>
    <row r="720" spans="1:50">
      <c r="A720" s="2" t="s">
        <v>765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35</v>
      </c>
      <c r="G720" t="s">
        <v>325</v>
      </c>
      <c r="H720">
        <v>45</v>
      </c>
      <c r="I720">
        <v>4</v>
      </c>
      <c r="J720">
        <v>4</v>
      </c>
      <c r="K720" s="2" t="s">
        <v>479</v>
      </c>
      <c r="L720">
        <v>16</v>
      </c>
      <c r="M720">
        <v>90</v>
      </c>
      <c r="N720">
        <v>1</v>
      </c>
      <c r="O720" s="34">
        <v>8</v>
      </c>
      <c r="P720">
        <v>0</v>
      </c>
      <c r="Q720">
        <v>65</v>
      </c>
      <c r="R720" s="31">
        <v>0</v>
      </c>
      <c r="S720" s="30">
        <f>IFERROR(PROPERTIES[[#This Row],[TE_STARTING_KN]]/(PROPERTIES[[#This Row],[WEIGHT]]*9.81),0)</f>
        <v>0</v>
      </c>
      <c r="T720" s="30">
        <v>0.3</v>
      </c>
      <c r="U720" s="27">
        <f>ROUND(IF(IFERROR(PROPERTIES[[#This Row],[TE_COEFFICIENT_CALC]],0)=0,PROPERTIES[[#This Row],[TE_COEFFICIENT_MANUAL]],PROPERTIES[[#This Row],[TE_COEFFICIENT_CALC]]),3)</f>
        <v>0.3</v>
      </c>
      <c r="V720" s="6">
        <v>25</v>
      </c>
      <c r="W720" s="10">
        <v>0</v>
      </c>
      <c r="X720" s="10">
        <v>0</v>
      </c>
      <c r="Y720" s="10"/>
      <c r="Z720" t="str">
        <f>"RUNNING_COST_"&amp;IF(PROPERTIES[[#This Row],[ENGINE_CLASS]]="MAGLEV","ELECTRIC",PROPERTIES[[#This Row],[ENGINE_CLASS]])</f>
        <v>RUNNING_COST_DIESEL</v>
      </c>
      <c r="AA720" s="10" t="s">
        <v>1018</v>
      </c>
      <c r="AB720" s="10" t="s">
        <v>1019</v>
      </c>
      <c r="AC720" s="10" t="str">
        <f>SUBSTITUTE(SUBSTITUTE(PROPERTIES[[#This Row],[PURCHASECOST_VALUE]], "PURCHASECOST_", ""), "_VALUE", "")</f>
        <v>COACH</v>
      </c>
      <c r="AD720" s="2" t="b">
        <v>0</v>
      </c>
      <c r="AV720"/>
      <c r="AW720"/>
      <c r="AX720"/>
    </row>
    <row r="721" spans="1:50">
      <c r="A721" s="2" t="s">
        <v>766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35</v>
      </c>
      <c r="G721" t="s">
        <v>673</v>
      </c>
      <c r="H721">
        <v>12</v>
      </c>
      <c r="I721">
        <v>4</v>
      </c>
      <c r="J721">
        <v>4</v>
      </c>
      <c r="K721" s="2" t="s">
        <v>674</v>
      </c>
      <c r="L721">
        <v>15</v>
      </c>
      <c r="M721">
        <v>90</v>
      </c>
      <c r="N721">
        <v>1</v>
      </c>
      <c r="O721" s="34">
        <v>5</v>
      </c>
      <c r="P721">
        <v>0</v>
      </c>
      <c r="Q721">
        <v>45</v>
      </c>
      <c r="R721" s="31">
        <v>0</v>
      </c>
      <c r="S721" s="30">
        <f>IFERROR(PROPERTIES[[#This Row],[TE_STARTING_KN]]/(PROPERTIES[[#This Row],[WEIGHT]]*9.81),0)</f>
        <v>0</v>
      </c>
      <c r="T721" s="30">
        <v>0.3</v>
      </c>
      <c r="U721" s="27">
        <f>ROUND(IF(IFERROR(PROPERTIES[[#This Row],[TE_COEFFICIENT_CALC]],0)=0,PROPERTIES[[#This Row],[TE_COEFFICIENT_MANUAL]],PROPERTIES[[#This Row],[TE_COEFFICIENT_CALC]]),3)</f>
        <v>0.3</v>
      </c>
      <c r="V721" s="6">
        <v>25</v>
      </c>
      <c r="W721" s="10">
        <v>0</v>
      </c>
      <c r="X721" s="10">
        <v>0</v>
      </c>
      <c r="Y721" s="10"/>
      <c r="Z721" t="str">
        <f>"RUNNING_COST_"&amp;IF(PROPERTIES[[#This Row],[ENGINE_CLASS]]="MAGLEV","ELECTRIC",PROPERTIES[[#This Row],[ENGINE_CLASS]])</f>
        <v>RUNNING_COST_DIESEL</v>
      </c>
      <c r="AA721" s="10" t="s">
        <v>1018</v>
      </c>
      <c r="AB721" s="10" t="s">
        <v>1019</v>
      </c>
      <c r="AC721" s="10" t="str">
        <f>SUBSTITUTE(SUBSTITUTE(PROPERTIES[[#This Row],[PURCHASECOST_VALUE]], "PURCHASECOST_", ""), "_VALUE", "")</f>
        <v>COACH</v>
      </c>
      <c r="AD721" s="2" t="b">
        <v>0</v>
      </c>
      <c r="AV721"/>
      <c r="AW721"/>
      <c r="AX721"/>
    </row>
    <row r="722" spans="1:50">
      <c r="A722" s="2" t="s">
        <v>767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35</v>
      </c>
      <c r="G722" t="s">
        <v>325</v>
      </c>
      <c r="H722">
        <v>30</v>
      </c>
      <c r="I722">
        <v>6</v>
      </c>
      <c r="J722">
        <v>6</v>
      </c>
      <c r="K722" s="2" t="s">
        <v>24</v>
      </c>
      <c r="L722">
        <v>40</v>
      </c>
      <c r="M722">
        <v>95</v>
      </c>
      <c r="N722">
        <v>1</v>
      </c>
      <c r="O722" s="34">
        <v>12</v>
      </c>
      <c r="P722">
        <v>0</v>
      </c>
      <c r="Q722">
        <v>80</v>
      </c>
      <c r="R722" s="31">
        <v>0</v>
      </c>
      <c r="S722" s="30">
        <f>IFERROR(PROPERTIES[[#This Row],[TE_STARTING_KN]]/(PROPERTIES[[#This Row],[WEIGHT]]*9.81),0)</f>
        <v>0</v>
      </c>
      <c r="T722" s="30">
        <v>0.3</v>
      </c>
      <c r="U722" s="27">
        <f>ROUND(IF(IFERROR(PROPERTIES[[#This Row],[TE_COEFFICIENT_CALC]],0)=0,PROPERTIES[[#This Row],[TE_COEFFICIENT_MANUAL]],PROPERTIES[[#This Row],[TE_COEFFICIENT_CALC]]),3)</f>
        <v>0.3</v>
      </c>
      <c r="V722" s="6">
        <v>25</v>
      </c>
      <c r="W722" s="10">
        <v>0</v>
      </c>
      <c r="X722" s="10">
        <v>0</v>
      </c>
      <c r="Y722" s="10"/>
      <c r="Z722" t="str">
        <f>"RUNNING_COST_"&amp;IF(PROPERTIES[[#This Row],[ENGINE_CLASS]]="MAGLEV","ELECTRIC",PROPERTIES[[#This Row],[ENGINE_CLASS]])</f>
        <v>RUNNING_COST_DIESEL</v>
      </c>
      <c r="AA722" s="10" t="s">
        <v>1018</v>
      </c>
      <c r="AB722" s="10" t="s">
        <v>1019</v>
      </c>
      <c r="AC722" s="10" t="str">
        <f>SUBSTITUTE(SUBSTITUTE(PROPERTIES[[#This Row],[PURCHASECOST_VALUE]], "PURCHASECOST_", ""), "_VALUE", "")</f>
        <v>COACH</v>
      </c>
      <c r="AD722" s="2" t="b">
        <v>0</v>
      </c>
      <c r="AV722"/>
      <c r="AW722"/>
      <c r="AX722"/>
    </row>
    <row r="723" spans="1:50">
      <c r="A723" s="2" t="s">
        <v>768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35</v>
      </c>
      <c r="G723" t="s">
        <v>325</v>
      </c>
      <c r="H723">
        <v>65</v>
      </c>
      <c r="I723">
        <v>6</v>
      </c>
      <c r="J723">
        <v>6</v>
      </c>
      <c r="K723" s="2" t="s">
        <v>479</v>
      </c>
      <c r="L723">
        <v>16</v>
      </c>
      <c r="M723">
        <v>95</v>
      </c>
      <c r="N723">
        <v>1</v>
      </c>
      <c r="O723" s="34">
        <v>15</v>
      </c>
      <c r="P723">
        <v>0</v>
      </c>
      <c r="Q723">
        <v>70</v>
      </c>
      <c r="R723" s="31">
        <v>0</v>
      </c>
      <c r="S723" s="30">
        <f>IFERROR(PROPERTIES[[#This Row],[TE_STARTING_KN]]/(PROPERTIES[[#This Row],[WEIGHT]]*9.81),0)</f>
        <v>0</v>
      </c>
      <c r="T723" s="30">
        <v>0.3</v>
      </c>
      <c r="U723" s="27">
        <f>ROUND(IF(IFERROR(PROPERTIES[[#This Row],[TE_COEFFICIENT_CALC]],0)=0,PROPERTIES[[#This Row],[TE_COEFFICIENT_MANUAL]],PROPERTIES[[#This Row],[TE_COEFFICIENT_CALC]]),3)</f>
        <v>0.3</v>
      </c>
      <c r="V723" s="6">
        <v>25</v>
      </c>
      <c r="W723" s="10">
        <v>0</v>
      </c>
      <c r="X723" s="10">
        <v>0</v>
      </c>
      <c r="Y723" s="10"/>
      <c r="Z723" t="str">
        <f>"RUNNING_COST_"&amp;IF(PROPERTIES[[#This Row],[ENGINE_CLASS]]="MAGLEV","ELECTRIC",PROPERTIES[[#This Row],[ENGINE_CLASS]])</f>
        <v>RUNNING_COST_DIESEL</v>
      </c>
      <c r="AA723" s="10" t="s">
        <v>1018</v>
      </c>
      <c r="AB723" s="10" t="s">
        <v>1019</v>
      </c>
      <c r="AC723" s="10" t="str">
        <f>SUBSTITUTE(SUBSTITUTE(PROPERTIES[[#This Row],[PURCHASECOST_VALUE]], "PURCHASECOST_", ""), "_VALUE", "")</f>
        <v>COACH</v>
      </c>
      <c r="AD723" s="2" t="b">
        <v>0</v>
      </c>
      <c r="AV723"/>
      <c r="AW723"/>
      <c r="AX723"/>
    </row>
    <row r="724" spans="1:50">
      <c r="A724" s="2" t="s">
        <v>769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35</v>
      </c>
      <c r="G724" t="s">
        <v>673</v>
      </c>
      <c r="H724">
        <v>28</v>
      </c>
      <c r="I724">
        <v>6</v>
      </c>
      <c r="J724">
        <v>6</v>
      </c>
      <c r="K724" s="2" t="s">
        <v>674</v>
      </c>
      <c r="L724">
        <v>15</v>
      </c>
      <c r="M724">
        <v>95</v>
      </c>
      <c r="N724">
        <v>1</v>
      </c>
      <c r="O724" s="34">
        <v>13.5</v>
      </c>
      <c r="P724">
        <v>0</v>
      </c>
      <c r="Q724">
        <v>80</v>
      </c>
      <c r="R724" s="31">
        <v>0</v>
      </c>
      <c r="S724" s="30">
        <f>IFERROR(PROPERTIES[[#This Row],[TE_STARTING_KN]]/(PROPERTIES[[#This Row],[WEIGHT]]*9.81),0)</f>
        <v>0</v>
      </c>
      <c r="T724" s="30">
        <v>0.3</v>
      </c>
      <c r="U724" s="27">
        <f>ROUND(IF(IFERROR(PROPERTIES[[#This Row],[TE_COEFFICIENT_CALC]],0)=0,PROPERTIES[[#This Row],[TE_COEFFICIENT_MANUAL]],PROPERTIES[[#This Row],[TE_COEFFICIENT_CALC]]),3)</f>
        <v>0.3</v>
      </c>
      <c r="V724" s="6">
        <v>25</v>
      </c>
      <c r="W724" s="10">
        <v>0</v>
      </c>
      <c r="X724" s="10">
        <v>0</v>
      </c>
      <c r="Y724" s="10"/>
      <c r="Z724" t="str">
        <f>"RUNNING_COST_"&amp;IF(PROPERTIES[[#This Row],[ENGINE_CLASS]]="MAGLEV","ELECTRIC",PROPERTIES[[#This Row],[ENGINE_CLASS]])</f>
        <v>RUNNING_COST_DIESEL</v>
      </c>
      <c r="AA724" s="10" t="s">
        <v>1018</v>
      </c>
      <c r="AB724" s="10" t="s">
        <v>1019</v>
      </c>
      <c r="AC724" s="10" t="str">
        <f>SUBSTITUTE(SUBSTITUTE(PROPERTIES[[#This Row],[PURCHASECOST_VALUE]], "PURCHASECOST_", ""), "_VALUE", "")</f>
        <v>COACH</v>
      </c>
      <c r="AD724" s="2" t="b">
        <v>0</v>
      </c>
      <c r="AV724"/>
      <c r="AW724"/>
      <c r="AX724"/>
    </row>
    <row r="725" spans="1:50">
      <c r="A725" s="2" t="s">
        <v>770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35</v>
      </c>
      <c r="G725" t="s">
        <v>325</v>
      </c>
      <c r="H725">
        <v>40</v>
      </c>
      <c r="I725">
        <v>5</v>
      </c>
      <c r="J725">
        <v>5</v>
      </c>
      <c r="K725" s="2" t="s">
        <v>24</v>
      </c>
      <c r="L725">
        <v>40</v>
      </c>
      <c r="M725">
        <v>80</v>
      </c>
      <c r="N725">
        <v>1</v>
      </c>
      <c r="O725" s="34">
        <v>16.5</v>
      </c>
      <c r="P725">
        <v>0</v>
      </c>
      <c r="Q725">
        <v>90</v>
      </c>
      <c r="R725" s="31">
        <v>0</v>
      </c>
      <c r="S725" s="30">
        <f>IFERROR(PROPERTIES[[#This Row],[TE_STARTING_KN]]/(PROPERTIES[[#This Row],[WEIGHT]]*9.81),0)</f>
        <v>0</v>
      </c>
      <c r="T725" s="30">
        <v>0.3</v>
      </c>
      <c r="U725" s="27">
        <f>ROUND(IF(IFERROR(PROPERTIES[[#This Row],[TE_COEFFICIENT_CALC]],0)=0,PROPERTIES[[#This Row],[TE_COEFFICIENT_MANUAL]],PROPERTIES[[#This Row],[TE_COEFFICIENT_CALC]]),3)</f>
        <v>0.3</v>
      </c>
      <c r="V725" s="6">
        <v>25</v>
      </c>
      <c r="W725" s="10">
        <v>0</v>
      </c>
      <c r="X725" s="10">
        <v>0</v>
      </c>
      <c r="Y725" s="10"/>
      <c r="Z725" t="str">
        <f>"RUNNING_COST_"&amp;IF(PROPERTIES[[#This Row],[ENGINE_CLASS]]="MAGLEV","ELECTRIC",PROPERTIES[[#This Row],[ENGINE_CLASS]])</f>
        <v>RUNNING_COST_DIESEL</v>
      </c>
      <c r="AA725" s="10" t="s">
        <v>1018</v>
      </c>
      <c r="AB725" s="10" t="s">
        <v>1019</v>
      </c>
      <c r="AC725" s="10" t="str">
        <f>SUBSTITUTE(SUBSTITUTE(PROPERTIES[[#This Row],[PURCHASECOST_VALUE]], "PURCHASECOST_", ""), "_VALUE", "")</f>
        <v>COACH</v>
      </c>
      <c r="AD725" s="2" t="b">
        <v>0</v>
      </c>
      <c r="AV725"/>
      <c r="AW725"/>
      <c r="AX725"/>
    </row>
    <row r="726" spans="1:50">
      <c r="A726" s="2" t="s">
        <v>771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35</v>
      </c>
      <c r="G726" t="s">
        <v>325</v>
      </c>
      <c r="H726">
        <v>80</v>
      </c>
      <c r="I726">
        <v>5</v>
      </c>
      <c r="J726">
        <v>5</v>
      </c>
      <c r="K726" s="2" t="s">
        <v>479</v>
      </c>
      <c r="L726">
        <v>16</v>
      </c>
      <c r="M726">
        <v>80</v>
      </c>
      <c r="N726">
        <v>1</v>
      </c>
      <c r="O726" s="34">
        <v>18.5</v>
      </c>
      <c r="P726">
        <v>0</v>
      </c>
      <c r="Q726">
        <v>80</v>
      </c>
      <c r="R726" s="31">
        <v>0</v>
      </c>
      <c r="S726" s="30">
        <f>IFERROR(PROPERTIES[[#This Row],[TE_STARTING_KN]]/(PROPERTIES[[#This Row],[WEIGHT]]*9.81),0)</f>
        <v>0</v>
      </c>
      <c r="T726" s="30">
        <v>0.3</v>
      </c>
      <c r="U726" s="27">
        <f>ROUND(IF(IFERROR(PROPERTIES[[#This Row],[TE_COEFFICIENT_CALC]],0)=0,PROPERTIES[[#This Row],[TE_COEFFICIENT_MANUAL]],PROPERTIES[[#This Row],[TE_COEFFICIENT_CALC]]),3)</f>
        <v>0.3</v>
      </c>
      <c r="V726" s="6">
        <v>25</v>
      </c>
      <c r="W726" s="10">
        <v>0</v>
      </c>
      <c r="X726" s="10">
        <v>0</v>
      </c>
      <c r="Y726" s="10"/>
      <c r="Z726" t="str">
        <f>"RUNNING_COST_"&amp;IF(PROPERTIES[[#This Row],[ENGINE_CLASS]]="MAGLEV","ELECTRIC",PROPERTIES[[#This Row],[ENGINE_CLASS]])</f>
        <v>RUNNING_COST_DIESEL</v>
      </c>
      <c r="AA726" s="10" t="s">
        <v>1018</v>
      </c>
      <c r="AB726" s="10" t="s">
        <v>1019</v>
      </c>
      <c r="AC726" s="10" t="str">
        <f>SUBSTITUTE(SUBSTITUTE(PROPERTIES[[#This Row],[PURCHASECOST_VALUE]], "PURCHASECOST_", ""), "_VALUE", "")</f>
        <v>COACH</v>
      </c>
      <c r="AD726" s="2" t="b">
        <v>0</v>
      </c>
      <c r="AV726"/>
      <c r="AW726"/>
      <c r="AX726"/>
    </row>
    <row r="727" spans="1:50">
      <c r="A727" s="2" t="s">
        <v>772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35</v>
      </c>
      <c r="G727" t="s">
        <v>673</v>
      </c>
      <c r="H727">
        <v>42</v>
      </c>
      <c r="I727">
        <v>5</v>
      </c>
      <c r="J727">
        <v>5</v>
      </c>
      <c r="K727" s="2" t="s">
        <v>674</v>
      </c>
      <c r="L727">
        <v>15</v>
      </c>
      <c r="M727">
        <v>80</v>
      </c>
      <c r="N727">
        <v>1</v>
      </c>
      <c r="O727" s="34">
        <v>17.5</v>
      </c>
      <c r="P727">
        <v>0</v>
      </c>
      <c r="Q727">
        <v>95</v>
      </c>
      <c r="R727" s="31">
        <v>0</v>
      </c>
      <c r="S727" s="30">
        <f>IFERROR(PROPERTIES[[#This Row],[TE_STARTING_KN]]/(PROPERTIES[[#This Row],[WEIGHT]]*9.81),0)</f>
        <v>0</v>
      </c>
      <c r="T727" s="30">
        <v>0.3</v>
      </c>
      <c r="U727" s="27">
        <f>ROUND(IF(IFERROR(PROPERTIES[[#This Row],[TE_COEFFICIENT_CALC]],0)=0,PROPERTIES[[#This Row],[TE_COEFFICIENT_MANUAL]],PROPERTIES[[#This Row],[TE_COEFFICIENT_CALC]]),3)</f>
        <v>0.3</v>
      </c>
      <c r="V727" s="6">
        <v>25</v>
      </c>
      <c r="W727" s="10">
        <v>0</v>
      </c>
      <c r="X727" s="10">
        <v>0</v>
      </c>
      <c r="Y727" s="10"/>
      <c r="Z727" t="str">
        <f>"RUNNING_COST_"&amp;IF(PROPERTIES[[#This Row],[ENGINE_CLASS]]="MAGLEV","ELECTRIC",PROPERTIES[[#This Row],[ENGINE_CLASS]])</f>
        <v>RUNNING_COST_DIESEL</v>
      </c>
      <c r="AA727" s="10" t="s">
        <v>1018</v>
      </c>
      <c r="AB727" s="10" t="s">
        <v>1019</v>
      </c>
      <c r="AC727" s="10" t="str">
        <f>SUBSTITUTE(SUBSTITUTE(PROPERTIES[[#This Row],[PURCHASECOST_VALUE]], "PURCHASECOST_", ""), "_VALUE", "")</f>
        <v>COACH</v>
      </c>
      <c r="AD727" s="2" t="b">
        <v>0</v>
      </c>
      <c r="AV727"/>
      <c r="AW727"/>
      <c r="AX727"/>
    </row>
    <row r="728" spans="1:50">
      <c r="A728" s="2" t="s">
        <v>773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35</v>
      </c>
      <c r="G728" t="s">
        <v>325</v>
      </c>
      <c r="H728">
        <v>56</v>
      </c>
      <c r="I728">
        <v>8</v>
      </c>
      <c r="J728">
        <v>8</v>
      </c>
      <c r="K728" s="2" t="s">
        <v>479</v>
      </c>
      <c r="L728">
        <v>16</v>
      </c>
      <c r="M728">
        <v>75</v>
      </c>
      <c r="N728">
        <v>1</v>
      </c>
      <c r="O728" s="34">
        <v>60</v>
      </c>
      <c r="P728">
        <v>0</v>
      </c>
      <c r="Q728">
        <v>120</v>
      </c>
      <c r="R728" s="31">
        <v>0</v>
      </c>
      <c r="S728" s="30">
        <f>IFERROR(PROPERTIES[[#This Row],[TE_STARTING_KN]]/(PROPERTIES[[#This Row],[WEIGHT]]*9.81),0)</f>
        <v>0</v>
      </c>
      <c r="T728" s="30">
        <v>0.3</v>
      </c>
      <c r="U728" s="27">
        <f>ROUND(IF(IFERROR(PROPERTIES[[#This Row],[TE_COEFFICIENT_CALC]],0)=0,PROPERTIES[[#This Row],[TE_COEFFICIENT_MANUAL]],PROPERTIES[[#This Row],[TE_COEFFICIENT_CALC]]),3)</f>
        <v>0.3</v>
      </c>
      <c r="V728" s="6">
        <v>25</v>
      </c>
      <c r="W728" s="10">
        <v>0</v>
      </c>
      <c r="X728" s="10">
        <v>0</v>
      </c>
      <c r="Y728" s="10"/>
      <c r="Z728" t="str">
        <f>"RUNNING_COST_"&amp;IF(PROPERTIES[[#This Row],[ENGINE_CLASS]]="MAGLEV","ELECTRIC",PROPERTIES[[#This Row],[ENGINE_CLASS]])</f>
        <v>RUNNING_COST_DIESEL</v>
      </c>
      <c r="AA728" s="10" t="s">
        <v>1018</v>
      </c>
      <c r="AB728" s="10" t="s">
        <v>1019</v>
      </c>
      <c r="AC728" s="10" t="str">
        <f>SUBSTITUTE(SUBSTITUTE(PROPERTIES[[#This Row],[PURCHASECOST_VALUE]], "PURCHASECOST_", ""), "_VALUE", "")</f>
        <v>COACH</v>
      </c>
      <c r="AD728" s="2" t="b">
        <v>0</v>
      </c>
      <c r="AV728"/>
      <c r="AW728"/>
      <c r="AX728"/>
    </row>
    <row r="729" spans="1:50">
      <c r="A729" s="2" t="s">
        <v>774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35</v>
      </c>
      <c r="G729" t="s">
        <v>673</v>
      </c>
      <c r="H729">
        <v>75</v>
      </c>
      <c r="I729">
        <v>8</v>
      </c>
      <c r="J729">
        <v>8</v>
      </c>
      <c r="K729" s="2" t="s">
        <v>479</v>
      </c>
      <c r="L729">
        <v>16</v>
      </c>
      <c r="M729">
        <v>75</v>
      </c>
      <c r="N729">
        <v>1</v>
      </c>
      <c r="O729" s="34">
        <v>58</v>
      </c>
      <c r="P729">
        <v>0</v>
      </c>
      <c r="Q729">
        <v>130</v>
      </c>
      <c r="R729" s="31">
        <v>0</v>
      </c>
      <c r="S729" s="30">
        <f>IFERROR(PROPERTIES[[#This Row],[TE_STARTING_KN]]/(PROPERTIES[[#This Row],[WEIGHT]]*9.81),0)</f>
        <v>0</v>
      </c>
      <c r="T729" s="30">
        <v>0.3</v>
      </c>
      <c r="U729" s="27">
        <f>ROUND(IF(IFERROR(PROPERTIES[[#This Row],[TE_COEFFICIENT_CALC]],0)=0,PROPERTIES[[#This Row],[TE_COEFFICIENT_MANUAL]],PROPERTIES[[#This Row],[TE_COEFFICIENT_CALC]]),3)</f>
        <v>0.3</v>
      </c>
      <c r="V729" s="6">
        <v>25</v>
      </c>
      <c r="W729" s="10">
        <v>0</v>
      </c>
      <c r="X729" s="10">
        <v>0</v>
      </c>
      <c r="Y729" s="10"/>
      <c r="Z729" t="str">
        <f>"RUNNING_COST_"&amp;IF(PROPERTIES[[#This Row],[ENGINE_CLASS]]="MAGLEV","ELECTRIC",PROPERTIES[[#This Row],[ENGINE_CLASS]])</f>
        <v>RUNNING_COST_DIESEL</v>
      </c>
      <c r="AA729" s="10" t="s">
        <v>1018</v>
      </c>
      <c r="AB729" s="10" t="s">
        <v>1019</v>
      </c>
      <c r="AC729" s="10" t="str">
        <f>SUBSTITUTE(SUBSTITUTE(PROPERTIES[[#This Row],[PURCHASECOST_VALUE]], "PURCHASECOST_", ""), "_VALUE", "")</f>
        <v>COACH</v>
      </c>
      <c r="AD729" s="2" t="b">
        <v>0</v>
      </c>
      <c r="AV729"/>
      <c r="AW729"/>
      <c r="AX729"/>
    </row>
    <row r="730" spans="1:50">
      <c r="A730" s="2" t="s">
        <v>775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35</v>
      </c>
      <c r="G730" t="s">
        <v>325</v>
      </c>
      <c r="H730">
        <v>80</v>
      </c>
      <c r="I730">
        <v>7</v>
      </c>
      <c r="J730">
        <v>7</v>
      </c>
      <c r="K730" s="2" t="s">
        <v>479</v>
      </c>
      <c r="L730">
        <v>16</v>
      </c>
      <c r="M730">
        <v>60</v>
      </c>
      <c r="N730">
        <v>1</v>
      </c>
      <c r="O730" s="34">
        <v>48</v>
      </c>
      <c r="P730">
        <v>0</v>
      </c>
      <c r="Q730">
        <v>120</v>
      </c>
      <c r="R730" s="31">
        <v>0</v>
      </c>
      <c r="S730" s="30">
        <f>IFERROR(PROPERTIES[[#This Row],[TE_STARTING_KN]]/(PROPERTIES[[#This Row],[WEIGHT]]*9.81),0)</f>
        <v>0</v>
      </c>
      <c r="T730" s="30">
        <v>0.3</v>
      </c>
      <c r="U730" s="27">
        <f>ROUND(IF(IFERROR(PROPERTIES[[#This Row],[TE_COEFFICIENT_CALC]],0)=0,PROPERTIES[[#This Row],[TE_COEFFICIENT_MANUAL]],PROPERTIES[[#This Row],[TE_COEFFICIENT_CALC]]),3)</f>
        <v>0.3</v>
      </c>
      <c r="V730" s="6">
        <v>25</v>
      </c>
      <c r="W730" s="10">
        <v>0</v>
      </c>
      <c r="X730" s="10">
        <v>0</v>
      </c>
      <c r="Y730" s="10"/>
      <c r="Z730" t="str">
        <f>"RUNNING_COST_"&amp;IF(PROPERTIES[[#This Row],[ENGINE_CLASS]]="MAGLEV","ELECTRIC",PROPERTIES[[#This Row],[ENGINE_CLASS]])</f>
        <v>RUNNING_COST_DIESEL</v>
      </c>
      <c r="AA730" s="10" t="s">
        <v>1018</v>
      </c>
      <c r="AB730" s="10" t="s">
        <v>1019</v>
      </c>
      <c r="AC730" s="10" t="str">
        <f>SUBSTITUTE(SUBSTITUTE(PROPERTIES[[#This Row],[PURCHASECOST_VALUE]], "PURCHASECOST_", ""), "_VALUE", "")</f>
        <v>COACH</v>
      </c>
      <c r="AD730" s="2" t="b">
        <v>0</v>
      </c>
      <c r="AV730"/>
      <c r="AW730"/>
      <c r="AX730"/>
    </row>
    <row r="731" spans="1:50">
      <c r="A731" s="2" t="s">
        <v>776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35</v>
      </c>
      <c r="G731" t="s">
        <v>325</v>
      </c>
      <c r="H731">
        <v>60</v>
      </c>
      <c r="I731">
        <v>7</v>
      </c>
      <c r="J731">
        <v>7</v>
      </c>
      <c r="K731" s="2" t="s">
        <v>24</v>
      </c>
      <c r="L731">
        <v>40</v>
      </c>
      <c r="M731">
        <v>60</v>
      </c>
      <c r="N731">
        <v>1</v>
      </c>
      <c r="O731" s="34">
        <v>40</v>
      </c>
      <c r="P731">
        <v>0</v>
      </c>
      <c r="Q731">
        <v>120</v>
      </c>
      <c r="R731" s="31">
        <v>0</v>
      </c>
      <c r="S731" s="30">
        <f>IFERROR(PROPERTIES[[#This Row],[TE_STARTING_KN]]/(PROPERTIES[[#This Row],[WEIGHT]]*9.81),0)</f>
        <v>0</v>
      </c>
      <c r="T731" s="30">
        <v>0.3</v>
      </c>
      <c r="U731" s="27">
        <f>ROUND(IF(IFERROR(PROPERTIES[[#This Row],[TE_COEFFICIENT_CALC]],0)=0,PROPERTIES[[#This Row],[TE_COEFFICIENT_MANUAL]],PROPERTIES[[#This Row],[TE_COEFFICIENT_CALC]]),3)</f>
        <v>0.3</v>
      </c>
      <c r="V731" s="6">
        <v>25</v>
      </c>
      <c r="W731" s="10">
        <v>0</v>
      </c>
      <c r="X731" s="10">
        <v>0</v>
      </c>
      <c r="Y731" s="10"/>
      <c r="Z731" t="str">
        <f>"RUNNING_COST_"&amp;IF(PROPERTIES[[#This Row],[ENGINE_CLASS]]="MAGLEV","ELECTRIC",PROPERTIES[[#This Row],[ENGINE_CLASS]])</f>
        <v>RUNNING_COST_DIESEL</v>
      </c>
      <c r="AA731" s="10" t="s">
        <v>1018</v>
      </c>
      <c r="AB731" s="10" t="s">
        <v>1019</v>
      </c>
      <c r="AC731" s="10" t="str">
        <f>SUBSTITUTE(SUBSTITUTE(PROPERTIES[[#This Row],[PURCHASECOST_VALUE]], "PURCHASECOST_", ""), "_VALUE", "")</f>
        <v>COACH</v>
      </c>
      <c r="AD731" s="2" t="b">
        <v>0</v>
      </c>
      <c r="AV731"/>
      <c r="AW731"/>
      <c r="AX731"/>
    </row>
    <row r="732" spans="1:50">
      <c r="A732" s="2" t="s">
        <v>777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35</v>
      </c>
      <c r="G732" t="s">
        <v>325</v>
      </c>
      <c r="H732">
        <v>120</v>
      </c>
      <c r="I732">
        <v>7</v>
      </c>
      <c r="J732">
        <v>7</v>
      </c>
      <c r="K732" s="2" t="s">
        <v>479</v>
      </c>
      <c r="L732">
        <v>16</v>
      </c>
      <c r="M732">
        <v>65</v>
      </c>
      <c r="N732">
        <v>1</v>
      </c>
      <c r="O732" s="34">
        <v>40</v>
      </c>
      <c r="P732">
        <v>0</v>
      </c>
      <c r="Q732">
        <v>100</v>
      </c>
      <c r="R732" s="31">
        <v>0</v>
      </c>
      <c r="S732" s="30">
        <f>IFERROR(PROPERTIES[[#This Row],[TE_STARTING_KN]]/(PROPERTIES[[#This Row],[WEIGHT]]*9.81),0)</f>
        <v>0</v>
      </c>
      <c r="T732" s="30">
        <v>0.3</v>
      </c>
      <c r="U732" s="27">
        <f>ROUND(IF(IFERROR(PROPERTIES[[#This Row],[TE_COEFFICIENT_CALC]],0)=0,PROPERTIES[[#This Row],[TE_COEFFICIENT_MANUAL]],PROPERTIES[[#This Row],[TE_COEFFICIENT_CALC]]),3)</f>
        <v>0.3</v>
      </c>
      <c r="V732" s="6">
        <v>25</v>
      </c>
      <c r="W732" s="10">
        <v>0</v>
      </c>
      <c r="X732" s="10">
        <v>0</v>
      </c>
      <c r="Y732" s="10"/>
      <c r="Z732" t="str">
        <f>"RUNNING_COST_"&amp;IF(PROPERTIES[[#This Row],[ENGINE_CLASS]]="MAGLEV","ELECTRIC",PROPERTIES[[#This Row],[ENGINE_CLASS]])</f>
        <v>RUNNING_COST_DIESEL</v>
      </c>
      <c r="AA732" s="10" t="s">
        <v>1018</v>
      </c>
      <c r="AB732" s="10" t="s">
        <v>1019</v>
      </c>
      <c r="AC732" s="10" t="str">
        <f>SUBSTITUTE(SUBSTITUTE(PROPERTIES[[#This Row],[PURCHASECOST_VALUE]], "PURCHASECOST_", ""), "_VALUE", "")</f>
        <v>COACH</v>
      </c>
      <c r="AD732" s="2" t="b">
        <v>0</v>
      </c>
      <c r="AV732"/>
      <c r="AW732"/>
      <c r="AX732"/>
    </row>
    <row r="733" spans="1:50">
      <c r="A733" s="2" t="s">
        <v>778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35</v>
      </c>
      <c r="G733" t="s">
        <v>673</v>
      </c>
      <c r="H733">
        <v>60</v>
      </c>
      <c r="I733">
        <v>7</v>
      </c>
      <c r="J733">
        <v>7</v>
      </c>
      <c r="K733" s="2" t="s">
        <v>674</v>
      </c>
      <c r="L733">
        <v>15</v>
      </c>
      <c r="M733">
        <v>70</v>
      </c>
      <c r="N733">
        <v>1</v>
      </c>
      <c r="O733" s="34">
        <v>44</v>
      </c>
      <c r="P733">
        <v>0</v>
      </c>
      <c r="Q733">
        <v>120</v>
      </c>
      <c r="R733" s="31">
        <v>0</v>
      </c>
      <c r="S733" s="30">
        <f>IFERROR(PROPERTIES[[#This Row],[TE_STARTING_KN]]/(PROPERTIES[[#This Row],[WEIGHT]]*9.81),0)</f>
        <v>0</v>
      </c>
      <c r="T733" s="30">
        <v>0.3</v>
      </c>
      <c r="U733" s="27">
        <f>ROUND(IF(IFERROR(PROPERTIES[[#This Row],[TE_COEFFICIENT_CALC]],0)=0,PROPERTIES[[#This Row],[TE_COEFFICIENT_MANUAL]],PROPERTIES[[#This Row],[TE_COEFFICIENT_CALC]]),3)</f>
        <v>0.3</v>
      </c>
      <c r="V733" s="6">
        <v>25</v>
      </c>
      <c r="W733" s="10">
        <v>0</v>
      </c>
      <c r="X733" s="10">
        <v>0</v>
      </c>
      <c r="Y733" s="10"/>
      <c r="Z733" t="str">
        <f>"RUNNING_COST_"&amp;IF(PROPERTIES[[#This Row],[ENGINE_CLASS]]="MAGLEV","ELECTRIC",PROPERTIES[[#This Row],[ENGINE_CLASS]])</f>
        <v>RUNNING_COST_DIESEL</v>
      </c>
      <c r="AA733" s="10" t="s">
        <v>1018</v>
      </c>
      <c r="AB733" s="10" t="s">
        <v>1019</v>
      </c>
      <c r="AC733" s="10" t="str">
        <f>SUBSTITUTE(SUBSTITUTE(PROPERTIES[[#This Row],[PURCHASECOST_VALUE]], "PURCHASECOST_", ""), "_VALUE", "")</f>
        <v>COACH</v>
      </c>
      <c r="AD733" s="2" t="b">
        <v>0</v>
      </c>
      <c r="AV733"/>
      <c r="AW733"/>
      <c r="AX733"/>
    </row>
    <row r="734" spans="1:50">
      <c r="A734" s="2" t="s">
        <v>779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35</v>
      </c>
      <c r="G734" t="s">
        <v>325</v>
      </c>
      <c r="H734">
        <v>45</v>
      </c>
      <c r="I734">
        <v>5</v>
      </c>
      <c r="J734">
        <v>5</v>
      </c>
      <c r="K734" s="2" t="s">
        <v>24</v>
      </c>
      <c r="L734">
        <v>40</v>
      </c>
      <c r="M734">
        <v>60</v>
      </c>
      <c r="N734">
        <v>1</v>
      </c>
      <c r="O734" s="34">
        <v>21</v>
      </c>
      <c r="P734">
        <v>0</v>
      </c>
      <c r="Q734">
        <v>90</v>
      </c>
      <c r="R734" s="31">
        <v>0</v>
      </c>
      <c r="S734" s="30">
        <f>IFERROR(PROPERTIES[[#This Row],[TE_STARTING_KN]]/(PROPERTIES[[#This Row],[WEIGHT]]*9.81),0)</f>
        <v>0</v>
      </c>
      <c r="T734" s="30">
        <v>0.3</v>
      </c>
      <c r="U734" s="27">
        <f>ROUND(IF(IFERROR(PROPERTIES[[#This Row],[TE_COEFFICIENT_CALC]],0)=0,PROPERTIES[[#This Row],[TE_COEFFICIENT_MANUAL]],PROPERTIES[[#This Row],[TE_COEFFICIENT_CALC]]),3)</f>
        <v>0.3</v>
      </c>
      <c r="V734" s="6">
        <v>25</v>
      </c>
      <c r="W734" s="10">
        <v>0</v>
      </c>
      <c r="X734" s="10">
        <v>0</v>
      </c>
      <c r="Y734" s="10"/>
      <c r="Z734" t="str">
        <f>"RUNNING_COST_"&amp;IF(PROPERTIES[[#This Row],[ENGINE_CLASS]]="MAGLEV","ELECTRIC",PROPERTIES[[#This Row],[ENGINE_CLASS]])</f>
        <v>RUNNING_COST_DIESEL</v>
      </c>
      <c r="AA734" s="10" t="s">
        <v>1018</v>
      </c>
      <c r="AB734" s="10" t="s">
        <v>1019</v>
      </c>
      <c r="AC734" s="10" t="str">
        <f>SUBSTITUTE(SUBSTITUTE(PROPERTIES[[#This Row],[PURCHASECOST_VALUE]], "PURCHASECOST_", ""), "_VALUE", "")</f>
        <v>COACH</v>
      </c>
      <c r="AD734" s="2" t="b">
        <v>0</v>
      </c>
      <c r="AV734"/>
      <c r="AW734"/>
      <c r="AX734"/>
    </row>
    <row r="735" spans="1:50">
      <c r="A735" s="2" t="s">
        <v>780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35</v>
      </c>
      <c r="G735" t="s">
        <v>325</v>
      </c>
      <c r="H735">
        <v>90</v>
      </c>
      <c r="I735">
        <v>5</v>
      </c>
      <c r="J735">
        <v>5</v>
      </c>
      <c r="K735" s="2" t="s">
        <v>479</v>
      </c>
      <c r="L735">
        <v>16</v>
      </c>
      <c r="M735">
        <v>60</v>
      </c>
      <c r="N735">
        <v>1</v>
      </c>
      <c r="O735" s="34">
        <v>22</v>
      </c>
      <c r="P735">
        <v>0</v>
      </c>
      <c r="Q735">
        <v>90</v>
      </c>
      <c r="R735" s="31">
        <v>0</v>
      </c>
      <c r="S735" s="30">
        <f>IFERROR(PROPERTIES[[#This Row],[TE_STARTING_KN]]/(PROPERTIES[[#This Row],[WEIGHT]]*9.81),0)</f>
        <v>0</v>
      </c>
      <c r="T735" s="30">
        <v>0.3</v>
      </c>
      <c r="U735" s="27">
        <f>ROUND(IF(IFERROR(PROPERTIES[[#This Row],[TE_COEFFICIENT_CALC]],0)=0,PROPERTIES[[#This Row],[TE_COEFFICIENT_MANUAL]],PROPERTIES[[#This Row],[TE_COEFFICIENT_CALC]]),3)</f>
        <v>0.3</v>
      </c>
      <c r="V735" s="6">
        <v>25</v>
      </c>
      <c r="W735" s="10">
        <v>0</v>
      </c>
      <c r="X735" s="10">
        <v>0</v>
      </c>
      <c r="Y735" s="10"/>
      <c r="Z735" t="str">
        <f>"RUNNING_COST_"&amp;IF(PROPERTIES[[#This Row],[ENGINE_CLASS]]="MAGLEV","ELECTRIC",PROPERTIES[[#This Row],[ENGINE_CLASS]])</f>
        <v>RUNNING_COST_DIESEL</v>
      </c>
      <c r="AA735" s="10" t="s">
        <v>1018</v>
      </c>
      <c r="AB735" s="10" t="s">
        <v>1019</v>
      </c>
      <c r="AC735" s="10" t="str">
        <f>SUBSTITUTE(SUBSTITUTE(PROPERTIES[[#This Row],[PURCHASECOST_VALUE]], "PURCHASECOST_", ""), "_VALUE", "")</f>
        <v>COACH</v>
      </c>
      <c r="AD735" s="2" t="b">
        <v>0</v>
      </c>
      <c r="AV735"/>
      <c r="AW735"/>
      <c r="AX735"/>
    </row>
    <row r="736" spans="1:50">
      <c r="A736" s="2" t="s">
        <v>781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35</v>
      </c>
      <c r="G736" t="s">
        <v>673</v>
      </c>
      <c r="H736">
        <v>32</v>
      </c>
      <c r="I736">
        <v>5</v>
      </c>
      <c r="J736">
        <v>5</v>
      </c>
      <c r="K736" s="2" t="s">
        <v>674</v>
      </c>
      <c r="L736">
        <v>15</v>
      </c>
      <c r="M736">
        <v>60</v>
      </c>
      <c r="N736">
        <v>1</v>
      </c>
      <c r="O736" s="34">
        <v>19.5</v>
      </c>
      <c r="P736">
        <v>0</v>
      </c>
      <c r="Q736">
        <v>90</v>
      </c>
      <c r="R736" s="31">
        <v>0</v>
      </c>
      <c r="S736" s="30">
        <f>IFERROR(PROPERTIES[[#This Row],[TE_STARTING_KN]]/(PROPERTIES[[#This Row],[WEIGHT]]*9.81),0)</f>
        <v>0</v>
      </c>
      <c r="T736" s="30">
        <v>0.3</v>
      </c>
      <c r="U736" s="27">
        <f>ROUND(IF(IFERROR(PROPERTIES[[#This Row],[TE_COEFFICIENT_CALC]],0)=0,PROPERTIES[[#This Row],[TE_COEFFICIENT_MANUAL]],PROPERTIES[[#This Row],[TE_COEFFICIENT_CALC]]),3)</f>
        <v>0.3</v>
      </c>
      <c r="V736" s="6">
        <v>25</v>
      </c>
      <c r="W736" s="10">
        <v>0</v>
      </c>
      <c r="X736" s="10">
        <v>0</v>
      </c>
      <c r="Y736" s="10"/>
      <c r="Z736" t="str">
        <f>"RUNNING_COST_"&amp;IF(PROPERTIES[[#This Row],[ENGINE_CLASS]]="MAGLEV","ELECTRIC",PROPERTIES[[#This Row],[ENGINE_CLASS]])</f>
        <v>RUNNING_COST_DIESEL</v>
      </c>
      <c r="AA736" s="10" t="s">
        <v>1018</v>
      </c>
      <c r="AB736" s="10" t="s">
        <v>1019</v>
      </c>
      <c r="AC736" s="10" t="str">
        <f>SUBSTITUTE(SUBSTITUTE(PROPERTIES[[#This Row],[PURCHASECOST_VALUE]], "PURCHASECOST_", ""), "_VALUE", "")</f>
        <v>COACH</v>
      </c>
      <c r="AD736" s="2" t="b">
        <v>0</v>
      </c>
      <c r="AV736"/>
      <c r="AW736"/>
      <c r="AX736"/>
    </row>
    <row r="737" spans="1:50">
      <c r="A737" s="2" t="s">
        <v>782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35</v>
      </c>
      <c r="G737" t="s">
        <v>325</v>
      </c>
      <c r="H737">
        <v>62</v>
      </c>
      <c r="I737">
        <v>6</v>
      </c>
      <c r="J737">
        <v>6</v>
      </c>
      <c r="K737" s="2" t="s">
        <v>24</v>
      </c>
      <c r="L737">
        <v>40</v>
      </c>
      <c r="M737">
        <v>60</v>
      </c>
      <c r="N737">
        <v>1</v>
      </c>
      <c r="O737" s="34">
        <v>27</v>
      </c>
      <c r="P737">
        <v>0</v>
      </c>
      <c r="Q737">
        <v>90</v>
      </c>
      <c r="R737" s="31">
        <v>0</v>
      </c>
      <c r="S737" s="30">
        <f>IFERROR(PROPERTIES[[#This Row],[TE_STARTING_KN]]/(PROPERTIES[[#This Row],[WEIGHT]]*9.81),0)</f>
        <v>0</v>
      </c>
      <c r="T737" s="30">
        <v>0.3</v>
      </c>
      <c r="U737" s="27">
        <f>ROUND(IF(IFERROR(PROPERTIES[[#This Row],[TE_COEFFICIENT_CALC]],0)=0,PROPERTIES[[#This Row],[TE_COEFFICIENT_MANUAL]],PROPERTIES[[#This Row],[TE_COEFFICIENT_CALC]]),3)</f>
        <v>0.3</v>
      </c>
      <c r="V737" s="6">
        <v>25</v>
      </c>
      <c r="W737" s="10">
        <v>0</v>
      </c>
      <c r="X737" s="10">
        <v>0</v>
      </c>
      <c r="Y737" s="10"/>
      <c r="Z737" t="str">
        <f>"RUNNING_COST_"&amp;IF(PROPERTIES[[#This Row],[ENGINE_CLASS]]="MAGLEV","ELECTRIC",PROPERTIES[[#This Row],[ENGINE_CLASS]])</f>
        <v>RUNNING_COST_DIESEL</v>
      </c>
      <c r="AA737" s="10" t="s">
        <v>1018</v>
      </c>
      <c r="AB737" s="10" t="s">
        <v>1019</v>
      </c>
      <c r="AC737" s="10" t="str">
        <f>SUBSTITUTE(SUBSTITUTE(PROPERTIES[[#This Row],[PURCHASECOST_VALUE]], "PURCHASECOST_", ""), "_VALUE", "")</f>
        <v>COACH</v>
      </c>
      <c r="AD737" s="2" t="b">
        <v>0</v>
      </c>
      <c r="AV737"/>
      <c r="AW737"/>
      <c r="AX737"/>
    </row>
    <row r="738" spans="1:50">
      <c r="A738" s="2" t="s">
        <v>783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35</v>
      </c>
      <c r="G738" t="s">
        <v>325</v>
      </c>
      <c r="H738">
        <v>100</v>
      </c>
      <c r="I738">
        <v>6</v>
      </c>
      <c r="J738">
        <v>6</v>
      </c>
      <c r="K738" s="2" t="s">
        <v>479</v>
      </c>
      <c r="L738">
        <v>16</v>
      </c>
      <c r="M738">
        <v>60</v>
      </c>
      <c r="N738">
        <v>1</v>
      </c>
      <c r="O738" s="34">
        <v>30</v>
      </c>
      <c r="P738">
        <v>0</v>
      </c>
      <c r="Q738">
        <v>90</v>
      </c>
      <c r="R738" s="31">
        <v>0</v>
      </c>
      <c r="S738" s="30">
        <f>IFERROR(PROPERTIES[[#This Row],[TE_STARTING_KN]]/(PROPERTIES[[#This Row],[WEIGHT]]*9.81),0)</f>
        <v>0</v>
      </c>
      <c r="T738" s="30">
        <v>0.3</v>
      </c>
      <c r="U738" s="27">
        <f>ROUND(IF(IFERROR(PROPERTIES[[#This Row],[TE_COEFFICIENT_CALC]],0)=0,PROPERTIES[[#This Row],[TE_COEFFICIENT_MANUAL]],PROPERTIES[[#This Row],[TE_COEFFICIENT_CALC]]),3)</f>
        <v>0.3</v>
      </c>
      <c r="V738" s="6">
        <v>25</v>
      </c>
      <c r="W738" s="10">
        <v>0</v>
      </c>
      <c r="X738" s="10">
        <v>0</v>
      </c>
      <c r="Y738" s="10"/>
      <c r="Z738" t="str">
        <f>"RUNNING_COST_"&amp;IF(PROPERTIES[[#This Row],[ENGINE_CLASS]]="MAGLEV","ELECTRIC",PROPERTIES[[#This Row],[ENGINE_CLASS]])</f>
        <v>RUNNING_COST_DIESEL</v>
      </c>
      <c r="AA738" s="10" t="s">
        <v>1018</v>
      </c>
      <c r="AB738" s="10" t="s">
        <v>1019</v>
      </c>
      <c r="AC738" s="10" t="str">
        <f>SUBSTITUTE(SUBSTITUTE(PROPERTIES[[#This Row],[PURCHASECOST_VALUE]], "PURCHASECOST_", ""), "_VALUE", "")</f>
        <v>COACH</v>
      </c>
      <c r="AD738" s="2" t="b">
        <v>0</v>
      </c>
      <c r="AV738"/>
      <c r="AW738"/>
      <c r="AX738"/>
    </row>
    <row r="739" spans="1:50">
      <c r="A739" s="2" t="s">
        <v>784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35</v>
      </c>
      <c r="G739" t="s">
        <v>673</v>
      </c>
      <c r="H739">
        <v>42</v>
      </c>
      <c r="I739">
        <v>6</v>
      </c>
      <c r="J739">
        <v>6</v>
      </c>
      <c r="K739" s="2" t="s">
        <v>674</v>
      </c>
      <c r="L739">
        <v>15</v>
      </c>
      <c r="M739">
        <v>60</v>
      </c>
      <c r="N739">
        <v>1</v>
      </c>
      <c r="O739" s="34">
        <v>27.5</v>
      </c>
      <c r="P739">
        <v>0</v>
      </c>
      <c r="Q739">
        <v>90</v>
      </c>
      <c r="R739" s="31">
        <v>0</v>
      </c>
      <c r="S739" s="30">
        <f>IFERROR(PROPERTIES[[#This Row],[TE_STARTING_KN]]/(PROPERTIES[[#This Row],[WEIGHT]]*9.81),0)</f>
        <v>0</v>
      </c>
      <c r="T739" s="30">
        <v>0.3</v>
      </c>
      <c r="U739" s="27">
        <f>ROUND(IF(IFERROR(PROPERTIES[[#This Row],[TE_COEFFICIENT_CALC]],0)=0,PROPERTIES[[#This Row],[TE_COEFFICIENT_MANUAL]],PROPERTIES[[#This Row],[TE_COEFFICIENT_CALC]]),3)</f>
        <v>0.3</v>
      </c>
      <c r="V739" s="6">
        <v>25</v>
      </c>
      <c r="W739" s="10">
        <v>0</v>
      </c>
      <c r="X739" s="10">
        <v>0</v>
      </c>
      <c r="Y739" s="10"/>
      <c r="Z739" t="str">
        <f>"RUNNING_COST_"&amp;IF(PROPERTIES[[#This Row],[ENGINE_CLASS]]="MAGLEV","ELECTRIC",PROPERTIES[[#This Row],[ENGINE_CLASS]])</f>
        <v>RUNNING_COST_DIESEL</v>
      </c>
      <c r="AA739" s="10" t="s">
        <v>1018</v>
      </c>
      <c r="AB739" s="10" t="s">
        <v>1019</v>
      </c>
      <c r="AC739" s="10" t="str">
        <f>SUBSTITUTE(SUBSTITUTE(PROPERTIES[[#This Row],[PURCHASECOST_VALUE]], "PURCHASECOST_", ""), "_VALUE", "")</f>
        <v>COACH</v>
      </c>
      <c r="AD739" s="2" t="b">
        <v>0</v>
      </c>
      <c r="AV739"/>
      <c r="AW739"/>
      <c r="AX739"/>
    </row>
    <row r="740" spans="1:50">
      <c r="A740" s="2" t="s">
        <v>785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35</v>
      </c>
      <c r="G740" t="s">
        <v>325</v>
      </c>
      <c r="H740">
        <v>70</v>
      </c>
      <c r="I740">
        <v>8</v>
      </c>
      <c r="J740">
        <v>8</v>
      </c>
      <c r="K740" s="2" t="s">
        <v>479</v>
      </c>
      <c r="L740">
        <v>16</v>
      </c>
      <c r="M740">
        <v>55</v>
      </c>
      <c r="N740">
        <v>1</v>
      </c>
      <c r="O740" s="34">
        <v>34</v>
      </c>
      <c r="P740">
        <v>0</v>
      </c>
      <c r="Q740">
        <v>145</v>
      </c>
      <c r="R740" s="31">
        <v>0</v>
      </c>
      <c r="S740" s="30">
        <f>IFERROR(PROPERTIES[[#This Row],[TE_STARTING_KN]]/(PROPERTIES[[#This Row],[WEIGHT]]*9.81),0)</f>
        <v>0</v>
      </c>
      <c r="T740" s="30">
        <v>0.3</v>
      </c>
      <c r="U740" s="27">
        <f>ROUND(IF(IFERROR(PROPERTIES[[#This Row],[TE_COEFFICIENT_CALC]],0)=0,PROPERTIES[[#This Row],[TE_COEFFICIENT_MANUAL]],PROPERTIES[[#This Row],[TE_COEFFICIENT_CALC]]),3)</f>
        <v>0.3</v>
      </c>
      <c r="V740" s="6">
        <v>25</v>
      </c>
      <c r="W740" s="10">
        <v>0</v>
      </c>
      <c r="X740" s="10">
        <v>0</v>
      </c>
      <c r="Y740" s="10"/>
      <c r="Z740" t="str">
        <f>"RUNNING_COST_"&amp;IF(PROPERTIES[[#This Row],[ENGINE_CLASS]]="MAGLEV","ELECTRIC",PROPERTIES[[#This Row],[ENGINE_CLASS]])</f>
        <v>RUNNING_COST_DIESEL</v>
      </c>
      <c r="AA740" s="10" t="s">
        <v>1018</v>
      </c>
      <c r="AB740" s="10" t="s">
        <v>1019</v>
      </c>
      <c r="AC740" s="10" t="str">
        <f>SUBSTITUTE(SUBSTITUTE(PROPERTIES[[#This Row],[PURCHASECOST_VALUE]], "PURCHASECOST_", ""), "_VALUE", "")</f>
        <v>COACH</v>
      </c>
      <c r="AD740" s="2" t="b">
        <v>0</v>
      </c>
      <c r="AV740"/>
      <c r="AW740"/>
      <c r="AX740"/>
    </row>
    <row r="741" spans="1:50">
      <c r="A741" s="2" t="s">
        <v>786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35</v>
      </c>
      <c r="G741" t="s">
        <v>325</v>
      </c>
      <c r="H741">
        <v>135</v>
      </c>
      <c r="I741">
        <v>8</v>
      </c>
      <c r="J741">
        <v>8</v>
      </c>
      <c r="K741" s="2" t="s">
        <v>479</v>
      </c>
      <c r="L741">
        <v>16</v>
      </c>
      <c r="M741">
        <v>55</v>
      </c>
      <c r="N741">
        <v>1</v>
      </c>
      <c r="O741" s="34">
        <v>32</v>
      </c>
      <c r="P741">
        <v>0</v>
      </c>
      <c r="Q741">
        <v>120</v>
      </c>
      <c r="R741" s="31">
        <v>0</v>
      </c>
      <c r="S741" s="30">
        <f>IFERROR(PROPERTIES[[#This Row],[TE_STARTING_KN]]/(PROPERTIES[[#This Row],[WEIGHT]]*9.81),0)</f>
        <v>0</v>
      </c>
      <c r="T741" s="30">
        <v>0.3</v>
      </c>
      <c r="U741" s="27">
        <f>ROUND(IF(IFERROR(PROPERTIES[[#This Row],[TE_COEFFICIENT_CALC]],0)=0,PROPERTIES[[#This Row],[TE_COEFFICIENT_MANUAL]],PROPERTIES[[#This Row],[TE_COEFFICIENT_CALC]]),3)</f>
        <v>0.3</v>
      </c>
      <c r="V741" s="6">
        <v>25</v>
      </c>
      <c r="W741" s="10">
        <v>0</v>
      </c>
      <c r="X741" s="10">
        <v>0</v>
      </c>
      <c r="Y741" s="10"/>
      <c r="Z741" t="str">
        <f>"RUNNING_COST_"&amp;IF(PROPERTIES[[#This Row],[ENGINE_CLASS]]="MAGLEV","ELECTRIC",PROPERTIES[[#This Row],[ENGINE_CLASS]])</f>
        <v>RUNNING_COST_DIESEL</v>
      </c>
      <c r="AA741" s="10" t="s">
        <v>1018</v>
      </c>
      <c r="AB741" s="10" t="s">
        <v>1019</v>
      </c>
      <c r="AC741" s="10" t="str">
        <f>SUBSTITUTE(SUBSTITUTE(PROPERTIES[[#This Row],[PURCHASECOST_VALUE]], "PURCHASECOST_", ""), "_VALUE", "")</f>
        <v>COACH</v>
      </c>
      <c r="AD741" s="2" t="b">
        <v>0</v>
      </c>
      <c r="AV741"/>
      <c r="AW741"/>
      <c r="AX741"/>
    </row>
    <row r="742" spans="1:50">
      <c r="A742" s="2" t="s">
        <v>787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35</v>
      </c>
      <c r="G742" t="s">
        <v>673</v>
      </c>
      <c r="H742">
        <v>75</v>
      </c>
      <c r="I742">
        <v>8</v>
      </c>
      <c r="J742">
        <v>8</v>
      </c>
      <c r="K742" s="2" t="s">
        <v>674</v>
      </c>
      <c r="L742">
        <v>15</v>
      </c>
      <c r="M742">
        <v>55</v>
      </c>
      <c r="N742">
        <v>1</v>
      </c>
      <c r="O742" s="34">
        <v>34</v>
      </c>
      <c r="P742">
        <v>0</v>
      </c>
      <c r="Q742">
        <v>145</v>
      </c>
      <c r="R742" s="31">
        <v>0</v>
      </c>
      <c r="S742" s="30">
        <f>IFERROR(PROPERTIES[[#This Row],[TE_STARTING_KN]]/(PROPERTIES[[#This Row],[WEIGHT]]*9.81),0)</f>
        <v>0</v>
      </c>
      <c r="T742" s="30">
        <v>0.3</v>
      </c>
      <c r="U742" s="27">
        <f>ROUND(IF(IFERROR(PROPERTIES[[#This Row],[TE_COEFFICIENT_CALC]],0)=0,PROPERTIES[[#This Row],[TE_COEFFICIENT_MANUAL]],PROPERTIES[[#This Row],[TE_COEFFICIENT_CALC]]),3)</f>
        <v>0.3</v>
      </c>
      <c r="V742" s="6">
        <v>25</v>
      </c>
      <c r="W742" s="10">
        <v>0</v>
      </c>
      <c r="X742" s="10">
        <v>0</v>
      </c>
      <c r="Y742" s="10"/>
      <c r="Z742" t="str">
        <f>"RUNNING_COST_"&amp;IF(PROPERTIES[[#This Row],[ENGINE_CLASS]]="MAGLEV","ELECTRIC",PROPERTIES[[#This Row],[ENGINE_CLASS]])</f>
        <v>RUNNING_COST_DIESEL</v>
      </c>
      <c r="AA742" s="10" t="s">
        <v>1018</v>
      </c>
      <c r="AB742" s="10" t="s">
        <v>1019</v>
      </c>
      <c r="AC742" s="10" t="str">
        <f>SUBSTITUTE(SUBSTITUTE(PROPERTIES[[#This Row],[PURCHASECOST_VALUE]], "PURCHASECOST_", ""), "_VALUE", "")</f>
        <v>COACH</v>
      </c>
      <c r="AD742" s="2" t="b">
        <v>0</v>
      </c>
      <c r="AV742"/>
      <c r="AW742"/>
      <c r="AX742"/>
    </row>
    <row r="743" spans="1:50">
      <c r="A743" s="2" t="s">
        <v>788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35</v>
      </c>
      <c r="G743" t="s">
        <v>325</v>
      </c>
      <c r="H743">
        <v>75</v>
      </c>
      <c r="I743">
        <v>8</v>
      </c>
      <c r="J743">
        <v>8</v>
      </c>
      <c r="K743" s="2" t="s">
        <v>479</v>
      </c>
      <c r="L743">
        <v>16</v>
      </c>
      <c r="M743">
        <v>50</v>
      </c>
      <c r="N743">
        <v>1</v>
      </c>
      <c r="O743" s="34">
        <v>30</v>
      </c>
      <c r="P743">
        <v>0</v>
      </c>
      <c r="Q743">
        <v>160</v>
      </c>
      <c r="R743" s="31">
        <v>0</v>
      </c>
      <c r="S743" s="30">
        <f>IFERROR(PROPERTIES[[#This Row],[TE_STARTING_KN]]/(PROPERTIES[[#This Row],[WEIGHT]]*9.81),0)</f>
        <v>0</v>
      </c>
      <c r="T743" s="30">
        <v>0.3</v>
      </c>
      <c r="U743" s="27">
        <f>ROUND(IF(IFERROR(PROPERTIES[[#This Row],[TE_COEFFICIENT_CALC]],0)=0,PROPERTIES[[#This Row],[TE_COEFFICIENT_MANUAL]],PROPERTIES[[#This Row],[TE_COEFFICIENT_CALC]]),3)</f>
        <v>0.3</v>
      </c>
      <c r="V743" s="6">
        <v>25</v>
      </c>
      <c r="W743" s="10">
        <v>0</v>
      </c>
      <c r="X743" s="10">
        <v>0</v>
      </c>
      <c r="Y743" s="10"/>
      <c r="Z743" t="str">
        <f>"RUNNING_COST_"&amp;IF(PROPERTIES[[#This Row],[ENGINE_CLASS]]="MAGLEV","ELECTRIC",PROPERTIES[[#This Row],[ENGINE_CLASS]])</f>
        <v>RUNNING_COST_DIESEL</v>
      </c>
      <c r="AA743" s="10" t="s">
        <v>1018</v>
      </c>
      <c r="AB743" s="10" t="s">
        <v>1019</v>
      </c>
      <c r="AC743" s="10" t="str">
        <f>SUBSTITUTE(SUBSTITUTE(PROPERTIES[[#This Row],[PURCHASECOST_VALUE]], "PURCHASECOST_", ""), "_VALUE", "")</f>
        <v>COACH</v>
      </c>
      <c r="AD743" s="2" t="b">
        <v>0</v>
      </c>
      <c r="AV743"/>
      <c r="AW743"/>
      <c r="AX743"/>
    </row>
    <row r="744" spans="1:50">
      <c r="A744" s="2" t="s">
        <v>789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35</v>
      </c>
      <c r="G744" t="s">
        <v>325</v>
      </c>
      <c r="H744">
        <v>150</v>
      </c>
      <c r="I744">
        <v>8</v>
      </c>
      <c r="J744">
        <v>8</v>
      </c>
      <c r="K744" s="2" t="s">
        <v>479</v>
      </c>
      <c r="L744">
        <v>16</v>
      </c>
      <c r="M744">
        <v>50</v>
      </c>
      <c r="N744">
        <v>1</v>
      </c>
      <c r="O744" s="34">
        <v>25</v>
      </c>
      <c r="P744">
        <v>0</v>
      </c>
      <c r="Q744">
        <v>120</v>
      </c>
      <c r="R744" s="31">
        <v>0</v>
      </c>
      <c r="S744" s="30">
        <f>IFERROR(PROPERTIES[[#This Row],[TE_STARTING_KN]]/(PROPERTIES[[#This Row],[WEIGHT]]*9.81),0)</f>
        <v>0</v>
      </c>
      <c r="T744" s="30">
        <v>0.3</v>
      </c>
      <c r="U744" s="27">
        <f>ROUND(IF(IFERROR(PROPERTIES[[#This Row],[TE_COEFFICIENT_CALC]],0)=0,PROPERTIES[[#This Row],[TE_COEFFICIENT_MANUAL]],PROPERTIES[[#This Row],[TE_COEFFICIENT_CALC]]),3)</f>
        <v>0.3</v>
      </c>
      <c r="V744" s="6">
        <v>25</v>
      </c>
      <c r="W744" s="10">
        <v>0</v>
      </c>
      <c r="X744" s="10">
        <v>0</v>
      </c>
      <c r="Y744" s="10"/>
      <c r="Z744" t="str">
        <f>"RUNNING_COST_"&amp;IF(PROPERTIES[[#This Row],[ENGINE_CLASS]]="MAGLEV","ELECTRIC",PROPERTIES[[#This Row],[ENGINE_CLASS]])</f>
        <v>RUNNING_COST_DIESEL</v>
      </c>
      <c r="AA744" s="10" t="s">
        <v>1018</v>
      </c>
      <c r="AB744" s="10" t="s">
        <v>1019</v>
      </c>
      <c r="AC744" s="10" t="str">
        <f>SUBSTITUTE(SUBSTITUTE(PROPERTIES[[#This Row],[PURCHASECOST_VALUE]], "PURCHASECOST_", ""), "_VALUE", "")</f>
        <v>COACH</v>
      </c>
      <c r="AD744" s="2" t="b">
        <v>0</v>
      </c>
      <c r="AV744"/>
      <c r="AW744"/>
      <c r="AX744"/>
    </row>
    <row r="745" spans="1:50">
      <c r="A745" s="2" t="s">
        <v>790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35</v>
      </c>
      <c r="G745" t="s">
        <v>673</v>
      </c>
      <c r="H745">
        <v>80</v>
      </c>
      <c r="I745">
        <v>8</v>
      </c>
      <c r="J745">
        <v>8</v>
      </c>
      <c r="K745" s="2" t="s">
        <v>674</v>
      </c>
      <c r="L745">
        <v>15</v>
      </c>
      <c r="M745">
        <v>50</v>
      </c>
      <c r="N745">
        <v>1</v>
      </c>
      <c r="O745" s="34">
        <v>24</v>
      </c>
      <c r="P745">
        <v>0</v>
      </c>
      <c r="Q745">
        <v>160</v>
      </c>
      <c r="R745" s="31">
        <v>0</v>
      </c>
      <c r="S745" s="30">
        <f>IFERROR(PROPERTIES[[#This Row],[TE_STARTING_KN]]/(PROPERTIES[[#This Row],[WEIGHT]]*9.81),0)</f>
        <v>0</v>
      </c>
      <c r="T745" s="30">
        <v>0.3</v>
      </c>
      <c r="U745" s="27">
        <f>ROUND(IF(IFERROR(PROPERTIES[[#This Row],[TE_COEFFICIENT_CALC]],0)=0,PROPERTIES[[#This Row],[TE_COEFFICIENT_MANUAL]],PROPERTIES[[#This Row],[TE_COEFFICIENT_CALC]]),3)</f>
        <v>0.3</v>
      </c>
      <c r="V745" s="6">
        <v>25</v>
      </c>
      <c r="W745" s="10">
        <v>0</v>
      </c>
      <c r="X745" s="10">
        <v>0</v>
      </c>
      <c r="Y745" s="10"/>
      <c r="Z745" t="str">
        <f>"RUNNING_COST_"&amp;IF(PROPERTIES[[#This Row],[ENGINE_CLASS]]="MAGLEV","ELECTRIC",PROPERTIES[[#This Row],[ENGINE_CLASS]])</f>
        <v>RUNNING_COST_DIESEL</v>
      </c>
      <c r="AA745" s="10" t="s">
        <v>1018</v>
      </c>
      <c r="AB745" s="10" t="s">
        <v>1019</v>
      </c>
      <c r="AC745" s="10" t="str">
        <f>SUBSTITUTE(SUBSTITUTE(PROPERTIES[[#This Row],[PURCHASECOST_VALUE]], "PURCHASECOST_", ""), "_VALUE", "")</f>
        <v>COACH</v>
      </c>
      <c r="AD745" s="2" t="b">
        <v>0</v>
      </c>
      <c r="AV745"/>
      <c r="AW745"/>
      <c r="AX745"/>
    </row>
    <row r="746" spans="1:50">
      <c r="A746" s="2" t="s">
        <v>791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35</v>
      </c>
      <c r="G746" t="s">
        <v>325</v>
      </c>
      <c r="H746">
        <v>170</v>
      </c>
      <c r="I746">
        <v>8</v>
      </c>
      <c r="J746">
        <v>8</v>
      </c>
      <c r="K746" s="2" t="s">
        <v>479</v>
      </c>
      <c r="L746">
        <v>16</v>
      </c>
      <c r="M746">
        <v>50</v>
      </c>
      <c r="N746">
        <v>1</v>
      </c>
      <c r="O746" s="34">
        <v>75</v>
      </c>
      <c r="P746">
        <v>0</v>
      </c>
      <c r="Q746">
        <v>130</v>
      </c>
      <c r="R746" s="31">
        <v>0</v>
      </c>
      <c r="S746" s="30">
        <f>IFERROR(PROPERTIES[[#This Row],[TE_STARTING_KN]]/(PROPERTIES[[#This Row],[WEIGHT]]*9.81),0)</f>
        <v>0</v>
      </c>
      <c r="T746" s="30">
        <v>0.3</v>
      </c>
      <c r="U746" s="27">
        <f>ROUND(IF(IFERROR(PROPERTIES[[#This Row],[TE_COEFFICIENT_CALC]],0)=0,PROPERTIES[[#This Row],[TE_COEFFICIENT_MANUAL]],PROPERTIES[[#This Row],[TE_COEFFICIENT_CALC]]),3)</f>
        <v>0.3</v>
      </c>
      <c r="V746" s="6">
        <v>25</v>
      </c>
      <c r="W746" s="10">
        <v>0</v>
      </c>
      <c r="X746" s="10">
        <v>0</v>
      </c>
      <c r="Y746" s="10"/>
      <c r="Z746" t="str">
        <f>"RUNNING_COST_"&amp;IF(PROPERTIES[[#This Row],[ENGINE_CLASS]]="MAGLEV","ELECTRIC",PROPERTIES[[#This Row],[ENGINE_CLASS]])</f>
        <v>RUNNING_COST_DIESEL</v>
      </c>
      <c r="AA746" s="10" t="s">
        <v>1018</v>
      </c>
      <c r="AB746" s="10" t="s">
        <v>1019</v>
      </c>
      <c r="AC746" s="10" t="str">
        <f>SUBSTITUTE(SUBSTITUTE(PROPERTIES[[#This Row],[PURCHASECOST_VALUE]], "PURCHASECOST_", ""), "_VALUE", "")</f>
        <v>COACH</v>
      </c>
      <c r="AD746" s="2" t="b">
        <v>0</v>
      </c>
      <c r="AV746"/>
      <c r="AW746"/>
      <c r="AX746"/>
    </row>
    <row r="747" spans="1:50">
      <c r="A747" s="2" t="s">
        <v>792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35</v>
      </c>
      <c r="G747" t="s">
        <v>325</v>
      </c>
      <c r="H747">
        <v>72</v>
      </c>
      <c r="I747">
        <v>7</v>
      </c>
      <c r="J747">
        <v>7</v>
      </c>
      <c r="K747" s="2" t="s">
        <v>479</v>
      </c>
      <c r="L747">
        <v>16</v>
      </c>
      <c r="M747">
        <v>50</v>
      </c>
      <c r="N747">
        <v>1</v>
      </c>
      <c r="O747" s="34">
        <v>35</v>
      </c>
      <c r="P747">
        <v>0</v>
      </c>
      <c r="Q747">
        <v>145</v>
      </c>
      <c r="R747" s="31">
        <v>0</v>
      </c>
      <c r="S747" s="30">
        <f>IFERROR(PROPERTIES[[#This Row],[TE_STARTING_KN]]/(PROPERTIES[[#This Row],[WEIGHT]]*9.81),0)</f>
        <v>0</v>
      </c>
      <c r="T747" s="30">
        <v>0.3</v>
      </c>
      <c r="U747" s="27">
        <f>ROUND(IF(IFERROR(PROPERTIES[[#This Row],[TE_COEFFICIENT_CALC]],0)=0,PROPERTIES[[#This Row],[TE_COEFFICIENT_MANUAL]],PROPERTIES[[#This Row],[TE_COEFFICIENT_CALC]]),3)</f>
        <v>0.3</v>
      </c>
      <c r="V747" s="6">
        <v>25</v>
      </c>
      <c r="W747" s="10">
        <v>0</v>
      </c>
      <c r="X747" s="10">
        <v>0</v>
      </c>
      <c r="Y747" s="10"/>
      <c r="Z747" t="str">
        <f>"RUNNING_COST_"&amp;IF(PROPERTIES[[#This Row],[ENGINE_CLASS]]="MAGLEV","ELECTRIC",PROPERTIES[[#This Row],[ENGINE_CLASS]])</f>
        <v>RUNNING_COST_DIESEL</v>
      </c>
      <c r="AA747" s="10" t="s">
        <v>1018</v>
      </c>
      <c r="AB747" s="10" t="s">
        <v>1019</v>
      </c>
      <c r="AC747" s="10" t="str">
        <f>SUBSTITUTE(SUBSTITUTE(PROPERTIES[[#This Row],[PURCHASECOST_VALUE]], "PURCHASECOST_", ""), "_VALUE", "")</f>
        <v>COACH</v>
      </c>
      <c r="AD747" s="2" t="b">
        <v>0</v>
      </c>
      <c r="AV747"/>
      <c r="AW747"/>
      <c r="AX747"/>
    </row>
    <row r="748" spans="1:50">
      <c r="A748" s="2" t="s">
        <v>793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35</v>
      </c>
      <c r="G748" t="s">
        <v>325</v>
      </c>
      <c r="H748">
        <v>150</v>
      </c>
      <c r="I748">
        <v>7</v>
      </c>
      <c r="J748">
        <v>7</v>
      </c>
      <c r="K748" s="2" t="s">
        <v>479</v>
      </c>
      <c r="L748">
        <v>16</v>
      </c>
      <c r="M748">
        <v>50</v>
      </c>
      <c r="N748">
        <v>1</v>
      </c>
      <c r="O748" s="34">
        <v>31</v>
      </c>
      <c r="P748">
        <v>0</v>
      </c>
      <c r="Q748">
        <v>120</v>
      </c>
      <c r="R748" s="31">
        <v>0</v>
      </c>
      <c r="S748" s="30">
        <f>IFERROR(PROPERTIES[[#This Row],[TE_STARTING_KN]]/(PROPERTIES[[#This Row],[WEIGHT]]*9.81),0)</f>
        <v>0</v>
      </c>
      <c r="T748" s="30">
        <v>0.3</v>
      </c>
      <c r="U748" s="27">
        <f>ROUND(IF(IFERROR(PROPERTIES[[#This Row],[TE_COEFFICIENT_CALC]],0)=0,PROPERTIES[[#This Row],[TE_COEFFICIENT_MANUAL]],PROPERTIES[[#This Row],[TE_COEFFICIENT_CALC]]),3)</f>
        <v>0.3</v>
      </c>
      <c r="V748" s="6">
        <v>25</v>
      </c>
      <c r="W748" s="10">
        <v>0</v>
      </c>
      <c r="X748" s="10">
        <v>0</v>
      </c>
      <c r="Y748" s="10"/>
      <c r="Z748" t="str">
        <f>"RUNNING_COST_"&amp;IF(PROPERTIES[[#This Row],[ENGINE_CLASS]]="MAGLEV","ELECTRIC",PROPERTIES[[#This Row],[ENGINE_CLASS]])</f>
        <v>RUNNING_COST_DIESEL</v>
      </c>
      <c r="AA748" s="10" t="s">
        <v>1018</v>
      </c>
      <c r="AB748" s="10" t="s">
        <v>1019</v>
      </c>
      <c r="AC748" s="10" t="str">
        <f>SUBSTITUTE(SUBSTITUTE(PROPERTIES[[#This Row],[PURCHASECOST_VALUE]], "PURCHASECOST_", ""), "_VALUE", "")</f>
        <v>COACH</v>
      </c>
      <c r="AD748" s="2" t="b">
        <v>0</v>
      </c>
      <c r="AV748"/>
      <c r="AW748"/>
      <c r="AX748"/>
    </row>
    <row r="749" spans="1:50">
      <c r="A749" s="2" t="s">
        <v>794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35</v>
      </c>
      <c r="G749" t="s">
        <v>673</v>
      </c>
      <c r="H749">
        <v>80</v>
      </c>
      <c r="I749">
        <v>7</v>
      </c>
      <c r="J749">
        <v>7</v>
      </c>
      <c r="K749" s="2" t="s">
        <v>674</v>
      </c>
      <c r="L749">
        <v>15</v>
      </c>
      <c r="M749">
        <v>50</v>
      </c>
      <c r="N749">
        <v>1</v>
      </c>
      <c r="O749" s="34">
        <v>34</v>
      </c>
      <c r="P749">
        <v>0</v>
      </c>
      <c r="Q749">
        <v>145</v>
      </c>
      <c r="R749" s="31">
        <v>0</v>
      </c>
      <c r="S749" s="30">
        <f>IFERROR(PROPERTIES[[#This Row],[TE_STARTING_KN]]/(PROPERTIES[[#This Row],[WEIGHT]]*9.81),0)</f>
        <v>0</v>
      </c>
      <c r="T749" s="30">
        <v>0.3</v>
      </c>
      <c r="U749" s="27">
        <f>ROUND(IF(IFERROR(PROPERTIES[[#This Row],[TE_COEFFICIENT_CALC]],0)=0,PROPERTIES[[#This Row],[TE_COEFFICIENT_MANUAL]],PROPERTIES[[#This Row],[TE_COEFFICIENT_CALC]]),3)</f>
        <v>0.3</v>
      </c>
      <c r="V749" s="6">
        <v>25</v>
      </c>
      <c r="W749" s="10">
        <v>0</v>
      </c>
      <c r="X749" s="10">
        <v>0</v>
      </c>
      <c r="Y749" s="10"/>
      <c r="Z749" t="str">
        <f>"RUNNING_COST_"&amp;IF(PROPERTIES[[#This Row],[ENGINE_CLASS]]="MAGLEV","ELECTRIC",PROPERTIES[[#This Row],[ENGINE_CLASS]])</f>
        <v>RUNNING_COST_DIESEL</v>
      </c>
      <c r="AA749" s="10" t="s">
        <v>1018</v>
      </c>
      <c r="AB749" s="10" t="s">
        <v>1019</v>
      </c>
      <c r="AC749" s="10" t="str">
        <f>SUBSTITUTE(SUBSTITUTE(PROPERTIES[[#This Row],[PURCHASECOST_VALUE]], "PURCHASECOST_", ""), "_VALUE", "")</f>
        <v>COACH</v>
      </c>
      <c r="AD749" s="2" t="b">
        <v>0</v>
      </c>
      <c r="AV749"/>
      <c r="AW749"/>
      <c r="AX749"/>
    </row>
    <row r="750" spans="1:50">
      <c r="A750" s="2" t="s">
        <v>795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35</v>
      </c>
      <c r="G750" t="s">
        <v>325</v>
      </c>
      <c r="H750">
        <v>72</v>
      </c>
      <c r="I750">
        <v>8</v>
      </c>
      <c r="J750">
        <v>8</v>
      </c>
      <c r="K750" s="2" t="s">
        <v>479</v>
      </c>
      <c r="L750">
        <v>16</v>
      </c>
      <c r="M750">
        <v>50</v>
      </c>
      <c r="N750">
        <v>1</v>
      </c>
      <c r="O750" s="34">
        <v>42</v>
      </c>
      <c r="P750">
        <v>0</v>
      </c>
      <c r="Q750">
        <v>160</v>
      </c>
      <c r="R750" s="31">
        <v>0</v>
      </c>
      <c r="S750" s="30">
        <f>IFERROR(PROPERTIES[[#This Row],[TE_STARTING_KN]]/(PROPERTIES[[#This Row],[WEIGHT]]*9.81),0)</f>
        <v>0</v>
      </c>
      <c r="T750" s="30">
        <v>0.3</v>
      </c>
      <c r="U750" s="27">
        <f>ROUND(IF(IFERROR(PROPERTIES[[#This Row],[TE_COEFFICIENT_CALC]],0)=0,PROPERTIES[[#This Row],[TE_COEFFICIENT_MANUAL]],PROPERTIES[[#This Row],[TE_COEFFICIENT_CALC]]),3)</f>
        <v>0.3</v>
      </c>
      <c r="V750" s="6">
        <v>25</v>
      </c>
      <c r="W750" s="10">
        <v>0</v>
      </c>
      <c r="X750" s="10">
        <v>0</v>
      </c>
      <c r="Y750" s="10"/>
      <c r="Z750" t="str">
        <f>"RUNNING_COST_"&amp;IF(PROPERTIES[[#This Row],[ENGINE_CLASS]]="MAGLEV","ELECTRIC",PROPERTIES[[#This Row],[ENGINE_CLASS]])</f>
        <v>RUNNING_COST_DIESEL</v>
      </c>
      <c r="AA750" s="10" t="s">
        <v>1018</v>
      </c>
      <c r="AB750" s="10" t="s">
        <v>1019</v>
      </c>
      <c r="AC750" s="10" t="str">
        <f>SUBSTITUTE(SUBSTITUTE(PROPERTIES[[#This Row],[PURCHASECOST_VALUE]], "PURCHASECOST_", ""), "_VALUE", "")</f>
        <v>COACH</v>
      </c>
      <c r="AD750" s="2" t="b">
        <v>0</v>
      </c>
      <c r="AV750"/>
      <c r="AW750"/>
      <c r="AX750"/>
    </row>
    <row r="751" spans="1:50">
      <c r="A751" s="2" t="s">
        <v>796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35</v>
      </c>
      <c r="G751" t="s">
        <v>325</v>
      </c>
      <c r="H751">
        <v>48</v>
      </c>
      <c r="I751">
        <v>8</v>
      </c>
      <c r="J751">
        <v>8</v>
      </c>
      <c r="K751" s="2" t="s">
        <v>479</v>
      </c>
      <c r="L751">
        <v>16</v>
      </c>
      <c r="M751">
        <v>50</v>
      </c>
      <c r="N751">
        <v>1</v>
      </c>
      <c r="O751" s="34">
        <v>48</v>
      </c>
      <c r="P751">
        <v>0</v>
      </c>
      <c r="Q751">
        <v>160</v>
      </c>
      <c r="R751" s="31">
        <v>0</v>
      </c>
      <c r="S751" s="30">
        <f>IFERROR(PROPERTIES[[#This Row],[TE_STARTING_KN]]/(PROPERTIES[[#This Row],[WEIGHT]]*9.81),0)</f>
        <v>0</v>
      </c>
      <c r="T751" s="30">
        <v>0.3</v>
      </c>
      <c r="U751" s="27">
        <f>ROUND(IF(IFERROR(PROPERTIES[[#This Row],[TE_COEFFICIENT_CALC]],0)=0,PROPERTIES[[#This Row],[TE_COEFFICIENT_MANUAL]],PROPERTIES[[#This Row],[TE_COEFFICIENT_CALC]]),3)</f>
        <v>0.3</v>
      </c>
      <c r="V751" s="6">
        <v>25</v>
      </c>
      <c r="W751" s="10">
        <v>0</v>
      </c>
      <c r="X751" s="10">
        <v>0</v>
      </c>
      <c r="Y751" s="10"/>
      <c r="Z751" t="str">
        <f>"RUNNING_COST_"&amp;IF(PROPERTIES[[#This Row],[ENGINE_CLASS]]="MAGLEV","ELECTRIC",PROPERTIES[[#This Row],[ENGINE_CLASS]])</f>
        <v>RUNNING_COST_DIESEL</v>
      </c>
      <c r="AA751" s="10" t="s">
        <v>1018</v>
      </c>
      <c r="AB751" s="10" t="s">
        <v>1019</v>
      </c>
      <c r="AC751" s="10" t="str">
        <f>SUBSTITUTE(SUBSTITUTE(PROPERTIES[[#This Row],[PURCHASECOST_VALUE]], "PURCHASECOST_", ""), "_VALUE", "")</f>
        <v>COACH</v>
      </c>
      <c r="AD751" s="2" t="b">
        <v>0</v>
      </c>
      <c r="AV751"/>
      <c r="AW751"/>
      <c r="AX751"/>
    </row>
    <row r="752" spans="1:50">
      <c r="A752" s="2" t="s">
        <v>797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35</v>
      </c>
      <c r="G752" t="s">
        <v>325</v>
      </c>
      <c r="H752">
        <v>175</v>
      </c>
      <c r="I752">
        <v>8</v>
      </c>
      <c r="J752">
        <v>8</v>
      </c>
      <c r="K752" s="2" t="s">
        <v>479</v>
      </c>
      <c r="L752">
        <v>16</v>
      </c>
      <c r="M752">
        <v>50</v>
      </c>
      <c r="N752">
        <v>1</v>
      </c>
      <c r="O752" s="34">
        <v>35</v>
      </c>
      <c r="P752">
        <v>0</v>
      </c>
      <c r="Q752">
        <v>140</v>
      </c>
      <c r="R752" s="31">
        <v>0</v>
      </c>
      <c r="S752" s="30">
        <f>IFERROR(PROPERTIES[[#This Row],[TE_STARTING_KN]]/(PROPERTIES[[#This Row],[WEIGHT]]*9.81),0)</f>
        <v>0</v>
      </c>
      <c r="T752" s="30">
        <v>0.3</v>
      </c>
      <c r="U752" s="27">
        <f>ROUND(IF(IFERROR(PROPERTIES[[#This Row],[TE_COEFFICIENT_CALC]],0)=0,PROPERTIES[[#This Row],[TE_COEFFICIENT_MANUAL]],PROPERTIES[[#This Row],[TE_COEFFICIENT_CALC]]),3)</f>
        <v>0.3</v>
      </c>
      <c r="V752" s="6">
        <v>25</v>
      </c>
      <c r="W752" s="10">
        <v>0</v>
      </c>
      <c r="X752" s="10">
        <v>0</v>
      </c>
      <c r="Y752" s="10"/>
      <c r="Z752" t="str">
        <f>"RUNNING_COST_"&amp;IF(PROPERTIES[[#This Row],[ENGINE_CLASS]]="MAGLEV","ELECTRIC",PROPERTIES[[#This Row],[ENGINE_CLASS]])</f>
        <v>RUNNING_COST_DIESEL</v>
      </c>
      <c r="AA752" s="10" t="s">
        <v>1018</v>
      </c>
      <c r="AB752" s="10" t="s">
        <v>1019</v>
      </c>
      <c r="AC752" s="10" t="str">
        <f>SUBSTITUTE(SUBSTITUTE(PROPERTIES[[#This Row],[PURCHASECOST_VALUE]], "PURCHASECOST_", ""), "_VALUE", "")</f>
        <v>COACH</v>
      </c>
      <c r="AD752" s="2" t="b">
        <v>0</v>
      </c>
      <c r="AV752"/>
      <c r="AW752"/>
      <c r="AX752"/>
    </row>
    <row r="753" spans="1:50">
      <c r="A753" s="2" t="s">
        <v>798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35</v>
      </c>
      <c r="G753" t="s">
        <v>325</v>
      </c>
      <c r="H753">
        <v>72</v>
      </c>
      <c r="I753">
        <v>7</v>
      </c>
      <c r="J753">
        <v>7</v>
      </c>
      <c r="K753" s="2" t="s">
        <v>24</v>
      </c>
      <c r="L753">
        <v>40</v>
      </c>
      <c r="M753">
        <v>50</v>
      </c>
      <c r="N753">
        <v>1</v>
      </c>
      <c r="O753" s="34">
        <v>30</v>
      </c>
      <c r="P753">
        <v>0</v>
      </c>
      <c r="Q753">
        <v>100</v>
      </c>
      <c r="R753" s="31">
        <v>0</v>
      </c>
      <c r="S753" s="30">
        <f>IFERROR(PROPERTIES[[#This Row],[TE_STARTING_KN]]/(PROPERTIES[[#This Row],[WEIGHT]]*9.81),0)</f>
        <v>0</v>
      </c>
      <c r="T753" s="30">
        <v>0.3</v>
      </c>
      <c r="U753" s="27">
        <f>ROUND(IF(IFERROR(PROPERTIES[[#This Row],[TE_COEFFICIENT_CALC]],0)=0,PROPERTIES[[#This Row],[TE_COEFFICIENT_MANUAL]],PROPERTIES[[#This Row],[TE_COEFFICIENT_CALC]]),3)</f>
        <v>0.3</v>
      </c>
      <c r="V753" s="6">
        <v>25</v>
      </c>
      <c r="W753" s="10">
        <v>0</v>
      </c>
      <c r="X753" s="10">
        <v>0</v>
      </c>
      <c r="Y753" s="10"/>
      <c r="Z753" t="str">
        <f>"RUNNING_COST_"&amp;IF(PROPERTIES[[#This Row],[ENGINE_CLASS]]="MAGLEV","ELECTRIC",PROPERTIES[[#This Row],[ENGINE_CLASS]])</f>
        <v>RUNNING_COST_DIESEL</v>
      </c>
      <c r="AA753" s="10" t="s">
        <v>1018</v>
      </c>
      <c r="AB753" s="10" t="s">
        <v>1019</v>
      </c>
      <c r="AC753" s="10" t="str">
        <f>SUBSTITUTE(SUBSTITUTE(PROPERTIES[[#This Row],[PURCHASECOST_VALUE]], "PURCHASECOST_", ""), "_VALUE", "")</f>
        <v>COACH</v>
      </c>
      <c r="AD753" s="2" t="b">
        <v>0</v>
      </c>
      <c r="AV753"/>
      <c r="AW753"/>
      <c r="AX753"/>
    </row>
    <row r="754" spans="1:50">
      <c r="A754" s="2" t="s">
        <v>799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35</v>
      </c>
      <c r="G754" t="s">
        <v>325</v>
      </c>
      <c r="H754">
        <v>150</v>
      </c>
      <c r="I754">
        <v>8</v>
      </c>
      <c r="J754">
        <v>8</v>
      </c>
      <c r="K754" s="2" t="s">
        <v>24</v>
      </c>
      <c r="L754">
        <v>40</v>
      </c>
      <c r="M754">
        <v>40</v>
      </c>
      <c r="N754">
        <v>1</v>
      </c>
      <c r="O754" s="34">
        <f>85/2</f>
        <v>42.5</v>
      </c>
      <c r="P754">
        <v>0</v>
      </c>
      <c r="Q754">
        <v>120</v>
      </c>
      <c r="R754" s="31">
        <v>0</v>
      </c>
      <c r="S754" s="30">
        <f>IFERROR(PROPERTIES[[#This Row],[TE_STARTING_KN]]/(PROPERTIES[[#This Row],[WEIGHT]]*9.81),0)</f>
        <v>0</v>
      </c>
      <c r="T754" s="30">
        <v>0.3</v>
      </c>
      <c r="U754" s="27">
        <f>ROUND(IF(IFERROR(PROPERTIES[[#This Row],[TE_COEFFICIENT_CALC]],0)=0,PROPERTIES[[#This Row],[TE_COEFFICIENT_MANUAL]],PROPERTIES[[#This Row],[TE_COEFFICIENT_CALC]]),3)</f>
        <v>0.3</v>
      </c>
      <c r="V754" s="6">
        <v>25</v>
      </c>
      <c r="W754" s="10">
        <v>0</v>
      </c>
      <c r="X754" s="10">
        <v>0</v>
      </c>
      <c r="Y754" s="10"/>
      <c r="Z754" t="str">
        <f>"RUNNING_COST_"&amp;IF(PROPERTIES[[#This Row],[ENGINE_CLASS]]="MAGLEV","ELECTRIC",PROPERTIES[[#This Row],[ENGINE_CLASS]])</f>
        <v>RUNNING_COST_DIESEL</v>
      </c>
      <c r="AA754" s="10" t="s">
        <v>1018</v>
      </c>
      <c r="AB754" s="10" t="s">
        <v>1019</v>
      </c>
      <c r="AC754" s="10" t="str">
        <f>SUBSTITUTE(SUBSTITUTE(PROPERTIES[[#This Row],[PURCHASECOST_VALUE]], "PURCHASECOST_", ""), "_VALUE", "")</f>
        <v>COACH</v>
      </c>
      <c r="AD754" s="2" t="b">
        <v>0</v>
      </c>
      <c r="AV754"/>
      <c r="AW754"/>
      <c r="AX754"/>
    </row>
    <row r="755" spans="1:50">
      <c r="A755" s="2" t="s">
        <v>800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35</v>
      </c>
      <c r="G755" t="s">
        <v>673</v>
      </c>
      <c r="H755">
        <v>120</v>
      </c>
      <c r="I755">
        <v>8</v>
      </c>
      <c r="J755">
        <v>8</v>
      </c>
      <c r="K755" s="2" t="s">
        <v>674</v>
      </c>
      <c r="L755">
        <v>15</v>
      </c>
      <c r="M755">
        <v>50</v>
      </c>
      <c r="N755">
        <v>1</v>
      </c>
      <c r="O755" s="34">
        <v>40</v>
      </c>
      <c r="P755">
        <v>0</v>
      </c>
      <c r="Q755">
        <v>160</v>
      </c>
      <c r="R755" s="31">
        <v>0</v>
      </c>
      <c r="S755" s="30">
        <f>IFERROR(PROPERTIES[[#This Row],[TE_STARTING_KN]]/(PROPERTIES[[#This Row],[WEIGHT]]*9.81),0)</f>
        <v>0</v>
      </c>
      <c r="T755" s="30">
        <v>0.3</v>
      </c>
      <c r="U755" s="27">
        <f>ROUND(IF(IFERROR(PROPERTIES[[#This Row],[TE_COEFFICIENT_CALC]],0)=0,PROPERTIES[[#This Row],[TE_COEFFICIENT_MANUAL]],PROPERTIES[[#This Row],[TE_COEFFICIENT_CALC]]),3)</f>
        <v>0.3</v>
      </c>
      <c r="V755" s="6">
        <v>25</v>
      </c>
      <c r="W755" s="10">
        <v>0</v>
      </c>
      <c r="X755" s="10">
        <v>0</v>
      </c>
      <c r="Y755" s="10"/>
      <c r="Z755" t="str">
        <f>"RUNNING_COST_"&amp;IF(PROPERTIES[[#This Row],[ENGINE_CLASS]]="MAGLEV","ELECTRIC",PROPERTIES[[#This Row],[ENGINE_CLASS]])</f>
        <v>RUNNING_COST_DIESEL</v>
      </c>
      <c r="AA755" s="10" t="s">
        <v>1018</v>
      </c>
      <c r="AB755" s="10" t="s">
        <v>1019</v>
      </c>
      <c r="AC755" s="10" t="str">
        <f>SUBSTITUTE(SUBSTITUTE(PROPERTIES[[#This Row],[PURCHASECOST_VALUE]], "PURCHASECOST_", ""), "_VALUE", "")</f>
        <v>COACH</v>
      </c>
      <c r="AD755" s="2" t="b">
        <v>0</v>
      </c>
      <c r="AV755"/>
      <c r="AW755"/>
      <c r="AX755"/>
    </row>
    <row r="756" spans="1:50">
      <c r="A756" s="2" t="s">
        <v>801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35</v>
      </c>
      <c r="G756" t="s">
        <v>325</v>
      </c>
      <c r="H756">
        <v>108</v>
      </c>
      <c r="I756">
        <v>8</v>
      </c>
      <c r="J756">
        <v>8</v>
      </c>
      <c r="K756" s="2" t="s">
        <v>479</v>
      </c>
      <c r="L756">
        <v>16</v>
      </c>
      <c r="M756">
        <v>60</v>
      </c>
      <c r="N756">
        <v>1</v>
      </c>
      <c r="O756" s="34">
        <v>42</v>
      </c>
      <c r="P756">
        <v>0</v>
      </c>
      <c r="Q756">
        <v>130</v>
      </c>
      <c r="R756" s="31">
        <v>0</v>
      </c>
      <c r="S756" s="30">
        <f>IFERROR(PROPERTIES[[#This Row],[TE_STARTING_KN]]/(PROPERTIES[[#This Row],[WEIGHT]]*9.81),0)</f>
        <v>0</v>
      </c>
      <c r="T756" s="30">
        <v>0.3</v>
      </c>
      <c r="U756" s="27">
        <f>ROUND(IF(IFERROR(PROPERTIES[[#This Row],[TE_COEFFICIENT_CALC]],0)=0,PROPERTIES[[#This Row],[TE_COEFFICIENT_MANUAL]],PROPERTIES[[#This Row],[TE_COEFFICIENT_CALC]]),3)</f>
        <v>0.3</v>
      </c>
      <c r="V756" s="6">
        <v>25</v>
      </c>
      <c r="W756" s="10">
        <v>0</v>
      </c>
      <c r="X756" s="10">
        <v>0</v>
      </c>
      <c r="Y756" s="10"/>
      <c r="Z756" t="str">
        <f>"RUNNING_COST_"&amp;IF(PROPERTIES[[#This Row],[ENGINE_CLASS]]="MAGLEV","ELECTRIC",PROPERTIES[[#This Row],[ENGINE_CLASS]])</f>
        <v>RUNNING_COST_DIESEL</v>
      </c>
      <c r="AA756" s="10" t="s">
        <v>1018</v>
      </c>
      <c r="AB756" s="10" t="s">
        <v>1019</v>
      </c>
      <c r="AC756" s="10" t="str">
        <f>SUBSTITUTE(SUBSTITUTE(PROPERTIES[[#This Row],[PURCHASECOST_VALUE]], "PURCHASECOST_", ""), "_VALUE", "")</f>
        <v>COACH</v>
      </c>
      <c r="AD756" s="2" t="b">
        <v>0</v>
      </c>
      <c r="AV756"/>
      <c r="AW756"/>
      <c r="AX756"/>
    </row>
    <row r="757" spans="1:50">
      <c r="A757" s="2" t="s">
        <v>802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35</v>
      </c>
      <c r="G757" t="s">
        <v>325</v>
      </c>
      <c r="H757">
        <v>210</v>
      </c>
      <c r="I757">
        <v>8</v>
      </c>
      <c r="J757">
        <v>8</v>
      </c>
      <c r="K757" s="2" t="s">
        <v>24</v>
      </c>
      <c r="L757">
        <v>40</v>
      </c>
      <c r="M757">
        <v>60</v>
      </c>
      <c r="N757">
        <v>1</v>
      </c>
      <c r="O757" s="34">
        <v>39</v>
      </c>
      <c r="P757">
        <v>0</v>
      </c>
      <c r="Q757">
        <v>110</v>
      </c>
      <c r="R757" s="31">
        <v>0</v>
      </c>
      <c r="S757" s="30">
        <f>IFERROR(PROPERTIES[[#This Row],[TE_STARTING_KN]]/(PROPERTIES[[#This Row],[WEIGHT]]*9.81),0)</f>
        <v>0</v>
      </c>
      <c r="T757" s="30">
        <v>0.3</v>
      </c>
      <c r="U757" s="27">
        <f>ROUND(IF(IFERROR(PROPERTIES[[#This Row],[TE_COEFFICIENT_CALC]],0)=0,PROPERTIES[[#This Row],[TE_COEFFICIENT_MANUAL]],PROPERTIES[[#This Row],[TE_COEFFICIENT_CALC]]),3)</f>
        <v>0.3</v>
      </c>
      <c r="V757" s="6">
        <v>25</v>
      </c>
      <c r="W757" s="10">
        <v>0</v>
      </c>
      <c r="X757" s="10">
        <v>0</v>
      </c>
      <c r="Y757" s="10"/>
      <c r="Z757" t="str">
        <f>"RUNNING_COST_"&amp;IF(PROPERTIES[[#This Row],[ENGINE_CLASS]]="MAGLEV","ELECTRIC",PROPERTIES[[#This Row],[ENGINE_CLASS]])</f>
        <v>RUNNING_COST_DIESEL</v>
      </c>
      <c r="AA757" s="10" t="s">
        <v>1018</v>
      </c>
      <c r="AB757" s="10" t="s">
        <v>1019</v>
      </c>
      <c r="AC757" s="10" t="str">
        <f>SUBSTITUTE(SUBSTITUTE(PROPERTIES[[#This Row],[PURCHASECOST_VALUE]], "PURCHASECOST_", ""), "_VALUE", "")</f>
        <v>COACH</v>
      </c>
      <c r="AD757" s="2" t="b">
        <v>0</v>
      </c>
      <c r="AV757"/>
      <c r="AW757"/>
      <c r="AX757"/>
    </row>
    <row r="758" spans="1:50">
      <c r="A758" s="2" t="s">
        <v>803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35</v>
      </c>
      <c r="G758" t="s">
        <v>325</v>
      </c>
      <c r="H758">
        <v>140</v>
      </c>
      <c r="I758">
        <v>8</v>
      </c>
      <c r="J758">
        <v>8</v>
      </c>
      <c r="K758" s="2" t="s">
        <v>479</v>
      </c>
      <c r="L758">
        <v>16</v>
      </c>
      <c r="M758">
        <v>60</v>
      </c>
      <c r="N758">
        <v>1</v>
      </c>
      <c r="O758" s="34">
        <v>37.5</v>
      </c>
      <c r="P758">
        <v>0</v>
      </c>
      <c r="Q758">
        <v>110</v>
      </c>
      <c r="R758" s="31">
        <v>0</v>
      </c>
      <c r="S758" s="30">
        <f>IFERROR(PROPERTIES[[#This Row],[TE_STARTING_KN]]/(PROPERTIES[[#This Row],[WEIGHT]]*9.81),0)</f>
        <v>0</v>
      </c>
      <c r="T758" s="30">
        <v>0.3</v>
      </c>
      <c r="U758" s="27">
        <f>ROUND(IF(IFERROR(PROPERTIES[[#This Row],[TE_COEFFICIENT_CALC]],0)=0,PROPERTIES[[#This Row],[TE_COEFFICIENT_MANUAL]],PROPERTIES[[#This Row],[TE_COEFFICIENT_CALC]]),3)</f>
        <v>0.3</v>
      </c>
      <c r="V758" s="6">
        <v>25</v>
      </c>
      <c r="W758" s="10">
        <v>0</v>
      </c>
      <c r="X758" s="10">
        <v>0</v>
      </c>
      <c r="Y758" s="10"/>
      <c r="Z758" t="str">
        <f>"RUNNING_COST_"&amp;IF(PROPERTIES[[#This Row],[ENGINE_CLASS]]="MAGLEV","ELECTRIC",PROPERTIES[[#This Row],[ENGINE_CLASS]])</f>
        <v>RUNNING_COST_DIESEL</v>
      </c>
      <c r="AA758" s="10" t="s">
        <v>1018</v>
      </c>
      <c r="AB758" s="10" t="s">
        <v>1019</v>
      </c>
      <c r="AC758" s="10" t="str">
        <f>SUBSTITUTE(SUBSTITUTE(PROPERTIES[[#This Row],[PURCHASECOST_VALUE]], "PURCHASECOST_", ""), "_VALUE", "")</f>
        <v>COACH</v>
      </c>
      <c r="AD758" s="2" t="b">
        <v>0</v>
      </c>
      <c r="AV758"/>
      <c r="AW758"/>
      <c r="AX758"/>
    </row>
    <row r="759" spans="1:50">
      <c r="A759" s="2" t="s">
        <v>804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35</v>
      </c>
      <c r="G759" t="s">
        <v>673</v>
      </c>
      <c r="H759">
        <v>100</v>
      </c>
      <c r="I759">
        <v>8</v>
      </c>
      <c r="J759">
        <v>8</v>
      </c>
      <c r="K759" s="2" t="s">
        <v>674</v>
      </c>
      <c r="L759">
        <v>15</v>
      </c>
      <c r="M759">
        <v>60</v>
      </c>
      <c r="N759">
        <v>1</v>
      </c>
      <c r="O759" s="34">
        <v>38</v>
      </c>
      <c r="P759">
        <v>0</v>
      </c>
      <c r="Q759">
        <v>110</v>
      </c>
      <c r="R759" s="31">
        <v>0</v>
      </c>
      <c r="S759" s="30">
        <f>IFERROR(PROPERTIES[[#This Row],[TE_STARTING_KN]]/(PROPERTIES[[#This Row],[WEIGHT]]*9.81),0)</f>
        <v>0</v>
      </c>
      <c r="T759" s="30">
        <v>0.3</v>
      </c>
      <c r="U759" s="27">
        <f>ROUND(IF(IFERROR(PROPERTIES[[#This Row],[TE_COEFFICIENT_CALC]],0)=0,PROPERTIES[[#This Row],[TE_COEFFICIENT_MANUAL]],PROPERTIES[[#This Row],[TE_COEFFICIENT_CALC]]),3)</f>
        <v>0.3</v>
      </c>
      <c r="V759" s="6">
        <v>25</v>
      </c>
      <c r="W759" s="10">
        <v>0</v>
      </c>
      <c r="X759" s="10">
        <v>0</v>
      </c>
      <c r="Y759" s="10"/>
      <c r="Z759" t="str">
        <f>"RUNNING_COST_"&amp;IF(PROPERTIES[[#This Row],[ENGINE_CLASS]]="MAGLEV","ELECTRIC",PROPERTIES[[#This Row],[ENGINE_CLASS]])</f>
        <v>RUNNING_COST_DIESEL</v>
      </c>
      <c r="AA759" s="10" t="s">
        <v>1018</v>
      </c>
      <c r="AB759" s="10" t="s">
        <v>1019</v>
      </c>
      <c r="AC759" s="10" t="str">
        <f>SUBSTITUTE(SUBSTITUTE(PROPERTIES[[#This Row],[PURCHASECOST_VALUE]], "PURCHASECOST_", ""), "_VALUE", "")</f>
        <v>COACH</v>
      </c>
      <c r="AD759" s="2" t="b">
        <v>0</v>
      </c>
      <c r="AV759"/>
      <c r="AW759"/>
      <c r="AX759"/>
    </row>
    <row r="760" spans="1:50">
      <c r="A760" s="2" t="s">
        <v>805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35</v>
      </c>
      <c r="G760" t="s">
        <v>325</v>
      </c>
      <c r="H760">
        <v>66</v>
      </c>
      <c r="I760">
        <v>8</v>
      </c>
      <c r="J760">
        <v>8</v>
      </c>
      <c r="K760" s="2" t="s">
        <v>479</v>
      </c>
      <c r="L760">
        <v>16</v>
      </c>
      <c r="M760">
        <v>50</v>
      </c>
      <c r="N760">
        <v>1</v>
      </c>
      <c r="O760" s="34">
        <v>42</v>
      </c>
      <c r="P760">
        <v>0</v>
      </c>
      <c r="Q760">
        <v>200</v>
      </c>
      <c r="R760" s="31">
        <v>0</v>
      </c>
      <c r="S760" s="30">
        <f>IFERROR(PROPERTIES[[#This Row],[TE_STARTING_KN]]/(PROPERTIES[[#This Row],[WEIGHT]]*9.81),0)</f>
        <v>0</v>
      </c>
      <c r="T760" s="30">
        <v>0.3</v>
      </c>
      <c r="U760" s="27">
        <f>ROUND(IF(IFERROR(PROPERTIES[[#This Row],[TE_COEFFICIENT_CALC]],0)=0,PROPERTIES[[#This Row],[TE_COEFFICIENT_MANUAL]],PROPERTIES[[#This Row],[TE_COEFFICIENT_CALC]]),3)</f>
        <v>0.3</v>
      </c>
      <c r="V760" s="6">
        <v>25</v>
      </c>
      <c r="W760" s="10">
        <v>0</v>
      </c>
      <c r="X760" s="10">
        <v>0</v>
      </c>
      <c r="Y760" s="10"/>
      <c r="Z760" t="str">
        <f>"RUNNING_COST_"&amp;IF(PROPERTIES[[#This Row],[ENGINE_CLASS]]="MAGLEV","ELECTRIC",PROPERTIES[[#This Row],[ENGINE_CLASS]])</f>
        <v>RUNNING_COST_DIESEL</v>
      </c>
      <c r="AA760" s="10" t="s">
        <v>1018</v>
      </c>
      <c r="AB760" s="10" t="s">
        <v>1019</v>
      </c>
      <c r="AC760" s="10" t="str">
        <f>SUBSTITUTE(SUBSTITUTE(PROPERTIES[[#This Row],[PURCHASECOST_VALUE]], "PURCHASECOST_", ""), "_VALUE", "")</f>
        <v>COACH</v>
      </c>
      <c r="AD760" s="2" t="b">
        <v>0</v>
      </c>
      <c r="AV760"/>
      <c r="AW760"/>
      <c r="AX760"/>
    </row>
    <row r="761" spans="1:50">
      <c r="A761" s="2" t="s">
        <v>806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35</v>
      </c>
      <c r="G761" t="s">
        <v>325</v>
      </c>
      <c r="H761">
        <v>78</v>
      </c>
      <c r="I761">
        <v>8</v>
      </c>
      <c r="J761">
        <v>8</v>
      </c>
      <c r="K761" s="2" t="s">
        <v>479</v>
      </c>
      <c r="L761">
        <v>16</v>
      </c>
      <c r="M761">
        <v>50</v>
      </c>
      <c r="N761">
        <v>1</v>
      </c>
      <c r="O761" s="34">
        <v>40</v>
      </c>
      <c r="P761">
        <v>0</v>
      </c>
      <c r="Q761">
        <v>200</v>
      </c>
      <c r="R761" s="31">
        <v>0</v>
      </c>
      <c r="S761" s="30">
        <f>IFERROR(PROPERTIES[[#This Row],[TE_STARTING_KN]]/(PROPERTIES[[#This Row],[WEIGHT]]*9.81),0)</f>
        <v>0</v>
      </c>
      <c r="T761" s="30">
        <v>0.3</v>
      </c>
      <c r="U761" s="27">
        <f>ROUND(IF(IFERROR(PROPERTIES[[#This Row],[TE_COEFFICIENT_CALC]],0)=0,PROPERTIES[[#This Row],[TE_COEFFICIENT_MANUAL]],PROPERTIES[[#This Row],[TE_COEFFICIENT_CALC]]),3)</f>
        <v>0.3</v>
      </c>
      <c r="V761" s="6">
        <v>25</v>
      </c>
      <c r="W761" s="10">
        <v>0</v>
      </c>
      <c r="X761" s="10">
        <v>0</v>
      </c>
      <c r="Y761" s="10"/>
      <c r="Z761" t="str">
        <f>"RUNNING_COST_"&amp;IF(PROPERTIES[[#This Row],[ENGINE_CLASS]]="MAGLEV","ELECTRIC",PROPERTIES[[#This Row],[ENGINE_CLASS]])</f>
        <v>RUNNING_COST_DIESEL</v>
      </c>
      <c r="AA761" s="10" t="s">
        <v>1018</v>
      </c>
      <c r="AB761" s="10" t="s">
        <v>1019</v>
      </c>
      <c r="AC761" s="10" t="str">
        <f>SUBSTITUTE(SUBSTITUTE(PROPERTIES[[#This Row],[PURCHASECOST_VALUE]], "PURCHASECOST_", ""), "_VALUE", "")</f>
        <v>COACH</v>
      </c>
      <c r="AD761" s="2" t="b">
        <v>0</v>
      </c>
      <c r="AV761"/>
      <c r="AW761"/>
      <c r="AX761"/>
    </row>
    <row r="762" spans="1:50">
      <c r="A762" s="2" t="s">
        <v>807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35</v>
      </c>
      <c r="G762" t="s">
        <v>325</v>
      </c>
      <c r="H762">
        <v>190</v>
      </c>
      <c r="I762">
        <v>8</v>
      </c>
      <c r="J762">
        <v>8</v>
      </c>
      <c r="K762" s="2" t="s">
        <v>24</v>
      </c>
      <c r="L762">
        <v>40</v>
      </c>
      <c r="M762">
        <v>50</v>
      </c>
      <c r="N762">
        <v>1</v>
      </c>
      <c r="O762" s="34">
        <v>31</v>
      </c>
      <c r="P762">
        <v>0</v>
      </c>
      <c r="Q762">
        <v>140</v>
      </c>
      <c r="R762" s="31">
        <v>0</v>
      </c>
      <c r="S762" s="30">
        <f>IFERROR(PROPERTIES[[#This Row],[TE_STARTING_KN]]/(PROPERTIES[[#This Row],[WEIGHT]]*9.81),0)</f>
        <v>0</v>
      </c>
      <c r="T762" s="30">
        <v>0.3</v>
      </c>
      <c r="U762" s="27">
        <f>ROUND(IF(IFERROR(PROPERTIES[[#This Row],[TE_COEFFICIENT_CALC]],0)=0,PROPERTIES[[#This Row],[TE_COEFFICIENT_MANUAL]],PROPERTIES[[#This Row],[TE_COEFFICIENT_CALC]]),3)</f>
        <v>0.3</v>
      </c>
      <c r="V762" s="6">
        <v>25</v>
      </c>
      <c r="W762" s="10">
        <v>0</v>
      </c>
      <c r="X762" s="10">
        <v>0</v>
      </c>
      <c r="Y762" s="10"/>
      <c r="Z762" t="str">
        <f>"RUNNING_COST_"&amp;IF(PROPERTIES[[#This Row],[ENGINE_CLASS]]="MAGLEV","ELECTRIC",PROPERTIES[[#This Row],[ENGINE_CLASS]])</f>
        <v>RUNNING_COST_DIESEL</v>
      </c>
      <c r="AA762" s="10" t="s">
        <v>1018</v>
      </c>
      <c r="AB762" s="10" t="s">
        <v>1019</v>
      </c>
      <c r="AC762" s="10" t="str">
        <f>SUBSTITUTE(SUBSTITUTE(PROPERTIES[[#This Row],[PURCHASECOST_VALUE]], "PURCHASECOST_", ""), "_VALUE", "")</f>
        <v>COACH</v>
      </c>
      <c r="AD762" s="2" t="b">
        <v>0</v>
      </c>
      <c r="AV762"/>
      <c r="AW762"/>
      <c r="AX762"/>
    </row>
    <row r="763" spans="1:50">
      <c r="A763" s="2" t="s">
        <v>808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35</v>
      </c>
      <c r="G763" t="s">
        <v>673</v>
      </c>
      <c r="H763">
        <v>130</v>
      </c>
      <c r="I763">
        <v>8</v>
      </c>
      <c r="J763">
        <v>8</v>
      </c>
      <c r="K763" s="2" t="s">
        <v>674</v>
      </c>
      <c r="L763">
        <v>15</v>
      </c>
      <c r="M763">
        <v>50</v>
      </c>
      <c r="N763">
        <v>1</v>
      </c>
      <c r="O763" s="34">
        <v>40</v>
      </c>
      <c r="P763">
        <v>0</v>
      </c>
      <c r="Q763">
        <v>200</v>
      </c>
      <c r="R763" s="31">
        <v>0</v>
      </c>
      <c r="S763" s="30">
        <f>IFERROR(PROPERTIES[[#This Row],[TE_STARTING_KN]]/(PROPERTIES[[#This Row],[WEIGHT]]*9.81),0)</f>
        <v>0</v>
      </c>
      <c r="T763" s="30">
        <v>0.3</v>
      </c>
      <c r="U763" s="27">
        <f>ROUND(IF(IFERROR(PROPERTIES[[#This Row],[TE_COEFFICIENT_CALC]],0)=0,PROPERTIES[[#This Row],[TE_COEFFICIENT_MANUAL]],PROPERTIES[[#This Row],[TE_COEFFICIENT_CALC]]),3)</f>
        <v>0.3</v>
      </c>
      <c r="V763" s="6">
        <v>25</v>
      </c>
      <c r="W763" s="10">
        <v>0</v>
      </c>
      <c r="X763" s="10">
        <v>0</v>
      </c>
      <c r="Y763" s="10"/>
      <c r="Z763" t="str">
        <f>"RUNNING_COST_"&amp;IF(PROPERTIES[[#This Row],[ENGINE_CLASS]]="MAGLEV","ELECTRIC",PROPERTIES[[#This Row],[ENGINE_CLASS]])</f>
        <v>RUNNING_COST_DIESEL</v>
      </c>
      <c r="AA763" s="10" t="s">
        <v>1018</v>
      </c>
      <c r="AB763" s="10" t="s">
        <v>1019</v>
      </c>
      <c r="AC763" s="10" t="str">
        <f>SUBSTITUTE(SUBSTITUTE(PROPERTIES[[#This Row],[PURCHASECOST_VALUE]], "PURCHASECOST_", ""), "_VALUE", "")</f>
        <v>COACH</v>
      </c>
      <c r="AD763" s="2" t="b">
        <v>0</v>
      </c>
      <c r="AV763"/>
      <c r="AW763"/>
      <c r="AX763"/>
    </row>
    <row r="764" spans="1:50">
      <c r="A764" s="2" t="s">
        <v>809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35</v>
      </c>
      <c r="G764" t="s">
        <v>325</v>
      </c>
      <c r="H764">
        <v>170</v>
      </c>
      <c r="I764">
        <v>8</v>
      </c>
      <c r="J764">
        <v>8</v>
      </c>
      <c r="K764" s="2" t="s">
        <v>479</v>
      </c>
      <c r="L764">
        <v>16</v>
      </c>
      <c r="M764">
        <v>50</v>
      </c>
      <c r="N764">
        <v>1</v>
      </c>
      <c r="O764" s="34">
        <v>50</v>
      </c>
      <c r="P764">
        <v>0</v>
      </c>
      <c r="Q764">
        <v>140</v>
      </c>
      <c r="R764" s="31">
        <v>0</v>
      </c>
      <c r="S764" s="30">
        <f>IFERROR(PROPERTIES[[#This Row],[TE_STARTING_KN]]/(PROPERTIES[[#This Row],[WEIGHT]]*9.81),0)</f>
        <v>0</v>
      </c>
      <c r="T764" s="30">
        <v>0.3</v>
      </c>
      <c r="U764" s="27">
        <f>ROUND(IF(IFERROR(PROPERTIES[[#This Row],[TE_COEFFICIENT_CALC]],0)=0,PROPERTIES[[#This Row],[TE_COEFFICIENT_MANUAL]],PROPERTIES[[#This Row],[TE_COEFFICIENT_CALC]]),3)</f>
        <v>0.3</v>
      </c>
      <c r="V764" s="6">
        <v>25</v>
      </c>
      <c r="W764" s="10">
        <v>0</v>
      </c>
      <c r="X764" s="10">
        <v>0</v>
      </c>
      <c r="Y764" s="10"/>
      <c r="Z764" t="str">
        <f>"RUNNING_COST_"&amp;IF(PROPERTIES[[#This Row],[ENGINE_CLASS]]="MAGLEV","ELECTRIC",PROPERTIES[[#This Row],[ENGINE_CLASS]])</f>
        <v>RUNNING_COST_DIESEL</v>
      </c>
      <c r="AA764" s="10" t="s">
        <v>1018</v>
      </c>
      <c r="AB764" s="10" t="s">
        <v>1019</v>
      </c>
      <c r="AC764" s="10" t="str">
        <f>SUBSTITUTE(SUBSTITUTE(PROPERTIES[[#This Row],[PURCHASECOST_VALUE]], "PURCHASECOST_", ""), "_VALUE", "")</f>
        <v>COACH</v>
      </c>
      <c r="AD764" s="2" t="b">
        <v>0</v>
      </c>
      <c r="AV764"/>
      <c r="AW764"/>
      <c r="AX764"/>
    </row>
    <row r="765" spans="1:50">
      <c r="A765" s="2" t="s">
        <v>810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35</v>
      </c>
      <c r="G765" t="s">
        <v>325</v>
      </c>
      <c r="H765">
        <v>54</v>
      </c>
      <c r="I765">
        <v>8</v>
      </c>
      <c r="J765">
        <v>8</v>
      </c>
      <c r="K765" s="2" t="s">
        <v>479</v>
      </c>
      <c r="L765">
        <v>16</v>
      </c>
      <c r="M765">
        <v>50</v>
      </c>
      <c r="N765">
        <v>1</v>
      </c>
      <c r="O765" s="34">
        <v>58</v>
      </c>
      <c r="P765">
        <v>0</v>
      </c>
      <c r="Q765">
        <v>120</v>
      </c>
      <c r="R765" s="31">
        <v>0</v>
      </c>
      <c r="S765" s="30">
        <f>IFERROR(PROPERTIES[[#This Row],[TE_STARTING_KN]]/(PROPERTIES[[#This Row],[WEIGHT]]*9.81),0)</f>
        <v>0</v>
      </c>
      <c r="T765" s="30">
        <v>0.3</v>
      </c>
      <c r="U765" s="27">
        <f>ROUND(IF(IFERROR(PROPERTIES[[#This Row],[TE_COEFFICIENT_CALC]],0)=0,PROPERTIES[[#This Row],[TE_COEFFICIENT_MANUAL]],PROPERTIES[[#This Row],[TE_COEFFICIENT_CALC]]),3)</f>
        <v>0.3</v>
      </c>
      <c r="V765" s="6">
        <v>25</v>
      </c>
      <c r="W765" s="10">
        <v>0</v>
      </c>
      <c r="X765" s="10">
        <v>0</v>
      </c>
      <c r="Y765" s="10"/>
      <c r="Z765" t="str">
        <f>"RUNNING_COST_"&amp;IF(PROPERTIES[[#This Row],[ENGINE_CLASS]]="MAGLEV","ELECTRIC",PROPERTIES[[#This Row],[ENGINE_CLASS]])</f>
        <v>RUNNING_COST_DIESEL</v>
      </c>
      <c r="AA765" s="10" t="s">
        <v>1018</v>
      </c>
      <c r="AB765" s="10" t="s">
        <v>1019</v>
      </c>
      <c r="AC765" s="10" t="str">
        <f>SUBSTITUTE(SUBSTITUTE(PROPERTIES[[#This Row],[PURCHASECOST_VALUE]], "PURCHASECOST_", ""), "_VALUE", "")</f>
        <v>COACH</v>
      </c>
      <c r="AD765" s="2" t="b">
        <v>0</v>
      </c>
      <c r="AV765"/>
      <c r="AW765"/>
      <c r="AX765"/>
    </row>
    <row r="766" spans="1:50">
      <c r="A766" s="2" t="s">
        <v>811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35</v>
      </c>
      <c r="G766" t="s">
        <v>325</v>
      </c>
      <c r="H766">
        <v>220</v>
      </c>
      <c r="I766">
        <v>8</v>
      </c>
      <c r="J766">
        <v>8</v>
      </c>
      <c r="K766" s="2" t="s">
        <v>479</v>
      </c>
      <c r="L766">
        <v>16</v>
      </c>
      <c r="M766">
        <v>50</v>
      </c>
      <c r="N766">
        <v>1</v>
      </c>
      <c r="O766" s="34">
        <v>45</v>
      </c>
      <c r="P766">
        <v>0</v>
      </c>
      <c r="Q766">
        <v>130</v>
      </c>
      <c r="R766" s="31">
        <v>0</v>
      </c>
      <c r="S766" s="30">
        <f>IFERROR(PROPERTIES[[#This Row],[TE_STARTING_KN]]/(PROPERTIES[[#This Row],[WEIGHT]]*9.81),0)</f>
        <v>0</v>
      </c>
      <c r="T766" s="30">
        <v>0.3</v>
      </c>
      <c r="U766" s="27">
        <f>ROUND(IF(IFERROR(PROPERTIES[[#This Row],[TE_COEFFICIENT_CALC]],0)=0,PROPERTIES[[#This Row],[TE_COEFFICIENT_MANUAL]],PROPERTIES[[#This Row],[TE_COEFFICIENT_CALC]]),3)</f>
        <v>0.3</v>
      </c>
      <c r="V766" s="6">
        <v>25</v>
      </c>
      <c r="W766" s="10">
        <v>0</v>
      </c>
      <c r="X766" s="10">
        <v>0</v>
      </c>
      <c r="Y766" s="10"/>
      <c r="Z766" t="str">
        <f>"RUNNING_COST_"&amp;IF(PROPERTIES[[#This Row],[ENGINE_CLASS]]="MAGLEV","ELECTRIC",PROPERTIES[[#This Row],[ENGINE_CLASS]])</f>
        <v>RUNNING_COST_DIESEL</v>
      </c>
      <c r="AA766" s="10" t="s">
        <v>1018</v>
      </c>
      <c r="AB766" s="10" t="s">
        <v>1019</v>
      </c>
      <c r="AC766" s="10" t="str">
        <f>SUBSTITUTE(SUBSTITUTE(PROPERTIES[[#This Row],[PURCHASECOST_VALUE]], "PURCHASECOST_", ""), "_VALUE", "")</f>
        <v>COACH</v>
      </c>
      <c r="AD766" s="2" t="b">
        <v>0</v>
      </c>
      <c r="AV766"/>
      <c r="AW766"/>
      <c r="AX766"/>
    </row>
    <row r="767" spans="1:50">
      <c r="A767" s="2" t="s">
        <v>812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35</v>
      </c>
      <c r="G767" t="s">
        <v>673</v>
      </c>
      <c r="H767">
        <v>150</v>
      </c>
      <c r="I767">
        <v>8</v>
      </c>
      <c r="J767">
        <v>8</v>
      </c>
      <c r="K767" s="2" t="s">
        <v>674</v>
      </c>
      <c r="L767">
        <v>15</v>
      </c>
      <c r="M767">
        <v>50</v>
      </c>
      <c r="N767">
        <v>1</v>
      </c>
      <c r="O767" s="34">
        <v>52</v>
      </c>
      <c r="P767">
        <v>0</v>
      </c>
      <c r="Q767">
        <v>160</v>
      </c>
      <c r="R767" s="31">
        <v>0</v>
      </c>
      <c r="S767" s="30">
        <f>IFERROR(PROPERTIES[[#This Row],[TE_STARTING_KN]]/(PROPERTIES[[#This Row],[WEIGHT]]*9.81),0)</f>
        <v>0</v>
      </c>
      <c r="T767" s="30">
        <v>0.3</v>
      </c>
      <c r="U767" s="27">
        <f>ROUND(IF(IFERROR(PROPERTIES[[#This Row],[TE_COEFFICIENT_CALC]],0)=0,PROPERTIES[[#This Row],[TE_COEFFICIENT_MANUAL]],PROPERTIES[[#This Row],[TE_COEFFICIENT_CALC]]),3)</f>
        <v>0.3</v>
      </c>
      <c r="V767" s="6">
        <v>25</v>
      </c>
      <c r="W767" s="10">
        <v>0</v>
      </c>
      <c r="X767" s="10">
        <v>0</v>
      </c>
      <c r="Y767" s="10"/>
      <c r="Z767" t="str">
        <f>"RUNNING_COST_"&amp;IF(PROPERTIES[[#This Row],[ENGINE_CLASS]]="MAGLEV","ELECTRIC",PROPERTIES[[#This Row],[ENGINE_CLASS]])</f>
        <v>RUNNING_COST_DIESEL</v>
      </c>
      <c r="AA767" s="10" t="s">
        <v>1018</v>
      </c>
      <c r="AB767" s="10" t="s">
        <v>1019</v>
      </c>
      <c r="AC767" s="10" t="str">
        <f>SUBSTITUTE(SUBSTITUTE(PROPERTIES[[#This Row],[PURCHASECOST_VALUE]], "PURCHASECOST_", ""), "_VALUE", "")</f>
        <v>COACH</v>
      </c>
      <c r="AD767" s="2" t="b">
        <v>0</v>
      </c>
      <c r="AV767"/>
      <c r="AW767"/>
      <c r="AX767"/>
    </row>
    <row r="768" spans="1:50">
      <c r="A768" s="2" t="s">
        <v>813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35</v>
      </c>
      <c r="G768" t="s">
        <v>325</v>
      </c>
      <c r="H768">
        <v>78</v>
      </c>
      <c r="I768">
        <v>8</v>
      </c>
      <c r="J768">
        <v>8</v>
      </c>
      <c r="K768" s="2" t="s">
        <v>479</v>
      </c>
      <c r="L768">
        <v>16</v>
      </c>
      <c r="M768">
        <v>50</v>
      </c>
      <c r="N768">
        <v>1</v>
      </c>
      <c r="O768" s="34">
        <v>71</v>
      </c>
      <c r="P768">
        <v>0</v>
      </c>
      <c r="Q768">
        <v>160</v>
      </c>
      <c r="R768" s="31">
        <v>0</v>
      </c>
      <c r="S768" s="30">
        <f>IFERROR(PROPERTIES[[#This Row],[TE_STARTING_KN]]/(PROPERTIES[[#This Row],[WEIGHT]]*9.81),0)</f>
        <v>0</v>
      </c>
      <c r="T768" s="30">
        <v>0.3</v>
      </c>
      <c r="U768" s="27">
        <f>ROUND(IF(IFERROR(PROPERTIES[[#This Row],[TE_COEFFICIENT_CALC]],0)=0,PROPERTIES[[#This Row],[TE_COEFFICIENT_MANUAL]],PROPERTIES[[#This Row],[TE_COEFFICIENT_CALC]]),3)</f>
        <v>0.3</v>
      </c>
      <c r="V768" s="6">
        <v>25</v>
      </c>
      <c r="W768" s="10">
        <v>0</v>
      </c>
      <c r="X768" s="10">
        <v>0</v>
      </c>
      <c r="Y768" s="10"/>
      <c r="Z768" t="str">
        <f>"RUNNING_COST_"&amp;IF(PROPERTIES[[#This Row],[ENGINE_CLASS]]="MAGLEV","ELECTRIC",PROPERTIES[[#This Row],[ENGINE_CLASS]])</f>
        <v>RUNNING_COST_DIESEL</v>
      </c>
      <c r="AA768" s="10" t="s">
        <v>1018</v>
      </c>
      <c r="AB768" s="10" t="s">
        <v>1019</v>
      </c>
      <c r="AC768" s="10" t="str">
        <f>SUBSTITUTE(SUBSTITUTE(PROPERTIES[[#This Row],[PURCHASECOST_VALUE]], "PURCHASECOST_", ""), "_VALUE", "")</f>
        <v>COACH</v>
      </c>
      <c r="AD768" s="2" t="b">
        <v>0</v>
      </c>
      <c r="AV768"/>
      <c r="AW768"/>
      <c r="AX768"/>
    </row>
    <row r="769" spans="1:50">
      <c r="A769" s="2" t="s">
        <v>814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35</v>
      </c>
      <c r="G769" t="s">
        <v>325</v>
      </c>
      <c r="H769">
        <v>94</v>
      </c>
      <c r="I769">
        <v>8</v>
      </c>
      <c r="J769">
        <v>8</v>
      </c>
      <c r="K769" s="2" t="s">
        <v>479</v>
      </c>
      <c r="L769">
        <v>16</v>
      </c>
      <c r="M769">
        <v>50</v>
      </c>
      <c r="N769">
        <v>1</v>
      </c>
      <c r="O769" s="34">
        <v>68</v>
      </c>
      <c r="P769">
        <v>0</v>
      </c>
      <c r="Q769">
        <v>160</v>
      </c>
      <c r="R769" s="31">
        <v>0</v>
      </c>
      <c r="S769" s="30">
        <f>IFERROR(PROPERTIES[[#This Row],[TE_STARTING_KN]]/(PROPERTIES[[#This Row],[WEIGHT]]*9.81),0)</f>
        <v>0</v>
      </c>
      <c r="T769" s="30">
        <v>0.3</v>
      </c>
      <c r="U769" s="27">
        <f>ROUND(IF(IFERROR(PROPERTIES[[#This Row],[TE_COEFFICIENT_CALC]],0)=0,PROPERTIES[[#This Row],[TE_COEFFICIENT_MANUAL]],PROPERTIES[[#This Row],[TE_COEFFICIENT_CALC]]),3)</f>
        <v>0.3</v>
      </c>
      <c r="V769" s="6">
        <v>25</v>
      </c>
      <c r="W769" s="10">
        <v>0</v>
      </c>
      <c r="X769" s="10">
        <v>0</v>
      </c>
      <c r="Y769" s="10"/>
      <c r="Z769" t="str">
        <f>"RUNNING_COST_"&amp;IF(PROPERTIES[[#This Row],[ENGINE_CLASS]]="MAGLEV","ELECTRIC",PROPERTIES[[#This Row],[ENGINE_CLASS]])</f>
        <v>RUNNING_COST_DIESEL</v>
      </c>
      <c r="AA769" s="10" t="s">
        <v>1018</v>
      </c>
      <c r="AB769" s="10" t="s">
        <v>1019</v>
      </c>
      <c r="AC769" s="10" t="str">
        <f>SUBSTITUTE(SUBSTITUTE(PROPERTIES[[#This Row],[PURCHASECOST_VALUE]], "PURCHASECOST_", ""), "_VALUE", "")</f>
        <v>COACH</v>
      </c>
      <c r="AD769" s="2" t="b">
        <v>0</v>
      </c>
      <c r="AV769"/>
      <c r="AW769"/>
      <c r="AX769"/>
    </row>
    <row r="770" spans="1:50">
      <c r="A770" s="2" t="s">
        <v>815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35</v>
      </c>
      <c r="G770" t="s">
        <v>325</v>
      </c>
      <c r="H770">
        <v>84</v>
      </c>
      <c r="I770">
        <v>8</v>
      </c>
      <c r="J770">
        <v>8</v>
      </c>
      <c r="K770" s="2" t="s">
        <v>479</v>
      </c>
      <c r="L770">
        <v>16</v>
      </c>
      <c r="M770">
        <v>60</v>
      </c>
      <c r="N770">
        <v>1</v>
      </c>
      <c r="O770" s="34">
        <v>48</v>
      </c>
      <c r="P770">
        <v>0</v>
      </c>
      <c r="Q770">
        <v>200</v>
      </c>
      <c r="R770" s="31">
        <v>0</v>
      </c>
      <c r="S770" s="30">
        <f>IFERROR(PROPERTIES[[#This Row],[TE_STARTING_KN]]/(PROPERTIES[[#This Row],[WEIGHT]]*9.81),0)</f>
        <v>0</v>
      </c>
      <c r="T770" s="30">
        <v>0.3</v>
      </c>
      <c r="U770" s="27">
        <f>ROUND(IF(IFERROR(PROPERTIES[[#This Row],[TE_COEFFICIENT_CALC]],0)=0,PROPERTIES[[#This Row],[TE_COEFFICIENT_MANUAL]],PROPERTIES[[#This Row],[TE_COEFFICIENT_CALC]]),3)</f>
        <v>0.3</v>
      </c>
      <c r="V770" s="6">
        <v>25</v>
      </c>
      <c r="W770" s="10">
        <v>0</v>
      </c>
      <c r="X770" s="10">
        <v>0</v>
      </c>
      <c r="Y770" s="10"/>
      <c r="Z770" t="str">
        <f>"RUNNING_COST_"&amp;IF(PROPERTIES[[#This Row],[ENGINE_CLASS]]="MAGLEV","ELECTRIC",PROPERTIES[[#This Row],[ENGINE_CLASS]])</f>
        <v>RUNNING_COST_DIESEL</v>
      </c>
      <c r="AA770" s="10" t="s">
        <v>1018</v>
      </c>
      <c r="AB770" s="10" t="s">
        <v>1019</v>
      </c>
      <c r="AC770" s="10" t="str">
        <f>SUBSTITUTE(SUBSTITUTE(PROPERTIES[[#This Row],[PURCHASECOST_VALUE]], "PURCHASECOST_", ""), "_VALUE", "")</f>
        <v>COACH</v>
      </c>
      <c r="AD770" s="2" t="b">
        <v>0</v>
      </c>
      <c r="AV770"/>
      <c r="AW770"/>
      <c r="AX770"/>
    </row>
    <row r="771" spans="1:50">
      <c r="A771" s="2" t="s">
        <v>816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35</v>
      </c>
      <c r="G771" t="s">
        <v>325</v>
      </c>
      <c r="H771">
        <v>62</v>
      </c>
      <c r="I771">
        <v>8</v>
      </c>
      <c r="J771">
        <v>8</v>
      </c>
      <c r="K771" s="2" t="s">
        <v>479</v>
      </c>
      <c r="L771">
        <v>16</v>
      </c>
      <c r="M771">
        <v>60</v>
      </c>
      <c r="N771">
        <v>1</v>
      </c>
      <c r="O771" s="34">
        <v>49</v>
      </c>
      <c r="P771">
        <v>0</v>
      </c>
      <c r="Q771">
        <v>200</v>
      </c>
      <c r="R771" s="31">
        <v>0</v>
      </c>
      <c r="S771" s="30">
        <f>IFERROR(PROPERTIES[[#This Row],[TE_STARTING_KN]]/(PROPERTIES[[#This Row],[WEIGHT]]*9.81),0)</f>
        <v>0</v>
      </c>
      <c r="T771" s="30">
        <v>0.3</v>
      </c>
      <c r="U771" s="27">
        <f>ROUND(IF(IFERROR(PROPERTIES[[#This Row],[TE_COEFFICIENT_CALC]],0)=0,PROPERTIES[[#This Row],[TE_COEFFICIENT_MANUAL]],PROPERTIES[[#This Row],[TE_COEFFICIENT_CALC]]),3)</f>
        <v>0.3</v>
      </c>
      <c r="V771" s="6">
        <v>25</v>
      </c>
      <c r="W771" s="10">
        <v>0</v>
      </c>
      <c r="X771" s="10">
        <v>0</v>
      </c>
      <c r="Y771" s="10"/>
      <c r="Z771" t="str">
        <f>"RUNNING_COST_"&amp;IF(PROPERTIES[[#This Row],[ENGINE_CLASS]]="MAGLEV","ELECTRIC",PROPERTIES[[#This Row],[ENGINE_CLASS]])</f>
        <v>RUNNING_COST_DIESEL</v>
      </c>
      <c r="AA771" s="10" t="s">
        <v>1018</v>
      </c>
      <c r="AB771" s="10" t="s">
        <v>1019</v>
      </c>
      <c r="AC771" s="10" t="str">
        <f>SUBSTITUTE(SUBSTITUTE(PROPERTIES[[#This Row],[PURCHASECOST_VALUE]], "PURCHASECOST_", ""), "_VALUE", "")</f>
        <v>COACH</v>
      </c>
      <c r="AD771" s="2" t="b">
        <v>0</v>
      </c>
      <c r="AV771"/>
      <c r="AW771"/>
      <c r="AX771"/>
    </row>
    <row r="772" spans="1:50">
      <c r="A772" s="2" t="s">
        <v>817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35</v>
      </c>
      <c r="G772" t="s">
        <v>325</v>
      </c>
      <c r="H772">
        <v>117</v>
      </c>
      <c r="I772">
        <v>8</v>
      </c>
      <c r="J772">
        <v>8</v>
      </c>
      <c r="K772" s="2" t="s">
        <v>24</v>
      </c>
      <c r="L772">
        <v>40</v>
      </c>
      <c r="M772">
        <v>60</v>
      </c>
      <c r="N772">
        <v>1</v>
      </c>
      <c r="O772" s="34">
        <v>42</v>
      </c>
      <c r="P772">
        <v>0</v>
      </c>
      <c r="Q772">
        <v>160</v>
      </c>
      <c r="R772" s="31">
        <v>0</v>
      </c>
      <c r="S772" s="30">
        <f>IFERROR(PROPERTIES[[#This Row],[TE_STARTING_KN]]/(PROPERTIES[[#This Row],[WEIGHT]]*9.81),0)</f>
        <v>0</v>
      </c>
      <c r="T772" s="30">
        <v>0.3</v>
      </c>
      <c r="U772" s="27">
        <f>ROUND(IF(IFERROR(PROPERTIES[[#This Row],[TE_COEFFICIENT_CALC]],0)=0,PROPERTIES[[#This Row],[TE_COEFFICIENT_MANUAL]],PROPERTIES[[#This Row],[TE_COEFFICIENT_CALC]]),3)</f>
        <v>0.3</v>
      </c>
      <c r="V772" s="6">
        <v>25</v>
      </c>
      <c r="W772" s="10">
        <v>0</v>
      </c>
      <c r="X772" s="10">
        <v>0</v>
      </c>
      <c r="Y772" s="10"/>
      <c r="Z772" t="str">
        <f>"RUNNING_COST_"&amp;IF(PROPERTIES[[#This Row],[ENGINE_CLASS]]="MAGLEV","ELECTRIC",PROPERTIES[[#This Row],[ENGINE_CLASS]])</f>
        <v>RUNNING_COST_DIESEL</v>
      </c>
      <c r="AA772" s="10" t="s">
        <v>1018</v>
      </c>
      <c r="AB772" s="10" t="s">
        <v>1019</v>
      </c>
      <c r="AC772" s="10" t="str">
        <f>SUBSTITUTE(SUBSTITUTE(PROPERTIES[[#This Row],[PURCHASECOST_VALUE]], "PURCHASECOST_", ""), "_VALUE", "")</f>
        <v>COACH</v>
      </c>
      <c r="AD772" s="2" t="b">
        <v>0</v>
      </c>
      <c r="AV772"/>
      <c r="AW772"/>
      <c r="AX772"/>
    </row>
    <row r="773" spans="1:50">
      <c r="A773" s="2" t="s">
        <v>818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35</v>
      </c>
      <c r="G773" t="s">
        <v>325</v>
      </c>
      <c r="H773">
        <v>72</v>
      </c>
      <c r="I773">
        <v>8</v>
      </c>
      <c r="J773">
        <v>8</v>
      </c>
      <c r="K773" s="2" t="s">
        <v>479</v>
      </c>
      <c r="L773">
        <v>16</v>
      </c>
      <c r="M773">
        <v>60</v>
      </c>
      <c r="N773">
        <v>1</v>
      </c>
      <c r="O773" s="34">
        <v>43</v>
      </c>
      <c r="P773">
        <v>0</v>
      </c>
      <c r="Q773">
        <v>200</v>
      </c>
      <c r="R773" s="31">
        <v>0</v>
      </c>
      <c r="S773" s="30">
        <f>IFERROR(PROPERTIES[[#This Row],[TE_STARTING_KN]]/(PROPERTIES[[#This Row],[WEIGHT]]*9.81),0)</f>
        <v>0</v>
      </c>
      <c r="T773" s="30">
        <v>0.3</v>
      </c>
      <c r="U773" s="27">
        <f>ROUND(IF(IFERROR(PROPERTIES[[#This Row],[TE_COEFFICIENT_CALC]],0)=0,PROPERTIES[[#This Row],[TE_COEFFICIENT_MANUAL]],PROPERTIES[[#This Row],[TE_COEFFICIENT_CALC]]),3)</f>
        <v>0.3</v>
      </c>
      <c r="V773" s="6">
        <v>25</v>
      </c>
      <c r="W773" s="10">
        <v>0</v>
      </c>
      <c r="X773" s="10">
        <v>0</v>
      </c>
      <c r="Y773" s="10"/>
      <c r="Z773" t="str">
        <f>"RUNNING_COST_"&amp;IF(PROPERTIES[[#This Row],[ENGINE_CLASS]]="MAGLEV","ELECTRIC",PROPERTIES[[#This Row],[ENGINE_CLASS]])</f>
        <v>RUNNING_COST_DIESEL</v>
      </c>
      <c r="AA773" s="10" t="s">
        <v>1018</v>
      </c>
      <c r="AB773" s="10" t="s">
        <v>1019</v>
      </c>
      <c r="AC773" s="10" t="str">
        <f>SUBSTITUTE(SUBSTITUTE(PROPERTIES[[#This Row],[PURCHASECOST_VALUE]], "PURCHASECOST_", ""), "_VALUE", "")</f>
        <v>COACH</v>
      </c>
      <c r="AD773" s="2" t="b">
        <v>0</v>
      </c>
      <c r="AV773"/>
      <c r="AW773"/>
      <c r="AX773"/>
    </row>
    <row r="774" spans="1:50">
      <c r="A774" s="2" t="s">
        <v>819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35</v>
      </c>
      <c r="G774" t="s">
        <v>673</v>
      </c>
      <c r="H774">
        <v>160</v>
      </c>
      <c r="I774">
        <v>8</v>
      </c>
      <c r="J774">
        <v>8</v>
      </c>
      <c r="K774" s="2" t="s">
        <v>674</v>
      </c>
      <c r="L774">
        <v>15</v>
      </c>
      <c r="M774">
        <v>60</v>
      </c>
      <c r="N774">
        <v>1</v>
      </c>
      <c r="O774" s="34">
        <v>42</v>
      </c>
      <c r="P774">
        <v>0</v>
      </c>
      <c r="Q774">
        <v>200</v>
      </c>
      <c r="R774" s="31">
        <v>0</v>
      </c>
      <c r="S774" s="30">
        <f>IFERROR(PROPERTIES[[#This Row],[TE_STARTING_KN]]/(PROPERTIES[[#This Row],[WEIGHT]]*9.81),0)</f>
        <v>0</v>
      </c>
      <c r="T774" s="30">
        <v>0.3</v>
      </c>
      <c r="U774" s="27">
        <f>ROUND(IF(IFERROR(PROPERTIES[[#This Row],[TE_COEFFICIENT_CALC]],0)=0,PROPERTIES[[#This Row],[TE_COEFFICIENT_MANUAL]],PROPERTIES[[#This Row],[TE_COEFFICIENT_CALC]]),3)</f>
        <v>0.3</v>
      </c>
      <c r="V774" s="6">
        <v>25</v>
      </c>
      <c r="W774" s="10">
        <v>0</v>
      </c>
      <c r="X774" s="10">
        <v>0</v>
      </c>
      <c r="Y774" s="10"/>
      <c r="Z774" t="str">
        <f>"RUNNING_COST_"&amp;IF(PROPERTIES[[#This Row],[ENGINE_CLASS]]="MAGLEV","ELECTRIC",PROPERTIES[[#This Row],[ENGINE_CLASS]])</f>
        <v>RUNNING_COST_DIESEL</v>
      </c>
      <c r="AA774" s="10" t="s">
        <v>1018</v>
      </c>
      <c r="AB774" s="10" t="s">
        <v>1019</v>
      </c>
      <c r="AC774" s="10" t="str">
        <f>SUBSTITUTE(SUBSTITUTE(PROPERTIES[[#This Row],[PURCHASECOST_VALUE]], "PURCHASECOST_", ""), "_VALUE", "")</f>
        <v>COACH</v>
      </c>
      <c r="AD774" s="2" t="b">
        <v>0</v>
      </c>
      <c r="AV774"/>
      <c r="AW774"/>
      <c r="AX774"/>
    </row>
    <row r="775" spans="1:50">
      <c r="A775" s="2" t="s">
        <v>820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35</v>
      </c>
      <c r="G775" t="s">
        <v>325</v>
      </c>
      <c r="H775">
        <v>255</v>
      </c>
      <c r="I775">
        <v>8</v>
      </c>
      <c r="J775">
        <v>8</v>
      </c>
      <c r="K775" s="2" t="s">
        <v>479</v>
      </c>
      <c r="L775">
        <v>16</v>
      </c>
      <c r="M775" t="s">
        <v>21</v>
      </c>
      <c r="N775">
        <v>1</v>
      </c>
      <c r="O775" s="34">
        <v>54</v>
      </c>
      <c r="P775">
        <v>0</v>
      </c>
      <c r="Q775">
        <v>160</v>
      </c>
      <c r="R775" s="31">
        <v>0</v>
      </c>
      <c r="S775" s="30">
        <f>IFERROR(PROPERTIES[[#This Row],[TE_STARTING_KN]]/(PROPERTIES[[#This Row],[WEIGHT]]*9.81),0)</f>
        <v>0</v>
      </c>
      <c r="T775" s="30">
        <v>0.3</v>
      </c>
      <c r="U775" s="27">
        <f>ROUND(IF(IFERROR(PROPERTIES[[#This Row],[TE_COEFFICIENT_CALC]],0)=0,PROPERTIES[[#This Row],[TE_COEFFICIENT_MANUAL]],PROPERTIES[[#This Row],[TE_COEFFICIENT_CALC]]),3)</f>
        <v>0.3</v>
      </c>
      <c r="V775" s="6">
        <v>25</v>
      </c>
      <c r="W775" s="10">
        <v>0</v>
      </c>
      <c r="X775" s="10">
        <v>0</v>
      </c>
      <c r="Y775" s="10"/>
      <c r="Z775" t="str">
        <f>"RUNNING_COST_"&amp;IF(PROPERTIES[[#This Row],[ENGINE_CLASS]]="MAGLEV","ELECTRIC",PROPERTIES[[#This Row],[ENGINE_CLASS]])</f>
        <v>RUNNING_COST_DIESEL</v>
      </c>
      <c r="AA775" s="10" t="s">
        <v>1018</v>
      </c>
      <c r="AB775" s="10" t="s">
        <v>1019</v>
      </c>
      <c r="AC775" s="10" t="str">
        <f>SUBSTITUTE(SUBSTITUTE(PROPERTIES[[#This Row],[PURCHASECOST_VALUE]], "PURCHASECOST_", ""), "_VALUE", "")</f>
        <v>COACH</v>
      </c>
      <c r="AD775" s="2" t="b">
        <v>0</v>
      </c>
      <c r="AV775"/>
      <c r="AW775"/>
      <c r="AX775"/>
    </row>
    <row r="776" spans="1:50">
      <c r="A776" s="2" t="s">
        <v>821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35</v>
      </c>
      <c r="G776" t="s">
        <v>325</v>
      </c>
      <c r="H776">
        <v>80</v>
      </c>
      <c r="I776">
        <v>8</v>
      </c>
      <c r="J776">
        <v>8</v>
      </c>
      <c r="K776" s="2" t="s">
        <v>479</v>
      </c>
      <c r="L776">
        <v>16</v>
      </c>
      <c r="M776" t="s">
        <v>21</v>
      </c>
      <c r="N776">
        <v>1</v>
      </c>
      <c r="O776" s="34">
        <v>52</v>
      </c>
      <c r="P776">
        <v>0</v>
      </c>
      <c r="Q776">
        <v>250</v>
      </c>
      <c r="R776" s="31">
        <v>0</v>
      </c>
      <c r="S776" s="30">
        <f>IFERROR(PROPERTIES[[#This Row],[TE_STARTING_KN]]/(PROPERTIES[[#This Row],[WEIGHT]]*9.81),0)</f>
        <v>0</v>
      </c>
      <c r="T776" s="30">
        <v>0.3</v>
      </c>
      <c r="U776" s="27">
        <f>ROUND(IF(IFERROR(PROPERTIES[[#This Row],[TE_COEFFICIENT_CALC]],0)=0,PROPERTIES[[#This Row],[TE_COEFFICIENT_MANUAL]],PROPERTIES[[#This Row],[TE_COEFFICIENT_CALC]]),3)</f>
        <v>0.3</v>
      </c>
      <c r="V776" s="6">
        <v>25</v>
      </c>
      <c r="W776" s="10">
        <v>0</v>
      </c>
      <c r="X776" s="10">
        <v>0</v>
      </c>
      <c r="Y776" s="10"/>
      <c r="Z776" t="str">
        <f>"RUNNING_COST_"&amp;IF(PROPERTIES[[#This Row],[ENGINE_CLASS]]="MAGLEV","ELECTRIC",PROPERTIES[[#This Row],[ENGINE_CLASS]])</f>
        <v>RUNNING_COST_DIESEL</v>
      </c>
      <c r="AA776" s="10" t="s">
        <v>1018</v>
      </c>
      <c r="AB776" s="10" t="s">
        <v>1019</v>
      </c>
      <c r="AC776" s="10" t="str">
        <f>SUBSTITUTE(SUBSTITUTE(PROPERTIES[[#This Row],[PURCHASECOST_VALUE]], "PURCHASECOST_", ""), "_VALUE", "")</f>
        <v>COACH</v>
      </c>
      <c r="AD776" s="2" t="b">
        <v>0</v>
      </c>
      <c r="AV776"/>
      <c r="AW776"/>
      <c r="AX776"/>
    </row>
    <row r="777" spans="1:50">
      <c r="A777" s="2" t="s">
        <v>822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35</v>
      </c>
      <c r="G777" t="s">
        <v>325</v>
      </c>
      <c r="H777">
        <v>160</v>
      </c>
      <c r="I777">
        <v>8</v>
      </c>
      <c r="J777">
        <v>8</v>
      </c>
      <c r="K777" s="2" t="s">
        <v>479</v>
      </c>
      <c r="L777">
        <v>16</v>
      </c>
      <c r="M777" t="s">
        <v>21</v>
      </c>
      <c r="N777">
        <v>1</v>
      </c>
      <c r="O777" s="34">
        <v>50</v>
      </c>
      <c r="P777">
        <v>0</v>
      </c>
      <c r="Q777">
        <v>200</v>
      </c>
      <c r="R777" s="31">
        <v>0</v>
      </c>
      <c r="S777" s="30">
        <f>IFERROR(PROPERTIES[[#This Row],[TE_STARTING_KN]]/(PROPERTIES[[#This Row],[WEIGHT]]*9.81),0)</f>
        <v>0</v>
      </c>
      <c r="T777" s="30">
        <v>0.3</v>
      </c>
      <c r="U777" s="27">
        <f>ROUND(IF(IFERROR(PROPERTIES[[#This Row],[TE_COEFFICIENT_CALC]],0)=0,PROPERTIES[[#This Row],[TE_COEFFICIENT_MANUAL]],PROPERTIES[[#This Row],[TE_COEFFICIENT_CALC]]),3)</f>
        <v>0.3</v>
      </c>
      <c r="V777" s="6">
        <v>25</v>
      </c>
      <c r="W777" s="10">
        <v>0</v>
      </c>
      <c r="X777" s="10">
        <v>0</v>
      </c>
      <c r="Y777" s="10"/>
      <c r="Z777" t="str">
        <f>"RUNNING_COST_"&amp;IF(PROPERTIES[[#This Row],[ENGINE_CLASS]]="MAGLEV","ELECTRIC",PROPERTIES[[#This Row],[ENGINE_CLASS]])</f>
        <v>RUNNING_COST_DIESEL</v>
      </c>
      <c r="AA777" s="10" t="s">
        <v>1018</v>
      </c>
      <c r="AB777" s="10" t="s">
        <v>1019</v>
      </c>
      <c r="AC777" s="10" t="str">
        <f>SUBSTITUTE(SUBSTITUTE(PROPERTIES[[#This Row],[PURCHASECOST_VALUE]], "PURCHASECOST_", ""), "_VALUE", "")</f>
        <v>COACH</v>
      </c>
      <c r="AD777" s="2" t="b">
        <v>0</v>
      </c>
      <c r="AV777"/>
      <c r="AW777"/>
      <c r="AX777"/>
    </row>
    <row r="778" spans="1:50">
      <c r="A778" s="2" t="s">
        <v>823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35</v>
      </c>
      <c r="G778" t="s">
        <v>325</v>
      </c>
      <c r="H778">
        <v>220</v>
      </c>
      <c r="I778">
        <v>8</v>
      </c>
      <c r="J778">
        <v>8</v>
      </c>
      <c r="K778" s="2" t="s">
        <v>24</v>
      </c>
      <c r="L778">
        <v>40</v>
      </c>
      <c r="M778" t="s">
        <v>21</v>
      </c>
      <c r="N778">
        <v>1</v>
      </c>
      <c r="O778" s="34">
        <v>48</v>
      </c>
      <c r="P778">
        <v>0</v>
      </c>
      <c r="Q778">
        <v>200</v>
      </c>
      <c r="R778" s="31">
        <v>0</v>
      </c>
      <c r="S778" s="30">
        <f>IFERROR(PROPERTIES[[#This Row],[TE_STARTING_KN]]/(PROPERTIES[[#This Row],[WEIGHT]]*9.81),0)</f>
        <v>0</v>
      </c>
      <c r="T778" s="30">
        <v>0.3</v>
      </c>
      <c r="U778" s="27">
        <f>ROUND(IF(IFERROR(PROPERTIES[[#This Row],[TE_COEFFICIENT_CALC]],0)=0,PROPERTIES[[#This Row],[TE_COEFFICIENT_MANUAL]],PROPERTIES[[#This Row],[TE_COEFFICIENT_CALC]]),3)</f>
        <v>0.3</v>
      </c>
      <c r="V778" s="6">
        <v>25</v>
      </c>
      <c r="W778" s="10">
        <v>0</v>
      </c>
      <c r="X778" s="10">
        <v>0</v>
      </c>
      <c r="Y778" s="10"/>
      <c r="Z778" t="str">
        <f>"RUNNING_COST_"&amp;IF(PROPERTIES[[#This Row],[ENGINE_CLASS]]="MAGLEV","ELECTRIC",PROPERTIES[[#This Row],[ENGINE_CLASS]])</f>
        <v>RUNNING_COST_DIESEL</v>
      </c>
      <c r="AA778" s="10" t="s">
        <v>1018</v>
      </c>
      <c r="AB778" s="10" t="s">
        <v>1019</v>
      </c>
      <c r="AC778" s="10" t="str">
        <f>SUBSTITUTE(SUBSTITUTE(PROPERTIES[[#This Row],[PURCHASECOST_VALUE]], "PURCHASECOST_", ""), "_VALUE", "")</f>
        <v>COACH</v>
      </c>
      <c r="AD778" s="2" t="b">
        <v>0</v>
      </c>
      <c r="AV778"/>
      <c r="AW778"/>
      <c r="AX778"/>
    </row>
    <row r="779" spans="1:50">
      <c r="A779" s="2" t="s">
        <v>824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35</v>
      </c>
      <c r="G779" t="s">
        <v>325</v>
      </c>
      <c r="H779">
        <v>255</v>
      </c>
      <c r="I779">
        <v>8</v>
      </c>
      <c r="J779">
        <v>8</v>
      </c>
      <c r="K779" s="2" t="s">
        <v>479</v>
      </c>
      <c r="L779">
        <v>16</v>
      </c>
      <c r="M779" t="s">
        <v>21</v>
      </c>
      <c r="N779">
        <v>1</v>
      </c>
      <c r="O779" s="34">
        <v>55</v>
      </c>
      <c r="P779">
        <v>0</v>
      </c>
      <c r="Q779">
        <v>160</v>
      </c>
      <c r="R779" s="31">
        <v>0</v>
      </c>
      <c r="S779" s="30">
        <f>IFERROR(PROPERTIES[[#This Row],[TE_STARTING_KN]]/(PROPERTIES[[#This Row],[WEIGHT]]*9.81),0)</f>
        <v>0</v>
      </c>
      <c r="T779" s="30">
        <v>0.3</v>
      </c>
      <c r="U779" s="27">
        <f>ROUND(IF(IFERROR(PROPERTIES[[#This Row],[TE_COEFFICIENT_CALC]],0)=0,PROPERTIES[[#This Row],[TE_COEFFICIENT_MANUAL]],PROPERTIES[[#This Row],[TE_COEFFICIENT_CALC]]),3)</f>
        <v>0.3</v>
      </c>
      <c r="V779" s="6">
        <v>25</v>
      </c>
      <c r="W779" s="10">
        <v>0</v>
      </c>
      <c r="X779" s="10">
        <v>0</v>
      </c>
      <c r="Y779" s="10"/>
      <c r="Z779" t="str">
        <f>"RUNNING_COST_"&amp;IF(PROPERTIES[[#This Row],[ENGINE_CLASS]]="MAGLEV","ELECTRIC",PROPERTIES[[#This Row],[ENGINE_CLASS]])</f>
        <v>RUNNING_COST_DIESEL</v>
      </c>
      <c r="AA779" s="10" t="s">
        <v>1018</v>
      </c>
      <c r="AB779" s="10" t="s">
        <v>1019</v>
      </c>
      <c r="AC779" s="10" t="str">
        <f>SUBSTITUTE(SUBSTITUTE(PROPERTIES[[#This Row],[PURCHASECOST_VALUE]], "PURCHASECOST_", ""), "_VALUE", "")</f>
        <v>COACH</v>
      </c>
      <c r="AD779" s="2" t="b">
        <v>0</v>
      </c>
      <c r="AV779"/>
      <c r="AW779"/>
      <c r="AX779"/>
    </row>
    <row r="780" spans="1:50">
      <c r="A780" s="2" t="s">
        <v>825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35</v>
      </c>
      <c r="G780" t="s">
        <v>325</v>
      </c>
      <c r="H780">
        <v>140</v>
      </c>
      <c r="I780">
        <v>8</v>
      </c>
      <c r="J780">
        <v>8</v>
      </c>
      <c r="K780" s="2" t="s">
        <v>479</v>
      </c>
      <c r="L780">
        <v>16</v>
      </c>
      <c r="M780" t="s">
        <v>21</v>
      </c>
      <c r="N780">
        <v>1</v>
      </c>
      <c r="O780" s="34">
        <v>50</v>
      </c>
      <c r="P780">
        <v>0</v>
      </c>
      <c r="Q780">
        <v>200</v>
      </c>
      <c r="R780" s="31">
        <v>0</v>
      </c>
      <c r="S780" s="30">
        <f>IFERROR(PROPERTIES[[#This Row],[TE_STARTING_KN]]/(PROPERTIES[[#This Row],[WEIGHT]]*9.81),0)</f>
        <v>0</v>
      </c>
      <c r="T780" s="30">
        <v>0.3</v>
      </c>
      <c r="U780" s="27">
        <f>ROUND(IF(IFERROR(PROPERTIES[[#This Row],[TE_COEFFICIENT_CALC]],0)=0,PROPERTIES[[#This Row],[TE_COEFFICIENT_MANUAL]],PROPERTIES[[#This Row],[TE_COEFFICIENT_CALC]]),3)</f>
        <v>0.3</v>
      </c>
      <c r="V780" s="6">
        <v>25</v>
      </c>
      <c r="W780" s="10">
        <v>0</v>
      </c>
      <c r="X780" s="10">
        <v>0</v>
      </c>
      <c r="Y780" s="10"/>
      <c r="Z780" t="str">
        <f>"RUNNING_COST_"&amp;IF(PROPERTIES[[#This Row],[ENGINE_CLASS]]="MAGLEV","ELECTRIC",PROPERTIES[[#This Row],[ENGINE_CLASS]])</f>
        <v>RUNNING_COST_DIESEL</v>
      </c>
      <c r="AA780" s="10" t="s">
        <v>1018</v>
      </c>
      <c r="AB780" s="10" t="s">
        <v>1019</v>
      </c>
      <c r="AC780" s="10" t="str">
        <f>SUBSTITUTE(SUBSTITUTE(PROPERTIES[[#This Row],[PURCHASECOST_VALUE]], "PURCHASECOST_", ""), "_VALUE", "")</f>
        <v>COACH</v>
      </c>
      <c r="AD780" s="2" t="b">
        <v>0</v>
      </c>
      <c r="AV780"/>
      <c r="AW780"/>
      <c r="AX780"/>
    </row>
    <row r="781" spans="1:50">
      <c r="A781" s="2" t="s">
        <v>826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35</v>
      </c>
      <c r="G781" t="s">
        <v>673</v>
      </c>
      <c r="H781">
        <v>180</v>
      </c>
      <c r="I781">
        <v>8</v>
      </c>
      <c r="J781">
        <v>8</v>
      </c>
      <c r="K781" s="2" t="s">
        <v>674</v>
      </c>
      <c r="L781">
        <v>15</v>
      </c>
      <c r="M781" t="s">
        <v>21</v>
      </c>
      <c r="N781">
        <v>1</v>
      </c>
      <c r="O781" s="34">
        <v>50</v>
      </c>
      <c r="P781">
        <v>0</v>
      </c>
      <c r="Q781">
        <v>250</v>
      </c>
      <c r="R781" s="31">
        <v>0</v>
      </c>
      <c r="S781" s="30">
        <f>IFERROR(PROPERTIES[[#This Row],[TE_STARTING_KN]]/(PROPERTIES[[#This Row],[WEIGHT]]*9.81),0)</f>
        <v>0</v>
      </c>
      <c r="T781" s="30">
        <v>0.3</v>
      </c>
      <c r="U781" s="27">
        <f>ROUND(IF(IFERROR(PROPERTIES[[#This Row],[TE_COEFFICIENT_CALC]],0)=0,PROPERTIES[[#This Row],[TE_COEFFICIENT_MANUAL]],PROPERTIES[[#This Row],[TE_COEFFICIENT_CALC]]),3)</f>
        <v>0.3</v>
      </c>
      <c r="V781" s="6">
        <v>25</v>
      </c>
      <c r="W781" s="10">
        <v>0</v>
      </c>
      <c r="X781" s="10">
        <v>0</v>
      </c>
      <c r="Y781" s="10"/>
      <c r="Z781" t="str">
        <f>"RUNNING_COST_"&amp;IF(PROPERTIES[[#This Row],[ENGINE_CLASS]]="MAGLEV","ELECTRIC",PROPERTIES[[#This Row],[ENGINE_CLASS]])</f>
        <v>RUNNING_COST_DIESEL</v>
      </c>
      <c r="AA781" s="10" t="s">
        <v>1018</v>
      </c>
      <c r="AB781" s="10" t="s">
        <v>1019</v>
      </c>
      <c r="AC781" s="10" t="str">
        <f>SUBSTITUTE(SUBSTITUTE(PROPERTIES[[#This Row],[PURCHASECOST_VALUE]], "PURCHASECOST_", ""), "_VALUE", "")</f>
        <v>COACH</v>
      </c>
      <c r="AD781" s="2" t="b">
        <v>0</v>
      </c>
      <c r="AV781"/>
      <c r="AW781"/>
      <c r="AX781"/>
    </row>
    <row r="782" spans="1:50">
      <c r="A782" s="2" t="s">
        <v>827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35</v>
      </c>
      <c r="G782" t="s">
        <v>325</v>
      </c>
      <c r="H782">
        <v>40</v>
      </c>
      <c r="I782">
        <v>6</v>
      </c>
      <c r="J782">
        <v>6</v>
      </c>
      <c r="K782" s="2" t="s">
        <v>24</v>
      </c>
      <c r="L782">
        <v>40</v>
      </c>
      <c r="M782" t="s">
        <v>21</v>
      </c>
      <c r="N782">
        <v>1</v>
      </c>
      <c r="O782" s="34">
        <v>15</v>
      </c>
      <c r="P782">
        <v>0</v>
      </c>
      <c r="Q782">
        <v>200</v>
      </c>
      <c r="R782" s="31">
        <v>0</v>
      </c>
      <c r="S782" s="30">
        <f>IFERROR(PROPERTIES[[#This Row],[TE_STARTING_KN]]/(PROPERTIES[[#This Row],[WEIGHT]]*9.81),0)</f>
        <v>0</v>
      </c>
      <c r="T782" s="30">
        <v>0.3</v>
      </c>
      <c r="U782" s="27">
        <f>ROUND(IF(IFERROR(PROPERTIES[[#This Row],[TE_COEFFICIENT_CALC]],0)=0,PROPERTIES[[#This Row],[TE_COEFFICIENT_MANUAL]],PROPERTIES[[#This Row],[TE_COEFFICIENT_CALC]]),3)</f>
        <v>0.3</v>
      </c>
      <c r="V782" s="6">
        <v>25</v>
      </c>
      <c r="W782" s="10">
        <v>0</v>
      </c>
      <c r="X782" s="10">
        <v>0</v>
      </c>
      <c r="Y782" s="10"/>
      <c r="Z782" t="str">
        <f>"RUNNING_COST_"&amp;IF(PROPERTIES[[#This Row],[ENGINE_CLASS]]="MAGLEV","ELECTRIC",PROPERTIES[[#This Row],[ENGINE_CLASS]])</f>
        <v>RUNNING_COST_DIESEL</v>
      </c>
      <c r="AA782" s="10" t="s">
        <v>1018</v>
      </c>
      <c r="AB782" s="10" t="s">
        <v>1019</v>
      </c>
      <c r="AC782" s="10" t="str">
        <f>SUBSTITUTE(SUBSTITUTE(PROPERTIES[[#This Row],[PURCHASECOST_VALUE]], "PURCHASECOST_", ""), "_VALUE", "")</f>
        <v>COACH</v>
      </c>
      <c r="AD782" s="2" t="b">
        <v>0</v>
      </c>
      <c r="AV782"/>
      <c r="AW782"/>
      <c r="AX782"/>
    </row>
    <row r="783" spans="1:50">
      <c r="A783" s="2" t="s">
        <v>828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35</v>
      </c>
      <c r="G783" t="s">
        <v>673</v>
      </c>
      <c r="H783">
        <v>60</v>
      </c>
      <c r="I783">
        <v>6</v>
      </c>
      <c r="J783">
        <v>6</v>
      </c>
      <c r="K783" s="2" t="s">
        <v>674</v>
      </c>
      <c r="L783">
        <v>15</v>
      </c>
      <c r="M783" t="s">
        <v>21</v>
      </c>
      <c r="N783">
        <v>1</v>
      </c>
      <c r="O783" s="34">
        <v>18</v>
      </c>
      <c r="P783">
        <v>0</v>
      </c>
      <c r="Q783">
        <v>200</v>
      </c>
      <c r="R783" s="31">
        <v>0</v>
      </c>
      <c r="S783" s="30">
        <f>IFERROR(PROPERTIES[[#This Row],[TE_STARTING_KN]]/(PROPERTIES[[#This Row],[WEIGHT]]*9.81),0)</f>
        <v>0</v>
      </c>
      <c r="T783" s="30">
        <v>0.3</v>
      </c>
      <c r="U783" s="27">
        <f>ROUND(IF(IFERROR(PROPERTIES[[#This Row],[TE_COEFFICIENT_CALC]],0)=0,PROPERTIES[[#This Row],[TE_COEFFICIENT_MANUAL]],PROPERTIES[[#This Row],[TE_COEFFICIENT_CALC]]),3)</f>
        <v>0.3</v>
      </c>
      <c r="V783" s="6">
        <v>25</v>
      </c>
      <c r="W783" s="10">
        <v>0</v>
      </c>
      <c r="X783" s="10">
        <v>0</v>
      </c>
      <c r="Y783" s="10"/>
      <c r="Z783" t="str">
        <f>"RUNNING_COST_"&amp;IF(PROPERTIES[[#This Row],[ENGINE_CLASS]]="MAGLEV","ELECTRIC",PROPERTIES[[#This Row],[ENGINE_CLASS]])</f>
        <v>RUNNING_COST_DIESEL</v>
      </c>
      <c r="AA783" s="10" t="s">
        <v>1018</v>
      </c>
      <c r="AB783" s="10" t="s">
        <v>1019</v>
      </c>
      <c r="AC783" s="10" t="str">
        <f>SUBSTITUTE(SUBSTITUTE(PROPERTIES[[#This Row],[PURCHASECOST_VALUE]], "PURCHASECOST_", ""), "_VALUE", "")</f>
        <v>COACH</v>
      </c>
      <c r="AD783" s="2" t="b">
        <v>0</v>
      </c>
      <c r="AV783"/>
      <c r="AW783"/>
      <c r="AX783"/>
    </row>
    <row r="784" spans="1:50">
      <c r="A784" s="2" t="s">
        <v>829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35</v>
      </c>
      <c r="G784" t="s">
        <v>325</v>
      </c>
      <c r="H784">
        <v>64</v>
      </c>
      <c r="I784">
        <v>8</v>
      </c>
      <c r="J784">
        <v>8</v>
      </c>
      <c r="K784" s="2" t="s">
        <v>479</v>
      </c>
      <c r="L784">
        <v>16</v>
      </c>
      <c r="M784" t="s">
        <v>21</v>
      </c>
      <c r="N784">
        <v>1</v>
      </c>
      <c r="O784" s="34">
        <v>30</v>
      </c>
      <c r="P784">
        <v>0</v>
      </c>
      <c r="Q784">
        <v>350</v>
      </c>
      <c r="R784" s="31">
        <v>0</v>
      </c>
      <c r="S784" s="30">
        <f>IFERROR(PROPERTIES[[#This Row],[TE_STARTING_KN]]/(PROPERTIES[[#This Row],[WEIGHT]]*9.81),0)</f>
        <v>0</v>
      </c>
      <c r="T784" s="30">
        <v>0.3</v>
      </c>
      <c r="U784" s="27">
        <f>ROUND(IF(IFERROR(PROPERTIES[[#This Row],[TE_COEFFICIENT_CALC]],0)=0,PROPERTIES[[#This Row],[TE_COEFFICIENT_MANUAL]],PROPERTIES[[#This Row],[TE_COEFFICIENT_CALC]]),3)</f>
        <v>0.3</v>
      </c>
      <c r="V784" s="6">
        <v>25</v>
      </c>
      <c r="W784" s="10">
        <v>0</v>
      </c>
      <c r="X784" s="10">
        <v>0</v>
      </c>
      <c r="Y784" s="10"/>
      <c r="Z784" t="str">
        <f>"RUNNING_COST_"&amp;IF(PROPERTIES[[#This Row],[ENGINE_CLASS]]="MAGLEV","ELECTRIC",PROPERTIES[[#This Row],[ENGINE_CLASS]])</f>
        <v>RUNNING_COST_DIESEL</v>
      </c>
      <c r="AA784" s="10" t="s">
        <v>1018</v>
      </c>
      <c r="AB784" s="10" t="s">
        <v>1019</v>
      </c>
      <c r="AC784" s="10" t="str">
        <f>SUBSTITUTE(SUBSTITUTE(PROPERTIES[[#This Row],[PURCHASECOST_VALUE]], "PURCHASECOST_", ""), "_VALUE", "")</f>
        <v>COACH</v>
      </c>
      <c r="AD784" s="2" t="b">
        <v>0</v>
      </c>
      <c r="AV784"/>
      <c r="AW784"/>
      <c r="AX784"/>
    </row>
    <row r="785" spans="1:50">
      <c r="A785" s="2" t="s">
        <v>830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35</v>
      </c>
      <c r="G785" t="s">
        <v>325</v>
      </c>
      <c r="H785">
        <v>255</v>
      </c>
      <c r="I785">
        <v>8</v>
      </c>
      <c r="J785">
        <v>8</v>
      </c>
      <c r="K785" s="2" t="s">
        <v>479</v>
      </c>
      <c r="L785">
        <v>16</v>
      </c>
      <c r="M785" t="s">
        <v>21</v>
      </c>
      <c r="N785">
        <v>1</v>
      </c>
      <c r="O785" s="34">
        <v>36</v>
      </c>
      <c r="P785">
        <v>0</v>
      </c>
      <c r="Q785">
        <v>230</v>
      </c>
      <c r="R785" s="31">
        <v>0</v>
      </c>
      <c r="S785" s="30">
        <f>IFERROR(PROPERTIES[[#This Row],[TE_STARTING_KN]]/(PROPERTIES[[#This Row],[WEIGHT]]*9.81),0)</f>
        <v>0</v>
      </c>
      <c r="T785" s="30">
        <v>0.3</v>
      </c>
      <c r="U785" s="27">
        <f>ROUND(IF(IFERROR(PROPERTIES[[#This Row],[TE_COEFFICIENT_CALC]],0)=0,PROPERTIES[[#This Row],[TE_COEFFICIENT_MANUAL]],PROPERTIES[[#This Row],[TE_COEFFICIENT_CALC]]),3)</f>
        <v>0.3</v>
      </c>
      <c r="V785" s="6">
        <v>25</v>
      </c>
      <c r="W785" s="10">
        <v>0</v>
      </c>
      <c r="X785" s="10">
        <v>0</v>
      </c>
      <c r="Y785" s="10"/>
      <c r="Z785" t="str">
        <f>"RUNNING_COST_"&amp;IF(PROPERTIES[[#This Row],[ENGINE_CLASS]]="MAGLEV","ELECTRIC",PROPERTIES[[#This Row],[ENGINE_CLASS]])</f>
        <v>RUNNING_COST_DIESEL</v>
      </c>
      <c r="AA785" s="10" t="s">
        <v>1018</v>
      </c>
      <c r="AB785" s="10" t="s">
        <v>1019</v>
      </c>
      <c r="AC785" s="10" t="str">
        <f>SUBSTITUTE(SUBSTITUTE(PROPERTIES[[#This Row],[PURCHASECOST_VALUE]], "PURCHASECOST_", ""), "_VALUE", "")</f>
        <v>COACH</v>
      </c>
      <c r="AD785" s="2" t="b">
        <v>0</v>
      </c>
      <c r="AV785"/>
      <c r="AW785"/>
      <c r="AX785"/>
    </row>
    <row r="786" spans="1:50">
      <c r="A786" s="2" t="s">
        <v>831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35</v>
      </c>
      <c r="G786" t="s">
        <v>325</v>
      </c>
      <c r="H786">
        <v>255</v>
      </c>
      <c r="I786">
        <v>8</v>
      </c>
      <c r="J786">
        <v>8</v>
      </c>
      <c r="K786" s="2" t="s">
        <v>24</v>
      </c>
      <c r="L786">
        <v>40</v>
      </c>
      <c r="M786" t="s">
        <v>21</v>
      </c>
      <c r="N786">
        <v>1</v>
      </c>
      <c r="O786" s="34">
        <v>33</v>
      </c>
      <c r="P786">
        <v>0</v>
      </c>
      <c r="Q786">
        <v>140</v>
      </c>
      <c r="R786" s="31">
        <v>0</v>
      </c>
      <c r="S786" s="30">
        <f>IFERROR(PROPERTIES[[#This Row],[TE_STARTING_KN]]/(PROPERTIES[[#This Row],[WEIGHT]]*9.81),0)</f>
        <v>0</v>
      </c>
      <c r="T786" s="30">
        <v>0.3</v>
      </c>
      <c r="U786" s="27">
        <f>ROUND(IF(IFERROR(PROPERTIES[[#This Row],[TE_COEFFICIENT_CALC]],0)=0,PROPERTIES[[#This Row],[TE_COEFFICIENT_MANUAL]],PROPERTIES[[#This Row],[TE_COEFFICIENT_CALC]]),3)</f>
        <v>0.3</v>
      </c>
      <c r="V786" s="6">
        <v>25</v>
      </c>
      <c r="W786" s="10">
        <v>0</v>
      </c>
      <c r="X786" s="10">
        <v>0</v>
      </c>
      <c r="Y786" s="10"/>
      <c r="Z786" t="str">
        <f>"RUNNING_COST_"&amp;IF(PROPERTIES[[#This Row],[ENGINE_CLASS]]="MAGLEV","ELECTRIC",PROPERTIES[[#This Row],[ENGINE_CLASS]])</f>
        <v>RUNNING_COST_DIESEL</v>
      </c>
      <c r="AA786" s="10" t="s">
        <v>1018</v>
      </c>
      <c r="AB786" s="10" t="s">
        <v>1019</v>
      </c>
      <c r="AC786" s="10" t="str">
        <f>SUBSTITUTE(SUBSTITUTE(PROPERTIES[[#This Row],[PURCHASECOST_VALUE]], "PURCHASECOST_", ""), "_VALUE", "")</f>
        <v>COACH</v>
      </c>
      <c r="AD786" s="2" t="b">
        <v>0</v>
      </c>
      <c r="AV786"/>
      <c r="AW786"/>
      <c r="AX786"/>
    </row>
    <row r="787" spans="1:50">
      <c r="A787" s="2" t="s">
        <v>832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35</v>
      </c>
      <c r="G787" t="s">
        <v>673</v>
      </c>
      <c r="H787">
        <v>255</v>
      </c>
      <c r="I787">
        <v>8</v>
      </c>
      <c r="J787">
        <v>8</v>
      </c>
      <c r="K787" s="2" t="s">
        <v>674</v>
      </c>
      <c r="L787">
        <v>15</v>
      </c>
      <c r="M787" t="s">
        <v>21</v>
      </c>
      <c r="N787">
        <v>1</v>
      </c>
      <c r="O787" s="34">
        <v>32</v>
      </c>
      <c r="P787">
        <v>0</v>
      </c>
      <c r="Q787">
        <v>350</v>
      </c>
      <c r="R787" s="31">
        <v>0</v>
      </c>
      <c r="S787" s="30">
        <f>IFERROR(PROPERTIES[[#This Row],[TE_STARTING_KN]]/(PROPERTIES[[#This Row],[WEIGHT]]*9.81),0)</f>
        <v>0</v>
      </c>
      <c r="T787" s="30">
        <v>0.3</v>
      </c>
      <c r="U787" s="27">
        <f>ROUND(IF(IFERROR(PROPERTIES[[#This Row],[TE_COEFFICIENT_CALC]],0)=0,PROPERTIES[[#This Row],[TE_COEFFICIENT_MANUAL]],PROPERTIES[[#This Row],[TE_COEFFICIENT_CALC]]),3)</f>
        <v>0.3</v>
      </c>
      <c r="V787" s="6">
        <v>25</v>
      </c>
      <c r="W787" s="10">
        <v>0</v>
      </c>
      <c r="X787" s="10">
        <v>0</v>
      </c>
      <c r="Y787" s="10"/>
      <c r="Z787" t="str">
        <f>"RUNNING_COST_"&amp;IF(PROPERTIES[[#This Row],[ENGINE_CLASS]]="MAGLEV","ELECTRIC",PROPERTIES[[#This Row],[ENGINE_CLASS]])</f>
        <v>RUNNING_COST_DIESEL</v>
      </c>
      <c r="AA787" s="10" t="s">
        <v>1018</v>
      </c>
      <c r="AB787" s="10" t="s">
        <v>1019</v>
      </c>
      <c r="AC787" s="10" t="str">
        <f>SUBSTITUTE(SUBSTITUTE(PROPERTIES[[#This Row],[PURCHASECOST_VALUE]], "PURCHASECOST_", ""), "_VALUE", "")</f>
        <v>COACH</v>
      </c>
      <c r="AD787" s="2" t="b">
        <v>0</v>
      </c>
      <c r="AV787"/>
      <c r="AW787"/>
      <c r="AX787"/>
    </row>
    <row r="788" spans="1:50">
      <c r="A788" s="2" t="s">
        <v>833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35</v>
      </c>
      <c r="G788" t="s">
        <v>325</v>
      </c>
      <c r="H788">
        <v>255</v>
      </c>
      <c r="I788">
        <v>8</v>
      </c>
      <c r="J788">
        <v>8</v>
      </c>
      <c r="K788" s="2" t="s">
        <v>479</v>
      </c>
      <c r="L788">
        <v>16</v>
      </c>
      <c r="M788" t="s">
        <v>21</v>
      </c>
      <c r="N788">
        <v>1</v>
      </c>
      <c r="O788" s="34">
        <v>44</v>
      </c>
      <c r="P788">
        <v>0</v>
      </c>
      <c r="Q788">
        <v>200</v>
      </c>
      <c r="R788" s="31">
        <v>0</v>
      </c>
      <c r="S788" s="30">
        <f>IFERROR(PROPERTIES[[#This Row],[TE_STARTING_KN]]/(PROPERTIES[[#This Row],[WEIGHT]]*9.81),0)</f>
        <v>0</v>
      </c>
      <c r="T788" s="30">
        <v>0.3</v>
      </c>
      <c r="U788" s="27">
        <f>ROUND(IF(IFERROR(PROPERTIES[[#This Row],[TE_COEFFICIENT_CALC]],0)=0,PROPERTIES[[#This Row],[TE_COEFFICIENT_MANUAL]],PROPERTIES[[#This Row],[TE_COEFFICIENT_CALC]]),3)</f>
        <v>0.3</v>
      </c>
      <c r="V788" s="6">
        <v>25</v>
      </c>
      <c r="W788" s="10">
        <v>0</v>
      </c>
      <c r="X788" s="10">
        <v>0</v>
      </c>
      <c r="Y788" s="10"/>
      <c r="Z788" t="str">
        <f>"RUNNING_COST_"&amp;IF(PROPERTIES[[#This Row],[ENGINE_CLASS]]="MAGLEV","ELECTRIC",PROPERTIES[[#This Row],[ENGINE_CLASS]])</f>
        <v>RUNNING_COST_DIESEL</v>
      </c>
      <c r="AA788" s="10" t="s">
        <v>1018</v>
      </c>
      <c r="AB788" s="10" t="s">
        <v>1019</v>
      </c>
      <c r="AC788" s="10" t="str">
        <f>SUBSTITUTE(SUBSTITUTE(PROPERTIES[[#This Row],[PURCHASECOST_VALUE]], "PURCHASECOST_", ""), "_VALUE", "")</f>
        <v>COACH</v>
      </c>
      <c r="AD788" s="2" t="b">
        <v>0</v>
      </c>
      <c r="AV788"/>
      <c r="AW788"/>
      <c r="AX788"/>
    </row>
    <row r="789" spans="1:50">
      <c r="A789" s="2" t="s">
        <v>834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35</v>
      </c>
      <c r="G789" t="s">
        <v>325</v>
      </c>
      <c r="H789">
        <v>120</v>
      </c>
      <c r="I789">
        <v>8</v>
      </c>
      <c r="J789">
        <v>8</v>
      </c>
      <c r="K789" s="2" t="s">
        <v>479</v>
      </c>
      <c r="L789">
        <v>16</v>
      </c>
      <c r="M789" t="s">
        <v>21</v>
      </c>
      <c r="N789">
        <v>1</v>
      </c>
      <c r="O789" s="34">
        <v>42</v>
      </c>
      <c r="P789">
        <v>0</v>
      </c>
      <c r="Q789">
        <v>350</v>
      </c>
      <c r="R789" s="31">
        <v>0</v>
      </c>
      <c r="S789" s="30">
        <f>IFERROR(PROPERTIES[[#This Row],[TE_STARTING_KN]]/(PROPERTIES[[#This Row],[WEIGHT]]*9.81),0)</f>
        <v>0</v>
      </c>
      <c r="T789" s="30">
        <v>0.3</v>
      </c>
      <c r="U789" s="27">
        <f>ROUND(IF(IFERROR(PROPERTIES[[#This Row],[TE_COEFFICIENT_CALC]],0)=0,PROPERTIES[[#This Row],[TE_COEFFICIENT_MANUAL]],PROPERTIES[[#This Row],[TE_COEFFICIENT_CALC]]),3)</f>
        <v>0.3</v>
      </c>
      <c r="V789" s="6">
        <v>25</v>
      </c>
      <c r="W789" s="10">
        <v>0</v>
      </c>
      <c r="X789" s="10">
        <v>0</v>
      </c>
      <c r="Y789" s="10"/>
      <c r="Z789" t="str">
        <f>"RUNNING_COST_"&amp;IF(PROPERTIES[[#This Row],[ENGINE_CLASS]]="MAGLEV","ELECTRIC",PROPERTIES[[#This Row],[ENGINE_CLASS]])</f>
        <v>RUNNING_COST_DIESEL</v>
      </c>
      <c r="AA789" s="10" t="s">
        <v>1018</v>
      </c>
      <c r="AB789" s="10" t="s">
        <v>1019</v>
      </c>
      <c r="AC789" s="10" t="str">
        <f>SUBSTITUTE(SUBSTITUTE(PROPERTIES[[#This Row],[PURCHASECOST_VALUE]], "PURCHASECOST_", ""), "_VALUE", "")</f>
        <v>COACH</v>
      </c>
      <c r="AD789" s="2" t="b">
        <v>0</v>
      </c>
      <c r="AV789"/>
      <c r="AW789"/>
      <c r="AX789"/>
    </row>
    <row r="790" spans="1:50">
      <c r="A790" s="2" t="s">
        <v>1790</v>
      </c>
      <c r="B790">
        <v>1978</v>
      </c>
      <c r="C790">
        <v>0</v>
      </c>
      <c r="D790" t="s">
        <v>2302</v>
      </c>
      <c r="E790" t="str">
        <f>_xlfn.XLOOKUP(PROPERTIES[[#This Row],[COUNTRY]],COUNTRIES[COUNTRY_DESCRIPTION],COUNTRIES[COUNTRY_LABEL],"")</f>
        <v>GA</v>
      </c>
      <c r="F790" t="s">
        <v>35</v>
      </c>
      <c r="G790" t="s">
        <v>20</v>
      </c>
      <c r="H790">
        <v>0</v>
      </c>
      <c r="I790">
        <v>8</v>
      </c>
      <c r="J790">
        <v>8</v>
      </c>
      <c r="K790" s="2" t="s">
        <v>20</v>
      </c>
      <c r="L790">
        <v>0</v>
      </c>
      <c r="M790">
        <v>45</v>
      </c>
      <c r="N790">
        <v>1</v>
      </c>
      <c r="O790" s="34">
        <v>110</v>
      </c>
      <c r="P790">
        <v>3000</v>
      </c>
      <c r="Q790">
        <v>80</v>
      </c>
      <c r="R790" s="31">
        <v>320</v>
      </c>
      <c r="S790" s="30">
        <f>IFERROR(PROPERTIES[[#This Row],[TE_STARTING_KN]]/(PROPERTIES[[#This Row],[WEIGHT]]*9.81),0)</f>
        <v>0.2965434158094708</v>
      </c>
      <c r="T790" s="30">
        <f>IF(PROPERTIES[[#This Row],[INTRODUCTION_YEAR]]&gt;1980,0.3,IF(PROPERTIES[[#This Row],[ENGINE_CLASS]]="STEAM",0.2,0.25))</f>
        <v>0.25</v>
      </c>
      <c r="U790" s="27">
        <f>ROUND(IF(IFERROR(PROPERTIES[[#This Row],[TE_COEFFICIENT_CALC]],0)=0,PROPERTIES[[#This Row],[TE_COEFFICIENT_MANUAL]],PROPERTIES[[#This Row],[TE_COEFFICIENT_CALC]]),3)</f>
        <v>0.29699999999999999</v>
      </c>
      <c r="V790" s="6">
        <v>25</v>
      </c>
      <c r="W790" s="10">
        <v>0</v>
      </c>
      <c r="X790" s="10">
        <v>0</v>
      </c>
      <c r="Y790" s="11"/>
      <c r="Z790" s="10" t="str">
        <f>"RUNNING_COST_"&amp;IF(PROPERTIES[[#This Row],[ENGINE_CLASS]]="MAGLEV","ELECTRIC",PROPERTIES[[#This Row],[ENGINE_CLASS]])</f>
        <v>RUNNING_COST_DIESEL</v>
      </c>
      <c r="AA790" s="10" t="s">
        <v>1000</v>
      </c>
      <c r="AB790" s="10" t="s">
        <v>1001</v>
      </c>
      <c r="AC790" t="str">
        <f>SUBSTITUTE(SUBSTITUTE(PROPERTIES[[#This Row],[PURCHASECOST_VALUE]], "PURCHASECOST_", ""), "_VALUE", "")</f>
        <v>DIESELENGINE</v>
      </c>
      <c r="AD790" s="2" t="b">
        <v>0</v>
      </c>
      <c r="AU790" s="10"/>
      <c r="AV790" s="11"/>
      <c r="AW790" s="12"/>
      <c r="AX790"/>
    </row>
    <row r="791" spans="1:50">
      <c r="A791" s="2" t="s">
        <v>1793</v>
      </c>
      <c r="B791">
        <v>1917</v>
      </c>
      <c r="C791">
        <v>0</v>
      </c>
      <c r="D791" t="s">
        <v>2043</v>
      </c>
      <c r="E791" t="str">
        <f>_xlfn.XLOOKUP(PROPERTIES[[#This Row],[COUNTRY]],COUNTRIES[COUNTRY_DESCRIPTION],COUNTRIES[COUNTRY_LABEL],"")</f>
        <v>ZA</v>
      </c>
      <c r="F791" t="s">
        <v>23</v>
      </c>
      <c r="G791" t="s">
        <v>20</v>
      </c>
      <c r="H791">
        <v>0</v>
      </c>
      <c r="I791">
        <v>7</v>
      </c>
      <c r="J791">
        <v>8</v>
      </c>
      <c r="K791" s="2" t="s">
        <v>20</v>
      </c>
      <c r="L791">
        <v>0</v>
      </c>
      <c r="M791">
        <v>45</v>
      </c>
      <c r="N791">
        <v>1</v>
      </c>
      <c r="O791" s="34">
        <v>67</v>
      </c>
      <c r="P791">
        <v>950</v>
      </c>
      <c r="Q791">
        <v>55</v>
      </c>
      <c r="R791" s="31">
        <v>143.31725222</v>
      </c>
      <c r="S791" s="30">
        <f>IFERROR(PROPERTIES[[#This Row],[TE_STARTING_KN]]/(PROPERTIES[[#This Row],[WEIGHT]]*9.81),0)</f>
        <v>0.21804928297351164</v>
      </c>
      <c r="T791" s="30">
        <v>0.12</v>
      </c>
      <c r="U791" s="27">
        <f>ROUND(IF(IFERROR(PROPERTIES[[#This Row],[TE_COEFFICIENT_CALC]],0)=0,PROPERTIES[[#This Row],[TE_COEFFICIENT_MANUAL]],PROPERTIES[[#This Row],[TE_COEFFICIENT_CALC]]),3)</f>
        <v>0.218</v>
      </c>
      <c r="V791" s="6">
        <v>40</v>
      </c>
      <c r="W791" s="10">
        <v>0</v>
      </c>
      <c r="X791" s="10">
        <v>5</v>
      </c>
      <c r="Y791" s="11"/>
      <c r="Z791" s="10" t="str">
        <f>"RUNNING_COST_"&amp;IF(PROPERTIES[[#This Row],[ENGINE_CLASS]]="MAGLEV","ELECTRIC",PROPERTIES[[#This Row],[ENGINE_CLASS]])</f>
        <v>RUNNING_COST_STEAM</v>
      </c>
      <c r="AA791" s="10" t="s">
        <v>998</v>
      </c>
      <c r="AB791" s="10" t="s">
        <v>999</v>
      </c>
      <c r="AC791" s="10" t="str">
        <f>SUBSTITUTE(SUBSTITUTE(PROPERTIES[[#This Row],[PURCHASECOST_VALUE]], "PURCHASECOST_", ""), "_VALUE", "")</f>
        <v>STEAMENGINE</v>
      </c>
      <c r="AD791" s="2" t="b">
        <v>0</v>
      </c>
      <c r="AU791" s="10"/>
      <c r="AV791" s="11"/>
      <c r="AW791" s="12"/>
      <c r="AX791"/>
    </row>
    <row r="792" spans="1:50">
      <c r="A792" s="2" t="s">
        <v>2892</v>
      </c>
      <c r="B792">
        <v>2003</v>
      </c>
      <c r="C792">
        <v>1</v>
      </c>
      <c r="D792" t="s">
        <v>1910</v>
      </c>
      <c r="E792" t="str">
        <f>_xlfn.XLOOKUP(PROPERTIES[[#This Row],[COUNTRY]],COUNTRIES[COUNTRY_DESCRIPTION],COUNTRIES[COUNTRY_LABEL],"")</f>
        <v>JP</v>
      </c>
      <c r="F792" t="s">
        <v>74</v>
      </c>
      <c r="G792" t="s">
        <v>532</v>
      </c>
      <c r="H792">
        <v>60</v>
      </c>
      <c r="I792">
        <v>8</v>
      </c>
      <c r="J792">
        <v>8</v>
      </c>
      <c r="K792" s="2" t="s">
        <v>33</v>
      </c>
      <c r="L792">
        <v>20</v>
      </c>
      <c r="M792" t="s">
        <v>21</v>
      </c>
      <c r="N792">
        <v>0</v>
      </c>
      <c r="O792" s="34">
        <f>51/2</f>
        <v>25.5</v>
      </c>
      <c r="P792">
        <v>2360</v>
      </c>
      <c r="Q792">
        <v>140</v>
      </c>
      <c r="R792" s="31">
        <f>98/2</f>
        <v>49</v>
      </c>
      <c r="S792" s="30">
        <f>IFERROR(PROPERTIES[[#This Row],[TE_STARTING_KN]]/(PROPERTIES[[#This Row],[WEIGHT]]*9.81),0)</f>
        <v>0.19587855529571666</v>
      </c>
      <c r="T792" s="30">
        <v>0.17</v>
      </c>
      <c r="U792" s="27">
        <f>ROUND(IF(IFERROR(PROPERTIES[[#This Row],[TE_COEFFICIENT_CALC]],0)=0,PROPERTIES[[#This Row],[TE_COEFFICIENT_MANUAL]],PROPERTIES[[#This Row],[TE_COEFFICIENT_CALC]]),3)</f>
        <v>0.19600000000000001</v>
      </c>
      <c r="V792" s="6">
        <v>25</v>
      </c>
      <c r="W792" s="10">
        <v>60</v>
      </c>
      <c r="X792" s="10">
        <v>8</v>
      </c>
      <c r="Y792" s="10"/>
      <c r="Z792" s="10" t="str">
        <f>"RUNNING_COST_"&amp;IF(PROPERTIES[[#This Row],[ENGINE_CLASS]]="MAGLEV","ELECTRIC",PROPERTIES[[#This Row],[ENGINE_CLASS]])</f>
        <v>RUNNING_COST_ELECTRIC</v>
      </c>
      <c r="AA792" s="10" t="s">
        <v>1008</v>
      </c>
      <c r="AB792" s="10" t="s">
        <v>1009</v>
      </c>
      <c r="AC792" t="s">
        <v>956</v>
      </c>
      <c r="AD792" s="11" t="b">
        <v>0</v>
      </c>
    </row>
  </sheetData>
  <conditionalFormatting sqref="R1:T792 S793:U1048576">
    <cfRule type="cellIs" dxfId="7" priority="2" operator="equal">
      <formula>0</formula>
    </cfRule>
  </conditionalFormatting>
  <conditionalFormatting sqref="AD2:AD792">
    <cfRule type="containsText" dxfId="6" priority="1" operator="containsText" text="FALSE">
      <formula>NOT(ISERROR(SEARCH("FALSE",AD2)))</formula>
    </cfRule>
  </conditionalFormatting>
  <conditionalFormatting sqref="AK790:AM791 AL792:AN1048576">
    <cfRule type="cellIs" dxfId="5" priority="3" operator="equal">
      <formula>FALSE</formula>
    </cfRule>
  </conditionalFormatting>
  <dataValidations count="15">
    <dataValidation type="whole" operator="greaterThanOrEqual" allowBlank="1" showInputMessage="1" showErrorMessage="1" sqref="J792 J2:J725 J784:J789" xr:uid="{CF98E2EA-D1C7-4D7A-8577-5E38E9FB16EB}">
      <formula1>1</formula1>
    </dataValidation>
    <dataValidation type="whole" allowBlank="1" showInputMessage="1" showErrorMessage="1" sqref="C2:C792" xr:uid="{C9FB6BB5-B3CF-40B9-A6CD-3E0B48B95DF5}">
      <formula1>0</formula1>
      <formula2>1</formula2>
    </dataValidation>
    <dataValidation type="whole" operator="greaterThanOrEqual" allowBlank="1" showInputMessage="1" showErrorMessage="1" sqref="W2:Y792 N784:N792 P2:Q792 N2:N725 H2:H792" xr:uid="{699258F9-37E8-437E-9547-ACEA0AFD7DA4}">
      <formula1>0</formula1>
    </dataValidation>
    <dataValidation type="whole" allowBlank="1" showInputMessage="1" showErrorMessage="1" sqref="I792 I2:I789 J726:J783 L726:L783" xr:uid="{0976A28D-137D-4542-827E-3A73EFE0615E}">
      <formula1>1</formula1>
      <formula2>20</formula2>
    </dataValidation>
    <dataValidation type="decimal" operator="greaterThanOrEqual" allowBlank="1" showInputMessage="1" showErrorMessage="1" sqref="O2:O792 R2:U792" xr:uid="{F342F512-E760-4CD3-801B-E5B9CF70B7FD}">
      <formula1>0</formula1>
    </dataValidation>
    <dataValidation type="whole" allowBlank="1" showInputMessage="1" showErrorMessage="1" sqref="V2:V792" xr:uid="{7D4429EE-1046-4DE2-A6D7-76E6899E9B8A}">
      <formula1>5</formula1>
      <formula2>100</formula2>
    </dataValidation>
    <dataValidation operator="greaterThanOrEqual" allowBlank="1" showInputMessage="1" showErrorMessage="1" sqref="Z2:Z792 AG790:AH791 V793:V1048576 AH792:AI1048576" xr:uid="{2D963A9D-C2E3-4020-ABFA-FD04EDA25119}"/>
    <dataValidation type="list" allowBlank="1" showInputMessage="1" showErrorMessage="1" sqref="AB2:AB792" xr:uid="{E34DA190-67B0-4000-AB81-045D705EF781}">
      <formula1>INDIRECT("VALID_RUNNINGCOSTVALUE[RUNNINGCOSTVALUE]")</formula1>
    </dataValidation>
    <dataValidation type="whole" allowBlank="1" showInputMessage="1" showErrorMessage="1" sqref="B2:B789 I792:J792 B792 I2:J789 L726:L783" xr:uid="{DEF10C41-55B4-45CA-9782-0B79331628F3}">
      <formula1>1660</formula1>
      <formula2>3000</formula2>
    </dataValidation>
    <dataValidation type="list" allowBlank="1" showInputMessage="1" showErrorMessage="1" sqref="F2:F792" xr:uid="{EB4398F4-10E4-463B-A52E-1F5C116A99EF}">
      <formula1>INDIRECT("VALID_ENGINE_CLASS[ENGINE_CLASS]")</formula1>
    </dataValidation>
    <dataValidation type="list" operator="greaterThanOrEqual" allowBlank="1" showInputMessage="1" showErrorMessage="1" sqref="AA2:AA792" xr:uid="{D83E915C-A301-4BE3-9E12-6790BD0E2284}">
      <formula1>INDIRECT("VALID_PURCHASECOSTVALUE[PURCHASECOSTVALUE]")</formula1>
    </dataValidation>
    <dataValidation type="list" allowBlank="1" showInputMessage="1" showErrorMessage="1" sqref="D2:D792" xr:uid="{33652263-03A3-437A-966A-BE8C0F8BE076}">
      <formula1>INDIRECT("COUNTRIES[COUNTRY_DESCRIPTION]")</formula1>
    </dataValidation>
    <dataValidation type="list" allowBlank="1" showInputMessage="1" showErrorMessage="1" sqref="E2:E792" xr:uid="{588AE673-9464-4BE0-859D-79E758214056}">
      <formula1>INDIRECT("COUNTRIES[COUNTRY_LABEL]")</formula1>
    </dataValidation>
    <dataValidation type="list" allowBlank="1" showInputMessage="1" showErrorMessage="1" sqref="AK790:AN791 AR790:AV791 AL792:AO1048576 AS792:AW1048576" xr:uid="{9652105D-A1DA-4D87-8399-EE85E90529F0}">
      <formula1>"TRUE"</formula1>
    </dataValidation>
    <dataValidation type="list" allowBlank="1" showInputMessage="1" showErrorMessage="1" sqref="AD2:AD792" xr:uid="{F2DE25A7-EAF4-4DA6-85FD-9F7B7EE18717}">
      <formula1>"TRUE,FALSE"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2"/>
  <sheetViews>
    <sheetView zoomScaleNormal="100" workbookViewId="0">
      <pane xSplit="1" ySplit="1" topLeftCell="X756" activePane="bottomRight" state="frozen"/>
      <selection pane="topRight" activeCell="B1" sqref="B1"/>
      <selection pane="bottomLeft" activeCell="A2" sqref="A2"/>
      <selection pane="bottomRight" activeCell="AB756" sqref="AB756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 hidden="1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 hidden="1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 hidden="1">
      <c r="A4" s="2" t="s">
        <v>22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 hidden="1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 hidden="1">
      <c r="A6" s="2" t="s">
        <v>26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 hidden="1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 hidden="1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 hidden="1">
      <c r="A9" s="2" t="s">
        <v>29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 hidden="1">
      <c r="A10" s="2" t="s">
        <v>30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 hidden="1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 hidden="1">
      <c r="A12" s="2" t="s">
        <v>34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 hidden="1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 hidden="1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 hidden="1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 hidden="1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 hidden="1">
      <c r="A17" s="2" t="s">
        <v>40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 hidden="1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 hidden="1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 hidden="1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 hidden="1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 hidden="1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 hidden="1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 hidden="1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 hidden="1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 hidden="1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 hidden="1">
      <c r="A27" s="2" t="s">
        <v>50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 hidden="1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 hidden="1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 hidden="1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 hidden="1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 hidden="1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 hidden="1">
      <c r="A33" s="2" t="s">
        <v>56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 hidden="1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 hidden="1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 hidden="1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 hidden="1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 hidden="1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 hidden="1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 hidden="1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 hidden="1">
      <c r="A41" s="2" t="s">
        <v>64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 hidden="1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 hidden="1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 hidden="1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 hidden="1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 hidden="1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 hidden="1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 hidden="1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 hidden="1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 hidden="1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 hidden="1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 hidden="1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 hidden="1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 hidden="1">
      <c r="A54" s="2" t="s">
        <v>78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 hidden="1">
      <c r="A55" s="2" t="s">
        <v>79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 hidden="1">
      <c r="A56" s="2" t="s">
        <v>80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 hidden="1">
      <c r="A57" s="2" t="s">
        <v>81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 hidden="1">
      <c r="A58" s="2" t="s">
        <v>82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 hidden="1">
      <c r="A59" s="2" t="s">
        <v>83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 hidden="1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 hidden="1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 hidden="1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 hidden="1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 hidden="1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 hidden="1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 hidden="1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 hidden="1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 hidden="1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 hidden="1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 hidden="1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 hidden="1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 hidden="1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 hidden="1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 hidden="1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 hidden="1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 hidden="1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 hidden="1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 hidden="1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 hidden="1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 hidden="1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 hidden="1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 hidden="1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 hidden="1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 hidden="1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 hidden="1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 hidden="1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 hidden="1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 hidden="1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 hidden="1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 hidden="1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 hidden="1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 hidden="1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 hidden="1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 hidden="1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 hidden="1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 hidden="1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 hidden="1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 hidden="1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 hidden="1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 hidden="1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 hidden="1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 hidden="1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 hidden="1">
      <c r="A103" s="2" t="s">
        <v>127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 hidden="1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 hidden="1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 hidden="1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 hidden="1">
      <c r="A107" s="2" t="s">
        <v>131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 hidden="1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 hidden="1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 hidden="1">
      <c r="A110" s="2" t="s">
        <v>134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 hidden="1">
      <c r="A111" s="2" t="s">
        <v>135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 hidden="1">
      <c r="A112" s="2" t="s">
        <v>136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 hidden="1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 hidden="1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 hidden="1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 hidden="1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 hidden="1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 hidden="1">
      <c r="A118" s="2" t="s">
        <v>142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 hidden="1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 hidden="1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 hidden="1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 hidden="1">
      <c r="A122" s="2" t="s">
        <v>146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 hidden="1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 hidden="1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 hidden="1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 hidden="1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 hidden="1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 hidden="1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 hidden="1">
      <c r="A129" s="2" t="s">
        <v>153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 hidden="1">
      <c r="A130" s="2" t="s">
        <v>154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 hidden="1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 hidden="1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 hidden="1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 hidden="1">
      <c r="A134" s="2" t="s">
        <v>158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 hidden="1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 hidden="1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 hidden="1">
      <c r="A137" s="2" t="s">
        <v>161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 hidden="1">
      <c r="A138" s="2" t="s">
        <v>162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 hidden="1">
      <c r="A139" s="2" t="s">
        <v>163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 hidden="1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 hidden="1">
      <c r="A141" s="2" t="s">
        <v>165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 hidden="1">
      <c r="A142" s="2" t="s">
        <v>166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 hidden="1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 hidden="1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 hidden="1">
      <c r="A145" s="2" t="s">
        <v>169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 hidden="1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 hidden="1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 hidden="1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 hidden="1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 hidden="1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 hidden="1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 hidden="1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 hidden="1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 hidden="1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 hidden="1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 hidden="1">
      <c r="A156" s="2" t="s">
        <v>180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 hidden="1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 hidden="1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 hidden="1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 hidden="1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 hidden="1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 hidden="1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 hidden="1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 hidden="1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 hidden="1">
      <c r="A165" s="2" t="s">
        <v>189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 hidden="1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 hidden="1">
      <c r="A167" s="2" t="s">
        <v>191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 hidden="1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 hidden="1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 hidden="1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 hidden="1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 hidden="1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 hidden="1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 hidden="1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 hidden="1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 hidden="1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 hidden="1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 hidden="1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 hidden="1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 hidden="1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 hidden="1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 hidden="1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 hidden="1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 hidden="1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 hidden="1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 hidden="1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 hidden="1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 hidden="1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 hidden="1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 hidden="1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 hidden="1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 hidden="1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 hidden="1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 hidden="1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 hidden="1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 hidden="1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 hidden="1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 hidden="1">
      <c r="A198" s="2" t="s">
        <v>222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 hidden="1">
      <c r="A199" s="2" t="s">
        <v>223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 hidden="1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 hidden="1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 hidden="1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 hidden="1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 hidden="1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 hidden="1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 hidden="1">
      <c r="A206" s="2" t="s">
        <v>230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 hidden="1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 hidden="1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 hidden="1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 hidden="1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 hidden="1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 hidden="1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 hidden="1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 hidden="1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 hidden="1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 hidden="1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 hidden="1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 hidden="1">
      <c r="A218" s="2" t="s">
        <v>241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 hidden="1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 hidden="1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 hidden="1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 hidden="1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 hidden="1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 hidden="1">
      <c r="A224" s="2" t="s">
        <v>247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 hidden="1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 hidden="1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 hidden="1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 hidden="1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 hidden="1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 hidden="1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 hidden="1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 hidden="1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 hidden="1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 hidden="1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 hidden="1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 hidden="1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 hidden="1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 hidden="1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 hidden="1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 hidden="1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 hidden="1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 hidden="1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 hidden="1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 hidden="1">
      <c r="A244" s="2" t="s">
        <v>267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 hidden="1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 hidden="1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 hidden="1">
      <c r="A247" s="2" t="s">
        <v>270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 hidden="1">
      <c r="A248" s="2" t="s">
        <v>271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 hidden="1">
      <c r="A249" s="2" t="s">
        <v>272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 hidden="1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 hidden="1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 hidden="1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 hidden="1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 hidden="1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 hidden="1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 hidden="1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 hidden="1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 hidden="1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 hidden="1">
      <c r="A259" s="2" t="s">
        <v>282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 hidden="1">
      <c r="A260" s="2" t="s">
        <v>283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 hidden="1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 hidden="1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 hidden="1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 hidden="1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 hidden="1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 hidden="1">
      <c r="A266" s="2" t="s">
        <v>289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 hidden="1">
      <c r="A267" s="2" t="s">
        <v>290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 hidden="1">
      <c r="A268" s="2" t="s">
        <v>291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 hidden="1">
      <c r="A269" s="2" t="s">
        <v>292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 hidden="1">
      <c r="A270" s="2" t="s">
        <v>293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 hidden="1">
      <c r="A271" s="2" t="s">
        <v>294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 hidden="1">
      <c r="A272" s="2" t="s">
        <v>295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 hidden="1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 hidden="1">
      <c r="A274" s="2" t="s">
        <v>297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 hidden="1">
      <c r="A275" s="2" t="s">
        <v>298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 hidden="1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 hidden="1">
      <c r="A277" s="2" t="s">
        <v>300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 hidden="1">
      <c r="A278" s="2" t="s">
        <v>301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 hidden="1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 hidden="1">
      <c r="A280" s="2" t="s">
        <v>303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 hidden="1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 hidden="1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 hidden="1">
      <c r="A283" s="2" t="s">
        <v>306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 hidden="1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 hidden="1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 hidden="1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 hidden="1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 hidden="1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 hidden="1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 hidden="1">
      <c r="A290" s="2" t="s">
        <v>313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 hidden="1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 hidden="1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 hidden="1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 hidden="1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 hidden="1">
      <c r="A295" s="2" t="s">
        <v>318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 hidden="1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 hidden="1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 hidden="1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 hidden="1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 hidden="1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 hidden="1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 hidden="1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 hidden="1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 hidden="1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 hidden="1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 hidden="1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 hidden="1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 hidden="1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 hidden="1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 hidden="1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 hidden="1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 hidden="1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 hidden="1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 hidden="1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 hidden="1">
      <c r="A315" s="2" t="s">
        <v>340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 hidden="1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 hidden="1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 hidden="1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 hidden="1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 hidden="1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 hidden="1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 hidden="1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 hidden="1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 hidden="1">
      <c r="A324" s="2" t="s">
        <v>349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 hidden="1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 hidden="1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 hidden="1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 hidden="1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 hidden="1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 hidden="1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 hidden="1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 hidden="1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 hidden="1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 hidden="1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 hidden="1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 hidden="1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 hidden="1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 hidden="1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 hidden="1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 hidden="1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 hidden="1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 hidden="1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 hidden="1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 hidden="1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 hidden="1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 hidden="1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 hidden="1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 hidden="1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 hidden="1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 hidden="1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 hidden="1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 hidden="1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 hidden="1">
      <c r="A353" s="2" t="s">
        <v>378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 hidden="1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 hidden="1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 hidden="1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 hidden="1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 hidden="1">
      <c r="A358" s="2" t="s">
        <v>383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 hidden="1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 hidden="1">
      <c r="A360" s="2" t="s">
        <v>385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 hidden="1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 hidden="1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 hidden="1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 hidden="1">
      <c r="A364" s="2" t="s">
        <v>389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 hidden="1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 hidden="1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 hidden="1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 hidden="1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 hidden="1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 hidden="1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 hidden="1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 hidden="1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 hidden="1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 hidden="1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 hidden="1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 hidden="1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 hidden="1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 hidden="1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 hidden="1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 hidden="1">
      <c r="A380" s="2" t="s">
        <v>405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 hidden="1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 hidden="1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 hidden="1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 hidden="1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 hidden="1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 hidden="1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 hidden="1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 hidden="1">
      <c r="A388" s="2" t="s">
        <v>413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 hidden="1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 hidden="1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 hidden="1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 hidden="1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 hidden="1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 hidden="1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 hidden="1">
      <c r="A395" s="2" t="s">
        <v>420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 hidden="1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 hidden="1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 hidden="1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 hidden="1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 hidden="1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 hidden="1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 hidden="1">
      <c r="A402" s="2" t="s">
        <v>427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 hidden="1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 hidden="1">
      <c r="A404" s="2" t="s">
        <v>429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 hidden="1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 hidden="1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 hidden="1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 hidden="1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 hidden="1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 hidden="1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 hidden="1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 hidden="1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 hidden="1">
      <c r="A413" s="2" t="s">
        <v>438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 hidden="1">
      <c r="A414" s="2" t="s">
        <v>439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 hidden="1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 hidden="1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 hidden="1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 hidden="1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 hidden="1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 hidden="1">
      <c r="A420" s="2" t="s">
        <v>445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 hidden="1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 hidden="1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 hidden="1">
      <c r="A423" s="2" t="s">
        <v>448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 hidden="1">
      <c r="A424" s="2" t="s">
        <v>449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 hidden="1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 hidden="1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 hidden="1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 hidden="1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 hidden="1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 hidden="1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 hidden="1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 hidden="1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 hidden="1">
      <c r="A433" s="2" t="s">
        <v>458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 hidden="1">
      <c r="A434" s="2" t="s">
        <v>459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 hidden="1">
      <c r="A435" s="2" t="s">
        <v>460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 hidden="1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 hidden="1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 hidden="1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 hidden="1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 hidden="1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 hidden="1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 hidden="1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 hidden="1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 hidden="1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 hidden="1">
      <c r="A445" s="2" t="s">
        <v>470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 hidden="1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 hidden="1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 hidden="1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 hidden="1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 hidden="1">
      <c r="A450" s="2" t="s">
        <v>475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 hidden="1">
      <c r="A451" s="2" t="s">
        <v>476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 hidden="1">
      <c r="A452" s="2" t="s">
        <v>477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 hidden="1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 hidden="1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 hidden="1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 hidden="1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 hidden="1">
      <c r="A457" s="2" t="s">
        <v>483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 hidden="1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 hidden="1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 hidden="1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 hidden="1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 hidden="1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 hidden="1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 hidden="1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 hidden="1">
      <c r="A465" s="2" t="s">
        <v>491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 hidden="1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 hidden="1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 hidden="1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 hidden="1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 hidden="1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 hidden="1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 hidden="1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 hidden="1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 hidden="1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 hidden="1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 hidden="1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 hidden="1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 hidden="1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 hidden="1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 hidden="1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 hidden="1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 hidden="1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 hidden="1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 hidden="1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 hidden="1">
      <c r="A485" s="2" t="s">
        <v>511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 hidden="1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 hidden="1">
      <c r="A487" s="2" t="s">
        <v>513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 hidden="1">
      <c r="A488" s="2" t="s">
        <v>514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 hidden="1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 hidden="1">
      <c r="A490" s="2" t="s">
        <v>516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 hidden="1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 hidden="1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 hidden="1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 hidden="1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 hidden="1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 hidden="1">
      <c r="A496" s="2" t="s">
        <v>522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 hidden="1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 hidden="1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 hidden="1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 hidden="1">
      <c r="A500" s="2" t="s">
        <v>526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 hidden="1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 hidden="1">
      <c r="A502" s="2" t="s">
        <v>528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 hidden="1">
      <c r="A503" s="2" t="s">
        <v>529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 hidden="1">
      <c r="A504" s="2" t="s">
        <v>530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 hidden="1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 hidden="1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 hidden="1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 hidden="1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 hidden="1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 hidden="1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 hidden="1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 hidden="1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 hidden="1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 hidden="1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 hidden="1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 hidden="1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 hidden="1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 hidden="1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 hidden="1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 hidden="1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 hidden="1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 hidden="1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 hidden="1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 hidden="1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 hidden="1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 hidden="1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 hidden="1">
      <c r="A527" s="2" t="s">
        <v>554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 hidden="1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 hidden="1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 hidden="1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 hidden="1">
      <c r="A531" s="2" t="s">
        <v>558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 hidden="1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 hidden="1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 hidden="1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 hidden="1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 hidden="1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 hidden="1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 hidden="1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 hidden="1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 hidden="1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 hidden="1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 hidden="1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 hidden="1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 hidden="1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 hidden="1">
      <c r="A545" s="2" t="s">
        <v>572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 hidden="1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 hidden="1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 hidden="1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 hidden="1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 hidden="1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 hidden="1">
      <c r="A551" s="2" t="s">
        <v>578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 hidden="1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 hidden="1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 hidden="1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 hidden="1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 hidden="1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 hidden="1">
      <c r="A557" s="2" t="s">
        <v>584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 hidden="1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 hidden="1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 hidden="1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 hidden="1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 hidden="1">
      <c r="A562" s="2" t="s">
        <v>589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 hidden="1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 hidden="1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 hidden="1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 hidden="1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 hidden="1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 hidden="1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 hidden="1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 hidden="1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 hidden="1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 hidden="1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 hidden="1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 hidden="1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 hidden="1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 hidden="1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 hidden="1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 hidden="1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 hidden="1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 hidden="1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 hidden="1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 hidden="1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 hidden="1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 hidden="1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 hidden="1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 hidden="1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 hidden="1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 hidden="1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 hidden="1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 hidden="1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 hidden="1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 hidden="1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 hidden="1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 hidden="1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 hidden="1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 hidden="1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 hidden="1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 hidden="1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 hidden="1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 hidden="1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 hidden="1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 hidden="1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 hidden="1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 hidden="1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 hidden="1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 hidden="1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 hidden="1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 hidden="1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 hidden="1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 hidden="1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 hidden="1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 hidden="1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 hidden="1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 hidden="1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 hidden="1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 hidden="1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 hidden="1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 hidden="1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 hidden="1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 hidden="1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 hidden="1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 hidden="1">
      <c r="A622" s="2" t="s">
        <v>645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 hidden="1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 hidden="1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 hidden="1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 hidden="1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 hidden="1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 hidden="1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 hidden="1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 hidden="1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 hidden="1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 hidden="1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 hidden="1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 hidden="1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 hidden="1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 hidden="1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 hidden="1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 hidden="1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 hidden="1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 hidden="1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 hidden="1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 hidden="1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 hidden="1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 hidden="1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 hidden="1">
      <c r="A645" s="2" t="s">
        <v>668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 hidden="1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 hidden="1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 hidden="1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 hidden="1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 hidden="1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 hidden="1">
      <c r="A651" s="2" t="s">
        <v>755</v>
      </c>
      <c r="B651" t="b">
        <v>1</v>
      </c>
      <c r="K651" t="b">
        <v>1</v>
      </c>
      <c r="T651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 hidden="1">
      <c r="A652" s="2" t="s">
        <v>756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 hidden="1">
      <c r="A653" s="2" t="s">
        <v>757</v>
      </c>
      <c r="B653" t="b">
        <v>1</v>
      </c>
      <c r="K653" t="b">
        <v>1</v>
      </c>
      <c r="T653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 hidden="1">
      <c r="A654" s="2" t="s">
        <v>758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 hidden="1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 hidden="1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 hidden="1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 hidden="1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 hidden="1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 hidden="1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 hidden="1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 hidden="1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 hidden="1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 hidden="1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 hidden="1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 hidden="1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 hidden="1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 hidden="1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 hidden="1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 hidden="1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 hidden="1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 hidden="1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 hidden="1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 hidden="1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 hidden="1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 hidden="1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 hidden="1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 hidden="1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 hidden="1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 hidden="1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 hidden="1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 hidden="1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 hidden="1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 hidden="1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 hidden="1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 hidden="1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 hidden="1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 hidden="1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 hidden="1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 hidden="1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 hidden="1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 hidden="1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 hidden="1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 hidden="1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 hidden="1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 hidden="1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 hidden="1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 hidden="1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 hidden="1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 hidden="1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 hidden="1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 hidden="1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 hidden="1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 hidden="1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 hidden="1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 hidden="1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 hidden="1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 hidden="1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 hidden="1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 hidden="1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 hidden="1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 hidden="1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 hidden="1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 hidden="1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 hidden="1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 hidden="1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 hidden="1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 hidden="1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 hidden="1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 hidden="1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 hidden="1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 hidden="1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 hidden="1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 hidden="1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 hidden="1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 hidden="1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 hidden="1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 hidden="1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 hidden="1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 hidden="1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 hidden="1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 hidden="1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 hidden="1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 hidden="1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 hidden="1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 hidden="1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 hidden="1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 hidden="1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 hidden="1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 hidden="1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 hidden="1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 hidden="1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 hidden="1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 hidden="1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 hidden="1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 hidden="1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 hidden="1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 hidden="1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 hidden="1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 hidden="1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 hidden="1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 hidden="1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 hidden="1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 hidden="1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 hidden="1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 hidden="1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 hidden="1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 hidden="1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 hidden="1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 hidden="1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 hidden="1">
      <c r="A765" s="2" t="s">
        <v>810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 hidden="1">
      <c r="A766" s="2" t="s">
        <v>811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 hidden="1">
      <c r="A767" s="2" t="s">
        <v>812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 hidden="1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 hidden="1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 hidden="1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 hidden="1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 hidden="1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 hidden="1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 hidden="1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 hidden="1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 hidden="1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 hidden="1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 hidden="1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 hidden="1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 hidden="1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 hidden="1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 hidden="1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 hidden="1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 hidden="1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 hidden="1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 hidden="1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 hidden="1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 hidden="1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 hidden="1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 hidden="1">
      <c r="A790" s="2" t="s">
        <v>1790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 hidden="1">
      <c r="A791" s="2" t="s">
        <v>1793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 hidden="1">
      <c r="A792" s="2" t="s">
        <v>2892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4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2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3"/>
  <sheetViews>
    <sheetView zoomScaleNormal="100" workbookViewId="0">
      <pane xSplit="1" ySplit="1" topLeftCell="B681" activePane="bottomRight" state="frozen"/>
      <selection pane="topRight" activeCell="B1" sqref="B1"/>
      <selection pane="bottomLeft" activeCell="A2" sqref="A2"/>
      <selection pane="bottomRight" activeCell="A555" sqref="A55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1790</v>
      </c>
      <c r="B790" t="s">
        <v>916</v>
      </c>
      <c r="C790" s="2" t="s">
        <v>912</v>
      </c>
      <c r="D790" t="s">
        <v>930</v>
      </c>
    </row>
    <row r="791" spans="1:18">
      <c r="A791" s="2" t="s">
        <v>1793</v>
      </c>
      <c r="B791" t="s">
        <v>916</v>
      </c>
      <c r="C791" s="2" t="s">
        <v>912</v>
      </c>
      <c r="D791" t="s">
        <v>930</v>
      </c>
    </row>
    <row r="792" spans="1:18">
      <c r="A792" s="2" t="s">
        <v>2892</v>
      </c>
      <c r="B792" s="2" t="s">
        <v>921</v>
      </c>
      <c r="C792" s="2" t="s">
        <v>912</v>
      </c>
      <c r="D792" s="2" t="s">
        <v>930</v>
      </c>
    </row>
    <row r="793" spans="1:18">
      <c r="A793" s="2"/>
      <c r="B793" s="2"/>
      <c r="C793" s="2"/>
      <c r="D793" s="2"/>
    </row>
  </sheetData>
  <conditionalFormatting sqref="B1:D793 F790:H1048576">
    <cfRule type="cellIs" dxfId="3" priority="2" operator="equal">
      <formula>FALSE</formula>
    </cfRule>
  </conditionalFormatting>
  <dataValidations count="3">
    <dataValidation type="list" allowBlank="1" showInputMessage="1" showErrorMessage="1" sqref="D2:D791" xr:uid="{6241AFCF-833E-4240-ACD8-CD038B3C09B5}">
      <formula1>INDIRECT("VALID_CONCEPTS[VALID_CONCEPTS]")</formula1>
    </dataValidation>
    <dataValidation type="list" allowBlank="1" showInputMessage="1" showErrorMessage="1" sqref="B2:C789 B790:B791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D2:D791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B790:B791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2"/>
  <sheetViews>
    <sheetView zoomScaleNormal="100" workbookViewId="0">
      <pane xSplit="1" ySplit="1" topLeftCell="B768" activePane="bottomRight" state="frozen"/>
      <selection pane="topRight" activeCell="B1" sqref="B1"/>
      <selection pane="bottomLeft" activeCell="A2" sqref="A2"/>
      <selection pane="bottomRight" activeCell="A792" sqref="A792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f>B2</f>
        <v>0</v>
      </c>
      <c r="C3">
        <f t="shared" ref="C3:I3" si="0">C2</f>
        <v>0</v>
      </c>
      <c r="D3">
        <f t="shared" si="0"/>
        <v>185</v>
      </c>
      <c r="E3">
        <f t="shared" si="0"/>
        <v>0</v>
      </c>
      <c r="F3">
        <f t="shared" si="0"/>
        <v>0</v>
      </c>
      <c r="G3">
        <f t="shared" si="0"/>
        <v>20</v>
      </c>
      <c r="H3">
        <f t="shared" si="0"/>
        <v>20</v>
      </c>
      <c r="I3" t="str">
        <f t="shared" si="0"/>
        <v>SPRITE_ID_NEW_TRAIN</v>
      </c>
      <c r="U3"/>
      <c r="V3"/>
      <c r="W3"/>
    </row>
    <row r="4" spans="1:23">
      <c r="A4" s="2" t="s">
        <v>22</v>
      </c>
      <c r="B4">
        <f t="shared" ref="B4:B67" si="1">B3</f>
        <v>0</v>
      </c>
      <c r="C4">
        <f t="shared" ref="C4:C67" si="2">C3</f>
        <v>0</v>
      </c>
      <c r="D4">
        <f t="shared" ref="D4:D67" si="3">D3</f>
        <v>185</v>
      </c>
      <c r="E4">
        <f t="shared" ref="E4:E67" si="4">E3</f>
        <v>0</v>
      </c>
      <c r="F4">
        <f t="shared" ref="F4:F67" si="5">F3</f>
        <v>0</v>
      </c>
      <c r="G4">
        <f t="shared" ref="G4:G67" si="6">G3</f>
        <v>20</v>
      </c>
      <c r="H4">
        <f t="shared" ref="H4:H67" si="7">H3</f>
        <v>20</v>
      </c>
      <c r="I4" t="str">
        <f t="shared" ref="I4:I67" si="8">I3</f>
        <v>SPRITE_ID_NEW_TRAIN</v>
      </c>
      <c r="U4"/>
      <c r="V4"/>
      <c r="W4"/>
    </row>
    <row r="5" spans="1:23">
      <c r="A5" s="2" t="s">
        <v>25</v>
      </c>
      <c r="B5">
        <f t="shared" si="1"/>
        <v>0</v>
      </c>
      <c r="C5">
        <f t="shared" si="2"/>
        <v>0</v>
      </c>
      <c r="D5">
        <f t="shared" si="3"/>
        <v>185</v>
      </c>
      <c r="E5">
        <f t="shared" si="4"/>
        <v>0</v>
      </c>
      <c r="F5">
        <f t="shared" si="5"/>
        <v>0</v>
      </c>
      <c r="G5">
        <f t="shared" si="6"/>
        <v>20</v>
      </c>
      <c r="H5">
        <f t="shared" si="7"/>
        <v>20</v>
      </c>
      <c r="I5" t="str">
        <f t="shared" si="8"/>
        <v>SPRITE_ID_NEW_TRAIN</v>
      </c>
      <c r="U5"/>
      <c r="V5"/>
      <c r="W5"/>
    </row>
    <row r="6" spans="1:23">
      <c r="A6" s="2" t="s">
        <v>26</v>
      </c>
      <c r="B6">
        <f t="shared" si="1"/>
        <v>0</v>
      </c>
      <c r="C6">
        <f t="shared" si="2"/>
        <v>0</v>
      </c>
      <c r="D6">
        <f t="shared" si="3"/>
        <v>185</v>
      </c>
      <c r="E6">
        <f t="shared" si="4"/>
        <v>0</v>
      </c>
      <c r="F6">
        <f t="shared" si="5"/>
        <v>0</v>
      </c>
      <c r="G6">
        <f t="shared" si="6"/>
        <v>20</v>
      </c>
      <c r="H6">
        <f t="shared" si="7"/>
        <v>20</v>
      </c>
      <c r="I6" t="str">
        <f t="shared" si="8"/>
        <v>SPRITE_ID_NEW_TRAIN</v>
      </c>
      <c r="U6"/>
      <c r="V6"/>
      <c r="W6"/>
    </row>
    <row r="7" spans="1:23">
      <c r="A7" s="2" t="s">
        <v>27</v>
      </c>
      <c r="B7">
        <f t="shared" si="1"/>
        <v>0</v>
      </c>
      <c r="C7">
        <f t="shared" si="2"/>
        <v>0</v>
      </c>
      <c r="D7">
        <f t="shared" si="3"/>
        <v>185</v>
      </c>
      <c r="E7">
        <f t="shared" si="4"/>
        <v>0</v>
      </c>
      <c r="F7">
        <f t="shared" si="5"/>
        <v>0</v>
      </c>
      <c r="G7">
        <f t="shared" si="6"/>
        <v>20</v>
      </c>
      <c r="H7">
        <f t="shared" si="7"/>
        <v>20</v>
      </c>
      <c r="I7" t="str">
        <f t="shared" si="8"/>
        <v>SPRITE_ID_NEW_TRAIN</v>
      </c>
      <c r="U7"/>
      <c r="V7"/>
      <c r="W7"/>
    </row>
    <row r="8" spans="1:23">
      <c r="A8" s="2" t="s">
        <v>28</v>
      </c>
      <c r="B8">
        <f t="shared" si="1"/>
        <v>0</v>
      </c>
      <c r="C8">
        <f t="shared" si="2"/>
        <v>0</v>
      </c>
      <c r="D8">
        <f t="shared" si="3"/>
        <v>185</v>
      </c>
      <c r="E8">
        <f t="shared" si="4"/>
        <v>0</v>
      </c>
      <c r="F8">
        <f t="shared" si="5"/>
        <v>0</v>
      </c>
      <c r="G8">
        <f t="shared" si="6"/>
        <v>20</v>
      </c>
      <c r="H8">
        <f t="shared" si="7"/>
        <v>20</v>
      </c>
      <c r="I8" t="str">
        <f t="shared" si="8"/>
        <v>SPRITE_ID_NEW_TRAIN</v>
      </c>
      <c r="U8"/>
      <c r="V8"/>
      <c r="W8"/>
    </row>
    <row r="9" spans="1:23">
      <c r="A9" s="2" t="s">
        <v>29</v>
      </c>
      <c r="B9">
        <f t="shared" si="1"/>
        <v>0</v>
      </c>
      <c r="C9">
        <f t="shared" si="2"/>
        <v>0</v>
      </c>
      <c r="D9">
        <f t="shared" si="3"/>
        <v>185</v>
      </c>
      <c r="E9">
        <f t="shared" si="4"/>
        <v>0</v>
      </c>
      <c r="F9">
        <f t="shared" si="5"/>
        <v>0</v>
      </c>
      <c r="G9">
        <f t="shared" si="6"/>
        <v>20</v>
      </c>
      <c r="H9">
        <f t="shared" si="7"/>
        <v>20</v>
      </c>
      <c r="I9" t="str">
        <f t="shared" si="8"/>
        <v>SPRITE_ID_NEW_TRAIN</v>
      </c>
      <c r="U9"/>
      <c r="V9"/>
      <c r="W9"/>
    </row>
    <row r="10" spans="1:23">
      <c r="A10" s="2" t="s">
        <v>30</v>
      </c>
      <c r="B10">
        <f t="shared" si="1"/>
        <v>0</v>
      </c>
      <c r="C10">
        <f t="shared" si="2"/>
        <v>0</v>
      </c>
      <c r="D10">
        <f t="shared" si="3"/>
        <v>185</v>
      </c>
      <c r="E10">
        <f t="shared" si="4"/>
        <v>0</v>
      </c>
      <c r="F10">
        <f t="shared" si="5"/>
        <v>0</v>
      </c>
      <c r="G10">
        <f t="shared" si="6"/>
        <v>20</v>
      </c>
      <c r="H10">
        <f t="shared" si="7"/>
        <v>20</v>
      </c>
      <c r="I10" t="str">
        <f t="shared" si="8"/>
        <v>SPRITE_ID_NEW_TRAIN</v>
      </c>
      <c r="U10"/>
      <c r="V10"/>
      <c r="W10"/>
    </row>
    <row r="11" spans="1:23">
      <c r="A11" s="2" t="s">
        <v>31</v>
      </c>
      <c r="B11">
        <f t="shared" si="1"/>
        <v>0</v>
      </c>
      <c r="C11">
        <f t="shared" si="2"/>
        <v>0</v>
      </c>
      <c r="D11">
        <f t="shared" si="3"/>
        <v>185</v>
      </c>
      <c r="E11">
        <f t="shared" si="4"/>
        <v>0</v>
      </c>
      <c r="F11">
        <f t="shared" si="5"/>
        <v>0</v>
      </c>
      <c r="G11">
        <f t="shared" si="6"/>
        <v>20</v>
      </c>
      <c r="H11">
        <f t="shared" si="7"/>
        <v>20</v>
      </c>
      <c r="I11" t="str">
        <f t="shared" si="8"/>
        <v>SPRITE_ID_NEW_TRAIN</v>
      </c>
      <c r="U11"/>
      <c r="V11"/>
      <c r="W11"/>
    </row>
    <row r="12" spans="1:23">
      <c r="A12" s="2" t="s">
        <v>34</v>
      </c>
      <c r="B12">
        <f t="shared" si="1"/>
        <v>0</v>
      </c>
      <c r="C12">
        <f t="shared" si="2"/>
        <v>0</v>
      </c>
      <c r="D12">
        <f t="shared" si="3"/>
        <v>185</v>
      </c>
      <c r="E12">
        <f t="shared" si="4"/>
        <v>0</v>
      </c>
      <c r="F12">
        <f t="shared" si="5"/>
        <v>0</v>
      </c>
      <c r="G12">
        <f t="shared" si="6"/>
        <v>20</v>
      </c>
      <c r="H12">
        <f t="shared" si="7"/>
        <v>20</v>
      </c>
      <c r="I12" t="str">
        <f t="shared" si="8"/>
        <v>SPRITE_ID_NEW_TRAIN</v>
      </c>
      <c r="U12"/>
      <c r="V12"/>
      <c r="W12"/>
    </row>
    <row r="13" spans="1:23">
      <c r="A13" s="2" t="s">
        <v>36</v>
      </c>
      <c r="B13">
        <f t="shared" si="1"/>
        <v>0</v>
      </c>
      <c r="C13">
        <f t="shared" si="2"/>
        <v>0</v>
      </c>
      <c r="D13">
        <f t="shared" si="3"/>
        <v>185</v>
      </c>
      <c r="E13">
        <f t="shared" si="4"/>
        <v>0</v>
      </c>
      <c r="F13">
        <f t="shared" si="5"/>
        <v>0</v>
      </c>
      <c r="G13">
        <f t="shared" si="6"/>
        <v>20</v>
      </c>
      <c r="H13">
        <f t="shared" si="7"/>
        <v>20</v>
      </c>
      <c r="I13" t="str">
        <f t="shared" si="8"/>
        <v>SPRITE_ID_NEW_TRAIN</v>
      </c>
      <c r="U13"/>
      <c r="V13"/>
      <c r="W13"/>
    </row>
    <row r="14" spans="1:23">
      <c r="A14" s="2" t="s">
        <v>37</v>
      </c>
      <c r="B14">
        <f t="shared" si="1"/>
        <v>0</v>
      </c>
      <c r="C14">
        <f t="shared" si="2"/>
        <v>0</v>
      </c>
      <c r="D14">
        <f t="shared" si="3"/>
        <v>185</v>
      </c>
      <c r="E14">
        <f t="shared" si="4"/>
        <v>0</v>
      </c>
      <c r="F14">
        <f t="shared" si="5"/>
        <v>0</v>
      </c>
      <c r="G14">
        <f t="shared" si="6"/>
        <v>20</v>
      </c>
      <c r="H14">
        <f t="shared" si="7"/>
        <v>20</v>
      </c>
      <c r="I14" t="str">
        <f t="shared" si="8"/>
        <v>SPRITE_ID_NEW_TRAIN</v>
      </c>
      <c r="U14"/>
      <c r="V14"/>
      <c r="W14"/>
    </row>
    <row r="15" spans="1:23">
      <c r="A15" s="2" t="s">
        <v>38</v>
      </c>
      <c r="B15">
        <f t="shared" si="1"/>
        <v>0</v>
      </c>
      <c r="C15">
        <f t="shared" si="2"/>
        <v>0</v>
      </c>
      <c r="D15">
        <f t="shared" si="3"/>
        <v>185</v>
      </c>
      <c r="E15">
        <f t="shared" si="4"/>
        <v>0</v>
      </c>
      <c r="F15">
        <f t="shared" si="5"/>
        <v>0</v>
      </c>
      <c r="G15">
        <f t="shared" si="6"/>
        <v>20</v>
      </c>
      <c r="H15">
        <f t="shared" si="7"/>
        <v>20</v>
      </c>
      <c r="I15" t="str">
        <f t="shared" si="8"/>
        <v>SPRITE_ID_NEW_TRAIN</v>
      </c>
      <c r="U15"/>
      <c r="V15"/>
      <c r="W15"/>
    </row>
    <row r="16" spans="1:23">
      <c r="A16" s="2" t="s">
        <v>39</v>
      </c>
      <c r="B16">
        <f t="shared" si="1"/>
        <v>0</v>
      </c>
      <c r="C16">
        <f t="shared" si="2"/>
        <v>0</v>
      </c>
      <c r="D16">
        <f t="shared" si="3"/>
        <v>185</v>
      </c>
      <c r="E16">
        <f t="shared" si="4"/>
        <v>0</v>
      </c>
      <c r="F16">
        <f t="shared" si="5"/>
        <v>0</v>
      </c>
      <c r="G16">
        <f t="shared" si="6"/>
        <v>20</v>
      </c>
      <c r="H16">
        <f t="shared" si="7"/>
        <v>20</v>
      </c>
      <c r="I16" t="str">
        <f t="shared" si="8"/>
        <v>SPRITE_ID_NEW_TRAIN</v>
      </c>
      <c r="U16"/>
      <c r="V16"/>
      <c r="W16"/>
    </row>
    <row r="17" spans="1:23">
      <c r="A17" s="2" t="s">
        <v>40</v>
      </c>
      <c r="B17">
        <f t="shared" si="1"/>
        <v>0</v>
      </c>
      <c r="C17">
        <f t="shared" si="2"/>
        <v>0</v>
      </c>
      <c r="D17">
        <f t="shared" si="3"/>
        <v>185</v>
      </c>
      <c r="E17">
        <f t="shared" si="4"/>
        <v>0</v>
      </c>
      <c r="F17">
        <f t="shared" si="5"/>
        <v>0</v>
      </c>
      <c r="G17">
        <f t="shared" si="6"/>
        <v>20</v>
      </c>
      <c r="H17">
        <f t="shared" si="7"/>
        <v>20</v>
      </c>
      <c r="I17" t="str">
        <f t="shared" si="8"/>
        <v>SPRITE_ID_NEW_TRAIN</v>
      </c>
      <c r="U17"/>
      <c r="V17"/>
      <c r="W17"/>
    </row>
    <row r="18" spans="1:23">
      <c r="A18" s="2" t="s">
        <v>41</v>
      </c>
      <c r="B18">
        <f t="shared" si="1"/>
        <v>0</v>
      </c>
      <c r="C18">
        <f t="shared" si="2"/>
        <v>0</v>
      </c>
      <c r="D18">
        <f t="shared" si="3"/>
        <v>185</v>
      </c>
      <c r="E18">
        <f t="shared" si="4"/>
        <v>0</v>
      </c>
      <c r="F18">
        <f t="shared" si="5"/>
        <v>0</v>
      </c>
      <c r="G18">
        <f t="shared" si="6"/>
        <v>20</v>
      </c>
      <c r="H18">
        <f t="shared" si="7"/>
        <v>20</v>
      </c>
      <c r="I18" t="str">
        <f t="shared" si="8"/>
        <v>SPRITE_ID_NEW_TRAIN</v>
      </c>
      <c r="U18"/>
      <c r="V18"/>
      <c r="W18"/>
    </row>
    <row r="19" spans="1:23">
      <c r="A19" s="2" t="s">
        <v>42</v>
      </c>
      <c r="B19">
        <f t="shared" si="1"/>
        <v>0</v>
      </c>
      <c r="C19">
        <f t="shared" si="2"/>
        <v>0</v>
      </c>
      <c r="D19">
        <f t="shared" si="3"/>
        <v>185</v>
      </c>
      <c r="E19">
        <f t="shared" si="4"/>
        <v>0</v>
      </c>
      <c r="F19">
        <f t="shared" si="5"/>
        <v>0</v>
      </c>
      <c r="G19">
        <f t="shared" si="6"/>
        <v>20</v>
      </c>
      <c r="H19">
        <f t="shared" si="7"/>
        <v>20</v>
      </c>
      <c r="I19" t="str">
        <f t="shared" si="8"/>
        <v>SPRITE_ID_NEW_TRAIN</v>
      </c>
      <c r="U19"/>
      <c r="V19"/>
      <c r="W19"/>
    </row>
    <row r="20" spans="1:23">
      <c r="A20" s="2" t="s">
        <v>43</v>
      </c>
      <c r="B20">
        <f t="shared" si="1"/>
        <v>0</v>
      </c>
      <c r="C20">
        <f t="shared" si="2"/>
        <v>0</v>
      </c>
      <c r="D20">
        <f t="shared" si="3"/>
        <v>185</v>
      </c>
      <c r="E20">
        <f t="shared" si="4"/>
        <v>0</v>
      </c>
      <c r="F20">
        <f t="shared" si="5"/>
        <v>0</v>
      </c>
      <c r="G20">
        <f t="shared" si="6"/>
        <v>20</v>
      </c>
      <c r="H20">
        <f t="shared" si="7"/>
        <v>20</v>
      </c>
      <c r="I20" t="str">
        <f t="shared" si="8"/>
        <v>SPRITE_ID_NEW_TRAIN</v>
      </c>
      <c r="U20"/>
      <c r="V20"/>
      <c r="W20"/>
    </row>
    <row r="21" spans="1:23">
      <c r="A21" s="2" t="s">
        <v>44</v>
      </c>
      <c r="B21">
        <f t="shared" si="1"/>
        <v>0</v>
      </c>
      <c r="C21">
        <f t="shared" si="2"/>
        <v>0</v>
      </c>
      <c r="D21">
        <f t="shared" si="3"/>
        <v>185</v>
      </c>
      <c r="E21">
        <f t="shared" si="4"/>
        <v>0</v>
      </c>
      <c r="F21">
        <f t="shared" si="5"/>
        <v>0</v>
      </c>
      <c r="G21">
        <f t="shared" si="6"/>
        <v>20</v>
      </c>
      <c r="H21">
        <f t="shared" si="7"/>
        <v>20</v>
      </c>
      <c r="I21" t="str">
        <f t="shared" si="8"/>
        <v>SPRITE_ID_NEW_TRAIN</v>
      </c>
      <c r="U21"/>
      <c r="V21"/>
      <c r="W21"/>
    </row>
    <row r="22" spans="1:23">
      <c r="A22" s="2" t="s">
        <v>45</v>
      </c>
      <c r="B22">
        <f t="shared" si="1"/>
        <v>0</v>
      </c>
      <c r="C22">
        <f t="shared" si="2"/>
        <v>0</v>
      </c>
      <c r="D22">
        <f t="shared" si="3"/>
        <v>185</v>
      </c>
      <c r="E22">
        <f t="shared" si="4"/>
        <v>0</v>
      </c>
      <c r="F22">
        <f t="shared" si="5"/>
        <v>0</v>
      </c>
      <c r="G22">
        <f t="shared" si="6"/>
        <v>20</v>
      </c>
      <c r="H22">
        <f t="shared" si="7"/>
        <v>20</v>
      </c>
      <c r="I22" t="str">
        <f t="shared" si="8"/>
        <v>SPRITE_ID_NEW_TRAIN</v>
      </c>
      <c r="U22"/>
      <c r="V22"/>
      <c r="W22"/>
    </row>
    <row r="23" spans="1:23">
      <c r="A23" s="2" t="s">
        <v>46</v>
      </c>
      <c r="B23">
        <f t="shared" si="1"/>
        <v>0</v>
      </c>
      <c r="C23">
        <f t="shared" si="2"/>
        <v>0</v>
      </c>
      <c r="D23">
        <f t="shared" si="3"/>
        <v>185</v>
      </c>
      <c r="E23">
        <f t="shared" si="4"/>
        <v>0</v>
      </c>
      <c r="F23">
        <f t="shared" si="5"/>
        <v>0</v>
      </c>
      <c r="G23">
        <f t="shared" si="6"/>
        <v>20</v>
      </c>
      <c r="H23">
        <f t="shared" si="7"/>
        <v>20</v>
      </c>
      <c r="I23" t="str">
        <f t="shared" si="8"/>
        <v>SPRITE_ID_NEW_TRAIN</v>
      </c>
      <c r="U23"/>
      <c r="V23"/>
      <c r="W23"/>
    </row>
    <row r="24" spans="1:23">
      <c r="A24" s="2" t="s">
        <v>47</v>
      </c>
      <c r="B24">
        <f t="shared" si="1"/>
        <v>0</v>
      </c>
      <c r="C24">
        <f t="shared" si="2"/>
        <v>0</v>
      </c>
      <c r="D24">
        <f t="shared" si="3"/>
        <v>185</v>
      </c>
      <c r="E24">
        <f t="shared" si="4"/>
        <v>0</v>
      </c>
      <c r="F24">
        <f t="shared" si="5"/>
        <v>0</v>
      </c>
      <c r="G24">
        <f t="shared" si="6"/>
        <v>20</v>
      </c>
      <c r="H24">
        <f t="shared" si="7"/>
        <v>20</v>
      </c>
      <c r="I24" t="str">
        <f t="shared" si="8"/>
        <v>SPRITE_ID_NEW_TRAIN</v>
      </c>
      <c r="U24"/>
      <c r="V24"/>
      <c r="W24"/>
    </row>
    <row r="25" spans="1:23">
      <c r="A25" s="2" t="s">
        <v>48</v>
      </c>
      <c r="B25">
        <f t="shared" si="1"/>
        <v>0</v>
      </c>
      <c r="C25">
        <f t="shared" si="2"/>
        <v>0</v>
      </c>
      <c r="D25">
        <f t="shared" si="3"/>
        <v>185</v>
      </c>
      <c r="E25">
        <f t="shared" si="4"/>
        <v>0</v>
      </c>
      <c r="F25">
        <f t="shared" si="5"/>
        <v>0</v>
      </c>
      <c r="G25">
        <f t="shared" si="6"/>
        <v>20</v>
      </c>
      <c r="H25">
        <f t="shared" si="7"/>
        <v>20</v>
      </c>
      <c r="I25" t="str">
        <f t="shared" si="8"/>
        <v>SPRITE_ID_NEW_TRAIN</v>
      </c>
      <c r="U25"/>
      <c r="V25"/>
      <c r="W25"/>
    </row>
    <row r="26" spans="1:23">
      <c r="A26" s="2" t="s">
        <v>49</v>
      </c>
      <c r="B26">
        <f t="shared" si="1"/>
        <v>0</v>
      </c>
      <c r="C26">
        <f t="shared" si="2"/>
        <v>0</v>
      </c>
      <c r="D26">
        <f t="shared" si="3"/>
        <v>185</v>
      </c>
      <c r="E26">
        <f t="shared" si="4"/>
        <v>0</v>
      </c>
      <c r="F26">
        <f t="shared" si="5"/>
        <v>0</v>
      </c>
      <c r="G26">
        <f t="shared" si="6"/>
        <v>20</v>
      </c>
      <c r="H26">
        <f t="shared" si="7"/>
        <v>20</v>
      </c>
      <c r="I26" t="str">
        <f t="shared" si="8"/>
        <v>SPRITE_ID_NEW_TRAIN</v>
      </c>
      <c r="U26"/>
      <c r="V26"/>
      <c r="W26"/>
    </row>
    <row r="27" spans="1:23">
      <c r="A27" s="2" t="s">
        <v>50</v>
      </c>
      <c r="B27">
        <f t="shared" si="1"/>
        <v>0</v>
      </c>
      <c r="C27">
        <f t="shared" si="2"/>
        <v>0</v>
      </c>
      <c r="D27">
        <f t="shared" si="3"/>
        <v>185</v>
      </c>
      <c r="E27">
        <f t="shared" si="4"/>
        <v>0</v>
      </c>
      <c r="F27">
        <f t="shared" si="5"/>
        <v>0</v>
      </c>
      <c r="G27">
        <f t="shared" si="6"/>
        <v>20</v>
      </c>
      <c r="H27">
        <f t="shared" si="7"/>
        <v>20</v>
      </c>
      <c r="I27" t="str">
        <f t="shared" si="8"/>
        <v>SPRITE_ID_NEW_TRAIN</v>
      </c>
      <c r="U27"/>
      <c r="V27"/>
      <c r="W27"/>
    </row>
    <row r="28" spans="1:23">
      <c r="A28" s="2" t="s">
        <v>51</v>
      </c>
      <c r="B28">
        <f t="shared" si="1"/>
        <v>0</v>
      </c>
      <c r="C28">
        <f t="shared" si="2"/>
        <v>0</v>
      </c>
      <c r="D28">
        <f t="shared" si="3"/>
        <v>185</v>
      </c>
      <c r="E28">
        <f t="shared" si="4"/>
        <v>0</v>
      </c>
      <c r="F28">
        <f t="shared" si="5"/>
        <v>0</v>
      </c>
      <c r="G28">
        <f t="shared" si="6"/>
        <v>20</v>
      </c>
      <c r="H28">
        <f t="shared" si="7"/>
        <v>20</v>
      </c>
      <c r="I28" t="str">
        <f t="shared" si="8"/>
        <v>SPRITE_ID_NEW_TRAIN</v>
      </c>
      <c r="U28"/>
      <c r="V28"/>
      <c r="W28"/>
    </row>
    <row r="29" spans="1:23">
      <c r="A29" s="2" t="s">
        <v>52</v>
      </c>
      <c r="B29">
        <f t="shared" si="1"/>
        <v>0</v>
      </c>
      <c r="C29">
        <f t="shared" si="2"/>
        <v>0</v>
      </c>
      <c r="D29">
        <f t="shared" si="3"/>
        <v>185</v>
      </c>
      <c r="E29">
        <f t="shared" si="4"/>
        <v>0</v>
      </c>
      <c r="F29">
        <f t="shared" si="5"/>
        <v>0</v>
      </c>
      <c r="G29">
        <f t="shared" si="6"/>
        <v>20</v>
      </c>
      <c r="H29">
        <f t="shared" si="7"/>
        <v>20</v>
      </c>
      <c r="I29" t="str">
        <f t="shared" si="8"/>
        <v>SPRITE_ID_NEW_TRAIN</v>
      </c>
      <c r="U29"/>
      <c r="V29"/>
      <c r="W29"/>
    </row>
    <row r="30" spans="1:23">
      <c r="A30" s="2" t="s">
        <v>53</v>
      </c>
      <c r="B30">
        <f t="shared" si="1"/>
        <v>0</v>
      </c>
      <c r="C30">
        <f t="shared" si="2"/>
        <v>0</v>
      </c>
      <c r="D30">
        <f t="shared" si="3"/>
        <v>185</v>
      </c>
      <c r="E30">
        <f t="shared" si="4"/>
        <v>0</v>
      </c>
      <c r="F30">
        <f t="shared" si="5"/>
        <v>0</v>
      </c>
      <c r="G30">
        <f t="shared" si="6"/>
        <v>20</v>
      </c>
      <c r="H30">
        <f t="shared" si="7"/>
        <v>20</v>
      </c>
      <c r="I30" t="str">
        <f t="shared" si="8"/>
        <v>SPRITE_ID_NEW_TRAIN</v>
      </c>
      <c r="U30"/>
      <c r="V30"/>
      <c r="W30"/>
    </row>
    <row r="31" spans="1:23">
      <c r="A31" s="2" t="s">
        <v>54</v>
      </c>
      <c r="B31">
        <f t="shared" si="1"/>
        <v>0</v>
      </c>
      <c r="C31">
        <f t="shared" si="2"/>
        <v>0</v>
      </c>
      <c r="D31">
        <f t="shared" si="3"/>
        <v>185</v>
      </c>
      <c r="E31">
        <f t="shared" si="4"/>
        <v>0</v>
      </c>
      <c r="F31">
        <f t="shared" si="5"/>
        <v>0</v>
      </c>
      <c r="G31">
        <f t="shared" si="6"/>
        <v>20</v>
      </c>
      <c r="H31">
        <f t="shared" si="7"/>
        <v>20</v>
      </c>
      <c r="I31" t="str">
        <f t="shared" si="8"/>
        <v>SPRITE_ID_NEW_TRAIN</v>
      </c>
      <c r="U31"/>
      <c r="V31"/>
      <c r="W31"/>
    </row>
    <row r="32" spans="1:23">
      <c r="A32" s="2" t="s">
        <v>55</v>
      </c>
      <c r="B32">
        <f t="shared" si="1"/>
        <v>0</v>
      </c>
      <c r="C32">
        <f t="shared" si="2"/>
        <v>0</v>
      </c>
      <c r="D32">
        <f t="shared" si="3"/>
        <v>185</v>
      </c>
      <c r="E32">
        <f t="shared" si="4"/>
        <v>0</v>
      </c>
      <c r="F32">
        <f t="shared" si="5"/>
        <v>0</v>
      </c>
      <c r="G32">
        <f t="shared" si="6"/>
        <v>20</v>
      </c>
      <c r="H32">
        <f t="shared" si="7"/>
        <v>20</v>
      </c>
      <c r="I32" t="str">
        <f t="shared" si="8"/>
        <v>SPRITE_ID_NEW_TRAIN</v>
      </c>
      <c r="U32"/>
      <c r="V32"/>
      <c r="W32"/>
    </row>
    <row r="33" spans="1:23">
      <c r="A33" s="2" t="s">
        <v>56</v>
      </c>
      <c r="B33">
        <f t="shared" si="1"/>
        <v>0</v>
      </c>
      <c r="C33">
        <f t="shared" si="2"/>
        <v>0</v>
      </c>
      <c r="D33">
        <f t="shared" si="3"/>
        <v>185</v>
      </c>
      <c r="E33">
        <f t="shared" si="4"/>
        <v>0</v>
      </c>
      <c r="F33">
        <f t="shared" si="5"/>
        <v>0</v>
      </c>
      <c r="G33">
        <f t="shared" si="6"/>
        <v>20</v>
      </c>
      <c r="H33">
        <f t="shared" si="7"/>
        <v>20</v>
      </c>
      <c r="I33" t="str">
        <f t="shared" si="8"/>
        <v>SPRITE_ID_NEW_TRAIN</v>
      </c>
      <c r="U33"/>
      <c r="V33"/>
      <c r="W33"/>
    </row>
    <row r="34" spans="1:23">
      <c r="A34" s="2" t="s">
        <v>57</v>
      </c>
      <c r="B34">
        <f t="shared" si="1"/>
        <v>0</v>
      </c>
      <c r="C34">
        <f t="shared" si="2"/>
        <v>0</v>
      </c>
      <c r="D34">
        <f t="shared" si="3"/>
        <v>185</v>
      </c>
      <c r="E34">
        <f t="shared" si="4"/>
        <v>0</v>
      </c>
      <c r="F34">
        <f t="shared" si="5"/>
        <v>0</v>
      </c>
      <c r="G34">
        <f t="shared" si="6"/>
        <v>20</v>
      </c>
      <c r="H34">
        <f t="shared" si="7"/>
        <v>20</v>
      </c>
      <c r="I34" t="str">
        <f t="shared" si="8"/>
        <v>SPRITE_ID_NEW_TRAIN</v>
      </c>
      <c r="U34"/>
      <c r="V34"/>
      <c r="W34"/>
    </row>
    <row r="35" spans="1:23">
      <c r="A35" s="2" t="s">
        <v>58</v>
      </c>
      <c r="B35">
        <f t="shared" si="1"/>
        <v>0</v>
      </c>
      <c r="C35">
        <f t="shared" si="2"/>
        <v>0</v>
      </c>
      <c r="D35">
        <f t="shared" si="3"/>
        <v>185</v>
      </c>
      <c r="E35">
        <f t="shared" si="4"/>
        <v>0</v>
      </c>
      <c r="F35">
        <f t="shared" si="5"/>
        <v>0</v>
      </c>
      <c r="G35">
        <f t="shared" si="6"/>
        <v>20</v>
      </c>
      <c r="H35">
        <f t="shared" si="7"/>
        <v>20</v>
      </c>
      <c r="I35" t="str">
        <f t="shared" si="8"/>
        <v>SPRITE_ID_NEW_TRAIN</v>
      </c>
      <c r="U35"/>
      <c r="V35"/>
      <c r="W35"/>
    </row>
    <row r="36" spans="1:23">
      <c r="A36" s="2" t="s">
        <v>59</v>
      </c>
      <c r="B36">
        <f t="shared" si="1"/>
        <v>0</v>
      </c>
      <c r="C36">
        <f t="shared" si="2"/>
        <v>0</v>
      </c>
      <c r="D36">
        <f t="shared" si="3"/>
        <v>185</v>
      </c>
      <c r="E36">
        <f t="shared" si="4"/>
        <v>0</v>
      </c>
      <c r="F36">
        <f t="shared" si="5"/>
        <v>0</v>
      </c>
      <c r="G36">
        <f t="shared" si="6"/>
        <v>20</v>
      </c>
      <c r="H36">
        <f t="shared" si="7"/>
        <v>20</v>
      </c>
      <c r="I36" t="str">
        <f t="shared" si="8"/>
        <v>SPRITE_ID_NEW_TRAIN</v>
      </c>
      <c r="U36"/>
      <c r="V36"/>
      <c r="W36"/>
    </row>
    <row r="37" spans="1:23">
      <c r="A37" s="2" t="s">
        <v>60</v>
      </c>
      <c r="B37">
        <f t="shared" si="1"/>
        <v>0</v>
      </c>
      <c r="C37">
        <f t="shared" si="2"/>
        <v>0</v>
      </c>
      <c r="D37">
        <f t="shared" si="3"/>
        <v>185</v>
      </c>
      <c r="E37">
        <f t="shared" si="4"/>
        <v>0</v>
      </c>
      <c r="F37">
        <f t="shared" si="5"/>
        <v>0</v>
      </c>
      <c r="G37">
        <f t="shared" si="6"/>
        <v>20</v>
      </c>
      <c r="H37">
        <f t="shared" si="7"/>
        <v>20</v>
      </c>
      <c r="I37" t="str">
        <f t="shared" si="8"/>
        <v>SPRITE_ID_NEW_TRAIN</v>
      </c>
      <c r="U37"/>
      <c r="V37"/>
      <c r="W37"/>
    </row>
    <row r="38" spans="1:23">
      <c r="A38" s="2" t="s">
        <v>61</v>
      </c>
      <c r="B38">
        <f t="shared" si="1"/>
        <v>0</v>
      </c>
      <c r="C38">
        <f t="shared" si="2"/>
        <v>0</v>
      </c>
      <c r="D38">
        <f t="shared" si="3"/>
        <v>185</v>
      </c>
      <c r="E38">
        <f t="shared" si="4"/>
        <v>0</v>
      </c>
      <c r="F38">
        <f t="shared" si="5"/>
        <v>0</v>
      </c>
      <c r="G38">
        <f t="shared" si="6"/>
        <v>20</v>
      </c>
      <c r="H38">
        <f t="shared" si="7"/>
        <v>20</v>
      </c>
      <c r="I38" t="str">
        <f t="shared" si="8"/>
        <v>SPRITE_ID_NEW_TRAIN</v>
      </c>
      <c r="U38"/>
      <c r="V38"/>
      <c r="W38"/>
    </row>
    <row r="39" spans="1:23">
      <c r="A39" s="2" t="s">
        <v>62</v>
      </c>
      <c r="B39">
        <f t="shared" si="1"/>
        <v>0</v>
      </c>
      <c r="C39">
        <f t="shared" si="2"/>
        <v>0</v>
      </c>
      <c r="D39">
        <f t="shared" si="3"/>
        <v>185</v>
      </c>
      <c r="E39">
        <f t="shared" si="4"/>
        <v>0</v>
      </c>
      <c r="F39">
        <f t="shared" si="5"/>
        <v>0</v>
      </c>
      <c r="G39">
        <f t="shared" si="6"/>
        <v>20</v>
      </c>
      <c r="H39">
        <f t="shared" si="7"/>
        <v>20</v>
      </c>
      <c r="I39" t="str">
        <f t="shared" si="8"/>
        <v>SPRITE_ID_NEW_TRAIN</v>
      </c>
      <c r="U39"/>
      <c r="V39"/>
      <c r="W39"/>
    </row>
    <row r="40" spans="1:23">
      <c r="A40" s="2" t="s">
        <v>63</v>
      </c>
      <c r="B40">
        <f t="shared" si="1"/>
        <v>0</v>
      </c>
      <c r="C40">
        <f t="shared" si="2"/>
        <v>0</v>
      </c>
      <c r="D40">
        <f t="shared" si="3"/>
        <v>185</v>
      </c>
      <c r="E40">
        <f t="shared" si="4"/>
        <v>0</v>
      </c>
      <c r="F40">
        <f t="shared" si="5"/>
        <v>0</v>
      </c>
      <c r="G40">
        <f t="shared" si="6"/>
        <v>20</v>
      </c>
      <c r="H40">
        <f t="shared" si="7"/>
        <v>20</v>
      </c>
      <c r="I40" t="str">
        <f t="shared" si="8"/>
        <v>SPRITE_ID_NEW_TRAIN</v>
      </c>
      <c r="U40"/>
      <c r="V40"/>
      <c r="W40"/>
    </row>
    <row r="41" spans="1:23">
      <c r="A41" s="2" t="s">
        <v>64</v>
      </c>
      <c r="B41">
        <f t="shared" si="1"/>
        <v>0</v>
      </c>
      <c r="C41">
        <f t="shared" si="2"/>
        <v>0</v>
      </c>
      <c r="D41">
        <f t="shared" si="3"/>
        <v>185</v>
      </c>
      <c r="E41">
        <f t="shared" si="4"/>
        <v>0</v>
      </c>
      <c r="F41">
        <f t="shared" si="5"/>
        <v>0</v>
      </c>
      <c r="G41">
        <f t="shared" si="6"/>
        <v>20</v>
      </c>
      <c r="H41">
        <f t="shared" si="7"/>
        <v>20</v>
      </c>
      <c r="I41" t="str">
        <f t="shared" si="8"/>
        <v>SPRITE_ID_NEW_TRAIN</v>
      </c>
      <c r="U41"/>
      <c r="V41"/>
      <c r="W41"/>
    </row>
    <row r="42" spans="1:23">
      <c r="A42" s="2" t="s">
        <v>65</v>
      </c>
      <c r="B42">
        <f t="shared" si="1"/>
        <v>0</v>
      </c>
      <c r="C42">
        <f t="shared" si="2"/>
        <v>0</v>
      </c>
      <c r="D42">
        <f t="shared" si="3"/>
        <v>185</v>
      </c>
      <c r="E42">
        <f t="shared" si="4"/>
        <v>0</v>
      </c>
      <c r="F42">
        <f t="shared" si="5"/>
        <v>0</v>
      </c>
      <c r="G42">
        <f t="shared" si="6"/>
        <v>20</v>
      </c>
      <c r="H42">
        <f t="shared" si="7"/>
        <v>20</v>
      </c>
      <c r="I42" t="str">
        <f t="shared" si="8"/>
        <v>SPRITE_ID_NEW_TRAIN</v>
      </c>
      <c r="U42"/>
      <c r="V42"/>
      <c r="W42"/>
    </row>
    <row r="43" spans="1:23">
      <c r="A43" s="2" t="s">
        <v>66</v>
      </c>
      <c r="B43">
        <f t="shared" si="1"/>
        <v>0</v>
      </c>
      <c r="C43">
        <f t="shared" si="2"/>
        <v>0</v>
      </c>
      <c r="D43">
        <f t="shared" si="3"/>
        <v>185</v>
      </c>
      <c r="E43">
        <f t="shared" si="4"/>
        <v>0</v>
      </c>
      <c r="F43">
        <f t="shared" si="5"/>
        <v>0</v>
      </c>
      <c r="G43">
        <f t="shared" si="6"/>
        <v>20</v>
      </c>
      <c r="H43">
        <f t="shared" si="7"/>
        <v>20</v>
      </c>
      <c r="I43" t="str">
        <f t="shared" si="8"/>
        <v>SPRITE_ID_NEW_TRAIN</v>
      </c>
      <c r="U43"/>
      <c r="V43"/>
      <c r="W43"/>
    </row>
    <row r="44" spans="1:23">
      <c r="A44" s="2" t="s">
        <v>67</v>
      </c>
      <c r="B44">
        <f t="shared" si="1"/>
        <v>0</v>
      </c>
      <c r="C44">
        <f t="shared" si="2"/>
        <v>0</v>
      </c>
      <c r="D44">
        <f t="shared" si="3"/>
        <v>185</v>
      </c>
      <c r="E44">
        <f t="shared" si="4"/>
        <v>0</v>
      </c>
      <c r="F44">
        <f t="shared" si="5"/>
        <v>0</v>
      </c>
      <c r="G44">
        <f t="shared" si="6"/>
        <v>20</v>
      </c>
      <c r="H44">
        <f t="shared" si="7"/>
        <v>20</v>
      </c>
      <c r="I44" t="str">
        <f t="shared" si="8"/>
        <v>SPRITE_ID_NEW_TRAIN</v>
      </c>
      <c r="U44"/>
      <c r="V44"/>
      <c r="W44"/>
    </row>
    <row r="45" spans="1:23">
      <c r="A45" s="2" t="s">
        <v>68</v>
      </c>
      <c r="B45">
        <f t="shared" si="1"/>
        <v>0</v>
      </c>
      <c r="C45">
        <f t="shared" si="2"/>
        <v>0</v>
      </c>
      <c r="D45">
        <f t="shared" si="3"/>
        <v>185</v>
      </c>
      <c r="E45">
        <f t="shared" si="4"/>
        <v>0</v>
      </c>
      <c r="F45">
        <f t="shared" si="5"/>
        <v>0</v>
      </c>
      <c r="G45">
        <f t="shared" si="6"/>
        <v>20</v>
      </c>
      <c r="H45">
        <f t="shared" si="7"/>
        <v>20</v>
      </c>
      <c r="I45" t="str">
        <f t="shared" si="8"/>
        <v>SPRITE_ID_NEW_TRAIN</v>
      </c>
      <c r="U45"/>
      <c r="V45"/>
      <c r="W45"/>
    </row>
    <row r="46" spans="1:23">
      <c r="A46" s="2" t="s">
        <v>69</v>
      </c>
      <c r="B46">
        <f t="shared" si="1"/>
        <v>0</v>
      </c>
      <c r="C46">
        <f t="shared" si="2"/>
        <v>0</v>
      </c>
      <c r="D46">
        <f t="shared" si="3"/>
        <v>185</v>
      </c>
      <c r="E46">
        <f t="shared" si="4"/>
        <v>0</v>
      </c>
      <c r="F46">
        <f t="shared" si="5"/>
        <v>0</v>
      </c>
      <c r="G46">
        <f t="shared" si="6"/>
        <v>20</v>
      </c>
      <c r="H46">
        <f t="shared" si="7"/>
        <v>20</v>
      </c>
      <c r="I46" t="str">
        <f t="shared" si="8"/>
        <v>SPRITE_ID_NEW_TRAIN</v>
      </c>
      <c r="U46"/>
      <c r="V46"/>
      <c r="W46"/>
    </row>
    <row r="47" spans="1:23">
      <c r="A47" s="2" t="s">
        <v>70</v>
      </c>
      <c r="B47">
        <f t="shared" si="1"/>
        <v>0</v>
      </c>
      <c r="C47">
        <f t="shared" si="2"/>
        <v>0</v>
      </c>
      <c r="D47">
        <f t="shared" si="3"/>
        <v>185</v>
      </c>
      <c r="E47">
        <f t="shared" si="4"/>
        <v>0</v>
      </c>
      <c r="F47">
        <f t="shared" si="5"/>
        <v>0</v>
      </c>
      <c r="G47">
        <f t="shared" si="6"/>
        <v>20</v>
      </c>
      <c r="H47">
        <f t="shared" si="7"/>
        <v>20</v>
      </c>
      <c r="I47" t="str">
        <f t="shared" si="8"/>
        <v>SPRITE_ID_NEW_TRAIN</v>
      </c>
      <c r="U47"/>
      <c r="V47"/>
      <c r="W47"/>
    </row>
    <row r="48" spans="1:23">
      <c r="A48" s="2" t="s">
        <v>71</v>
      </c>
      <c r="B48">
        <f t="shared" si="1"/>
        <v>0</v>
      </c>
      <c r="C48">
        <f t="shared" si="2"/>
        <v>0</v>
      </c>
      <c r="D48">
        <f t="shared" si="3"/>
        <v>185</v>
      </c>
      <c r="E48">
        <f t="shared" si="4"/>
        <v>0</v>
      </c>
      <c r="F48">
        <f t="shared" si="5"/>
        <v>0</v>
      </c>
      <c r="G48">
        <f t="shared" si="6"/>
        <v>20</v>
      </c>
      <c r="H48">
        <f t="shared" si="7"/>
        <v>20</v>
      </c>
      <c r="I48" t="str">
        <f t="shared" si="8"/>
        <v>SPRITE_ID_NEW_TRAIN</v>
      </c>
      <c r="U48"/>
      <c r="V48"/>
      <c r="W48"/>
    </row>
    <row r="49" spans="1:23">
      <c r="A49" s="2" t="s">
        <v>72</v>
      </c>
      <c r="B49">
        <f t="shared" si="1"/>
        <v>0</v>
      </c>
      <c r="C49">
        <f t="shared" si="2"/>
        <v>0</v>
      </c>
      <c r="D49">
        <f t="shared" si="3"/>
        <v>185</v>
      </c>
      <c r="E49">
        <f t="shared" si="4"/>
        <v>0</v>
      </c>
      <c r="F49">
        <f t="shared" si="5"/>
        <v>0</v>
      </c>
      <c r="G49">
        <f t="shared" si="6"/>
        <v>20</v>
      </c>
      <c r="H49">
        <f t="shared" si="7"/>
        <v>20</v>
      </c>
      <c r="I49" t="str">
        <f t="shared" si="8"/>
        <v>SPRITE_ID_NEW_TRAIN</v>
      </c>
      <c r="U49"/>
      <c r="V49"/>
      <c r="W49"/>
    </row>
    <row r="50" spans="1:23">
      <c r="A50" s="2" t="s">
        <v>73</v>
      </c>
      <c r="B50">
        <f t="shared" si="1"/>
        <v>0</v>
      </c>
      <c r="C50">
        <f t="shared" si="2"/>
        <v>0</v>
      </c>
      <c r="D50">
        <f t="shared" si="3"/>
        <v>185</v>
      </c>
      <c r="E50">
        <f t="shared" si="4"/>
        <v>0</v>
      </c>
      <c r="F50">
        <f t="shared" si="5"/>
        <v>0</v>
      </c>
      <c r="G50">
        <f t="shared" si="6"/>
        <v>20</v>
      </c>
      <c r="H50">
        <f t="shared" si="7"/>
        <v>20</v>
      </c>
      <c r="I50" t="str">
        <f t="shared" si="8"/>
        <v>SPRITE_ID_NEW_TRAIN</v>
      </c>
      <c r="U50"/>
      <c r="V50"/>
      <c r="W50"/>
    </row>
    <row r="51" spans="1:23">
      <c r="A51" s="2" t="s">
        <v>75</v>
      </c>
      <c r="B51">
        <f t="shared" si="1"/>
        <v>0</v>
      </c>
      <c r="C51">
        <f t="shared" si="2"/>
        <v>0</v>
      </c>
      <c r="D51">
        <f t="shared" si="3"/>
        <v>185</v>
      </c>
      <c r="E51">
        <f t="shared" si="4"/>
        <v>0</v>
      </c>
      <c r="F51">
        <f t="shared" si="5"/>
        <v>0</v>
      </c>
      <c r="G51">
        <f t="shared" si="6"/>
        <v>20</v>
      </c>
      <c r="H51">
        <f t="shared" si="7"/>
        <v>20</v>
      </c>
      <c r="I51" t="str">
        <f t="shared" si="8"/>
        <v>SPRITE_ID_NEW_TRAIN</v>
      </c>
      <c r="U51"/>
      <c r="V51"/>
      <c r="W51"/>
    </row>
    <row r="52" spans="1:23">
      <c r="A52" s="2" t="s">
        <v>76</v>
      </c>
      <c r="B52">
        <f t="shared" si="1"/>
        <v>0</v>
      </c>
      <c r="C52">
        <f t="shared" si="2"/>
        <v>0</v>
      </c>
      <c r="D52">
        <f t="shared" si="3"/>
        <v>185</v>
      </c>
      <c r="E52">
        <f t="shared" si="4"/>
        <v>0</v>
      </c>
      <c r="F52">
        <f t="shared" si="5"/>
        <v>0</v>
      </c>
      <c r="G52">
        <f t="shared" si="6"/>
        <v>20</v>
      </c>
      <c r="H52">
        <f t="shared" si="7"/>
        <v>20</v>
      </c>
      <c r="I52" t="str">
        <f t="shared" si="8"/>
        <v>SPRITE_ID_NEW_TRAIN</v>
      </c>
      <c r="U52"/>
      <c r="V52"/>
      <c r="W52"/>
    </row>
    <row r="53" spans="1:23">
      <c r="A53" s="2" t="s">
        <v>77</v>
      </c>
      <c r="B53">
        <f t="shared" si="1"/>
        <v>0</v>
      </c>
      <c r="C53">
        <f t="shared" si="2"/>
        <v>0</v>
      </c>
      <c r="D53">
        <f t="shared" si="3"/>
        <v>185</v>
      </c>
      <c r="E53">
        <f t="shared" si="4"/>
        <v>0</v>
      </c>
      <c r="F53">
        <f t="shared" si="5"/>
        <v>0</v>
      </c>
      <c r="G53">
        <f t="shared" si="6"/>
        <v>20</v>
      </c>
      <c r="H53">
        <f t="shared" si="7"/>
        <v>20</v>
      </c>
      <c r="I53" t="str">
        <f t="shared" si="8"/>
        <v>SPRITE_ID_NEW_TRAIN</v>
      </c>
      <c r="U53"/>
      <c r="V53"/>
      <c r="W53"/>
    </row>
    <row r="54" spans="1:23">
      <c r="A54" s="2" t="s">
        <v>78</v>
      </c>
      <c r="B54">
        <f t="shared" si="1"/>
        <v>0</v>
      </c>
      <c r="C54">
        <f t="shared" si="2"/>
        <v>0</v>
      </c>
      <c r="D54">
        <f t="shared" si="3"/>
        <v>185</v>
      </c>
      <c r="E54">
        <f t="shared" si="4"/>
        <v>0</v>
      </c>
      <c r="F54">
        <f t="shared" si="5"/>
        <v>0</v>
      </c>
      <c r="G54">
        <f t="shared" si="6"/>
        <v>20</v>
      </c>
      <c r="H54">
        <f t="shared" si="7"/>
        <v>20</v>
      </c>
      <c r="I54" t="str">
        <f t="shared" si="8"/>
        <v>SPRITE_ID_NEW_TRAIN</v>
      </c>
      <c r="U54"/>
      <c r="V54"/>
      <c r="W54"/>
    </row>
    <row r="55" spans="1:23">
      <c r="A55" s="2" t="s">
        <v>79</v>
      </c>
      <c r="B55">
        <f t="shared" si="1"/>
        <v>0</v>
      </c>
      <c r="C55">
        <f t="shared" si="2"/>
        <v>0</v>
      </c>
      <c r="D55">
        <f t="shared" si="3"/>
        <v>185</v>
      </c>
      <c r="E55">
        <f t="shared" si="4"/>
        <v>0</v>
      </c>
      <c r="F55">
        <f t="shared" si="5"/>
        <v>0</v>
      </c>
      <c r="G55">
        <f t="shared" si="6"/>
        <v>20</v>
      </c>
      <c r="H55">
        <f t="shared" si="7"/>
        <v>20</v>
      </c>
      <c r="I55" t="str">
        <f t="shared" si="8"/>
        <v>SPRITE_ID_NEW_TRAIN</v>
      </c>
      <c r="U55"/>
      <c r="V55"/>
      <c r="W55"/>
    </row>
    <row r="56" spans="1:23">
      <c r="A56" s="2" t="s">
        <v>80</v>
      </c>
      <c r="B56">
        <f t="shared" si="1"/>
        <v>0</v>
      </c>
      <c r="C56">
        <f t="shared" si="2"/>
        <v>0</v>
      </c>
      <c r="D56">
        <f t="shared" si="3"/>
        <v>185</v>
      </c>
      <c r="E56">
        <f t="shared" si="4"/>
        <v>0</v>
      </c>
      <c r="F56">
        <f t="shared" si="5"/>
        <v>0</v>
      </c>
      <c r="G56">
        <f t="shared" si="6"/>
        <v>20</v>
      </c>
      <c r="H56">
        <f t="shared" si="7"/>
        <v>20</v>
      </c>
      <c r="I56" t="str">
        <f t="shared" si="8"/>
        <v>SPRITE_ID_NEW_TRAIN</v>
      </c>
      <c r="U56"/>
      <c r="V56"/>
      <c r="W56"/>
    </row>
    <row r="57" spans="1:23">
      <c r="A57" s="2" t="s">
        <v>81</v>
      </c>
      <c r="B57">
        <f t="shared" si="1"/>
        <v>0</v>
      </c>
      <c r="C57">
        <f t="shared" si="2"/>
        <v>0</v>
      </c>
      <c r="D57">
        <f t="shared" si="3"/>
        <v>185</v>
      </c>
      <c r="E57">
        <f t="shared" si="4"/>
        <v>0</v>
      </c>
      <c r="F57">
        <f t="shared" si="5"/>
        <v>0</v>
      </c>
      <c r="G57">
        <f t="shared" si="6"/>
        <v>20</v>
      </c>
      <c r="H57">
        <f t="shared" si="7"/>
        <v>20</v>
      </c>
      <c r="I57" t="str">
        <f t="shared" si="8"/>
        <v>SPRITE_ID_NEW_TRAIN</v>
      </c>
      <c r="U57"/>
      <c r="V57"/>
      <c r="W57"/>
    </row>
    <row r="58" spans="1:23">
      <c r="A58" s="2" t="s">
        <v>82</v>
      </c>
      <c r="B58">
        <f t="shared" si="1"/>
        <v>0</v>
      </c>
      <c r="C58">
        <f t="shared" si="2"/>
        <v>0</v>
      </c>
      <c r="D58">
        <f t="shared" si="3"/>
        <v>185</v>
      </c>
      <c r="E58">
        <f t="shared" si="4"/>
        <v>0</v>
      </c>
      <c r="F58">
        <f t="shared" si="5"/>
        <v>0</v>
      </c>
      <c r="G58">
        <f t="shared" si="6"/>
        <v>20</v>
      </c>
      <c r="H58">
        <f t="shared" si="7"/>
        <v>20</v>
      </c>
      <c r="I58" t="str">
        <f t="shared" si="8"/>
        <v>SPRITE_ID_NEW_TRAIN</v>
      </c>
      <c r="U58"/>
      <c r="V58"/>
      <c r="W58"/>
    </row>
    <row r="59" spans="1:23">
      <c r="A59" s="2" t="s">
        <v>83</v>
      </c>
      <c r="B59">
        <f t="shared" si="1"/>
        <v>0</v>
      </c>
      <c r="C59">
        <f t="shared" si="2"/>
        <v>0</v>
      </c>
      <c r="D59">
        <f t="shared" si="3"/>
        <v>185</v>
      </c>
      <c r="E59">
        <f t="shared" si="4"/>
        <v>0</v>
      </c>
      <c r="F59">
        <f t="shared" si="5"/>
        <v>0</v>
      </c>
      <c r="G59">
        <f t="shared" si="6"/>
        <v>20</v>
      </c>
      <c r="H59">
        <f t="shared" si="7"/>
        <v>20</v>
      </c>
      <c r="I59" t="str">
        <f t="shared" si="8"/>
        <v>SPRITE_ID_NEW_TRAIN</v>
      </c>
      <c r="U59"/>
      <c r="V59"/>
      <c r="W59"/>
    </row>
    <row r="60" spans="1:23">
      <c r="A60" s="2" t="s">
        <v>84</v>
      </c>
      <c r="B60">
        <f t="shared" si="1"/>
        <v>0</v>
      </c>
      <c r="C60">
        <f t="shared" si="2"/>
        <v>0</v>
      </c>
      <c r="D60">
        <f t="shared" si="3"/>
        <v>185</v>
      </c>
      <c r="E60">
        <f t="shared" si="4"/>
        <v>0</v>
      </c>
      <c r="F60">
        <f t="shared" si="5"/>
        <v>0</v>
      </c>
      <c r="G60">
        <f t="shared" si="6"/>
        <v>20</v>
      </c>
      <c r="H60">
        <f t="shared" si="7"/>
        <v>20</v>
      </c>
      <c r="I60" t="str">
        <f t="shared" si="8"/>
        <v>SPRITE_ID_NEW_TRAIN</v>
      </c>
      <c r="U60"/>
      <c r="V60"/>
      <c r="W60"/>
    </row>
    <row r="61" spans="1:23">
      <c r="A61" s="2" t="s">
        <v>85</v>
      </c>
      <c r="B61">
        <f t="shared" si="1"/>
        <v>0</v>
      </c>
      <c r="C61">
        <f t="shared" si="2"/>
        <v>0</v>
      </c>
      <c r="D61">
        <f t="shared" si="3"/>
        <v>185</v>
      </c>
      <c r="E61">
        <f t="shared" si="4"/>
        <v>0</v>
      </c>
      <c r="F61">
        <f t="shared" si="5"/>
        <v>0</v>
      </c>
      <c r="G61">
        <f t="shared" si="6"/>
        <v>20</v>
      </c>
      <c r="H61">
        <f t="shared" si="7"/>
        <v>20</v>
      </c>
      <c r="I61" t="str">
        <f t="shared" si="8"/>
        <v>SPRITE_ID_NEW_TRAIN</v>
      </c>
      <c r="U61"/>
      <c r="V61"/>
      <c r="W61"/>
    </row>
    <row r="62" spans="1:23">
      <c r="A62" s="2" t="s">
        <v>86</v>
      </c>
      <c r="B62">
        <f t="shared" si="1"/>
        <v>0</v>
      </c>
      <c r="C62">
        <f t="shared" si="2"/>
        <v>0</v>
      </c>
      <c r="D62">
        <f t="shared" si="3"/>
        <v>185</v>
      </c>
      <c r="E62">
        <f t="shared" si="4"/>
        <v>0</v>
      </c>
      <c r="F62">
        <f t="shared" si="5"/>
        <v>0</v>
      </c>
      <c r="G62">
        <f t="shared" si="6"/>
        <v>20</v>
      </c>
      <c r="H62">
        <f t="shared" si="7"/>
        <v>20</v>
      </c>
      <c r="I62" t="str">
        <f t="shared" si="8"/>
        <v>SPRITE_ID_NEW_TRAIN</v>
      </c>
      <c r="U62"/>
      <c r="V62"/>
      <c r="W62"/>
    </row>
    <row r="63" spans="1:23">
      <c r="A63" s="2" t="s">
        <v>87</v>
      </c>
      <c r="B63">
        <f t="shared" si="1"/>
        <v>0</v>
      </c>
      <c r="C63">
        <f t="shared" si="2"/>
        <v>0</v>
      </c>
      <c r="D63">
        <f t="shared" si="3"/>
        <v>185</v>
      </c>
      <c r="E63">
        <f t="shared" si="4"/>
        <v>0</v>
      </c>
      <c r="F63">
        <f t="shared" si="5"/>
        <v>0</v>
      </c>
      <c r="G63">
        <f t="shared" si="6"/>
        <v>20</v>
      </c>
      <c r="H63">
        <f t="shared" si="7"/>
        <v>20</v>
      </c>
      <c r="I63" t="str">
        <f t="shared" si="8"/>
        <v>SPRITE_ID_NEW_TRAIN</v>
      </c>
      <c r="U63"/>
      <c r="V63"/>
      <c r="W63"/>
    </row>
    <row r="64" spans="1:23">
      <c r="A64" s="2" t="s">
        <v>88</v>
      </c>
      <c r="B64">
        <f t="shared" si="1"/>
        <v>0</v>
      </c>
      <c r="C64">
        <f t="shared" si="2"/>
        <v>0</v>
      </c>
      <c r="D64">
        <f t="shared" si="3"/>
        <v>185</v>
      </c>
      <c r="E64">
        <f t="shared" si="4"/>
        <v>0</v>
      </c>
      <c r="F64">
        <f t="shared" si="5"/>
        <v>0</v>
      </c>
      <c r="G64">
        <f t="shared" si="6"/>
        <v>20</v>
      </c>
      <c r="H64">
        <f t="shared" si="7"/>
        <v>20</v>
      </c>
      <c r="I64" t="str">
        <f t="shared" si="8"/>
        <v>SPRITE_ID_NEW_TRAIN</v>
      </c>
      <c r="U64"/>
      <c r="V64"/>
      <c r="W64"/>
    </row>
    <row r="65" spans="1:23">
      <c r="A65" s="2" t="s">
        <v>89</v>
      </c>
      <c r="B65">
        <f t="shared" si="1"/>
        <v>0</v>
      </c>
      <c r="C65">
        <f t="shared" si="2"/>
        <v>0</v>
      </c>
      <c r="D65">
        <f t="shared" si="3"/>
        <v>185</v>
      </c>
      <c r="E65">
        <f t="shared" si="4"/>
        <v>0</v>
      </c>
      <c r="F65">
        <f t="shared" si="5"/>
        <v>0</v>
      </c>
      <c r="G65">
        <f t="shared" si="6"/>
        <v>20</v>
      </c>
      <c r="H65">
        <f t="shared" si="7"/>
        <v>20</v>
      </c>
      <c r="I65" t="str">
        <f t="shared" si="8"/>
        <v>SPRITE_ID_NEW_TRAIN</v>
      </c>
      <c r="U65"/>
      <c r="V65"/>
      <c r="W65"/>
    </row>
    <row r="66" spans="1:23">
      <c r="A66" s="2" t="s">
        <v>90</v>
      </c>
      <c r="B66">
        <f t="shared" si="1"/>
        <v>0</v>
      </c>
      <c r="C66">
        <f t="shared" si="2"/>
        <v>0</v>
      </c>
      <c r="D66">
        <f t="shared" si="3"/>
        <v>185</v>
      </c>
      <c r="E66">
        <f t="shared" si="4"/>
        <v>0</v>
      </c>
      <c r="F66">
        <f t="shared" si="5"/>
        <v>0</v>
      </c>
      <c r="G66">
        <f t="shared" si="6"/>
        <v>20</v>
      </c>
      <c r="H66">
        <f t="shared" si="7"/>
        <v>20</v>
      </c>
      <c r="I66" t="str">
        <f t="shared" si="8"/>
        <v>SPRITE_ID_NEW_TRAIN</v>
      </c>
      <c r="U66"/>
      <c r="V66"/>
      <c r="W66"/>
    </row>
    <row r="67" spans="1:23">
      <c r="A67" s="2" t="s">
        <v>91</v>
      </c>
      <c r="B67">
        <f t="shared" si="1"/>
        <v>0</v>
      </c>
      <c r="C67">
        <f t="shared" si="2"/>
        <v>0</v>
      </c>
      <c r="D67">
        <f t="shared" si="3"/>
        <v>185</v>
      </c>
      <c r="E67">
        <f t="shared" si="4"/>
        <v>0</v>
      </c>
      <c r="F67">
        <f t="shared" si="5"/>
        <v>0</v>
      </c>
      <c r="G67">
        <f t="shared" si="6"/>
        <v>20</v>
      </c>
      <c r="H67">
        <f t="shared" si="7"/>
        <v>20</v>
      </c>
      <c r="I67" t="str">
        <f t="shared" si="8"/>
        <v>SPRITE_ID_NEW_TRAIN</v>
      </c>
      <c r="U67"/>
      <c r="V67"/>
      <c r="W67"/>
    </row>
    <row r="68" spans="1:23">
      <c r="A68" s="2" t="s">
        <v>92</v>
      </c>
      <c r="B68">
        <f t="shared" ref="B68:B131" si="9">B67</f>
        <v>0</v>
      </c>
      <c r="C68">
        <f t="shared" ref="C68:C131" si="10">C67</f>
        <v>0</v>
      </c>
      <c r="D68">
        <f t="shared" ref="D68:D131" si="11">D67</f>
        <v>185</v>
      </c>
      <c r="E68">
        <f t="shared" ref="E68:E131" si="12">E67</f>
        <v>0</v>
      </c>
      <c r="F68">
        <f t="shared" ref="F68:F131" si="13">F67</f>
        <v>0</v>
      </c>
      <c r="G68">
        <f t="shared" ref="G68:G131" si="14">G67</f>
        <v>20</v>
      </c>
      <c r="H68">
        <f t="shared" ref="H68:H131" si="15">H67</f>
        <v>20</v>
      </c>
      <c r="I68" t="str">
        <f t="shared" ref="I68:I131" si="16">I67</f>
        <v>SPRITE_ID_NEW_TRAIN</v>
      </c>
      <c r="U68"/>
      <c r="V68"/>
      <c r="W68"/>
    </row>
    <row r="69" spans="1:23">
      <c r="A69" s="2" t="s">
        <v>93</v>
      </c>
      <c r="B69">
        <f t="shared" si="9"/>
        <v>0</v>
      </c>
      <c r="C69">
        <f t="shared" si="10"/>
        <v>0</v>
      </c>
      <c r="D69">
        <f t="shared" si="11"/>
        <v>185</v>
      </c>
      <c r="E69">
        <f t="shared" si="12"/>
        <v>0</v>
      </c>
      <c r="F69">
        <f t="shared" si="13"/>
        <v>0</v>
      </c>
      <c r="G69">
        <f t="shared" si="14"/>
        <v>20</v>
      </c>
      <c r="H69">
        <f t="shared" si="15"/>
        <v>20</v>
      </c>
      <c r="I69" t="str">
        <f t="shared" si="16"/>
        <v>SPRITE_ID_NEW_TRAIN</v>
      </c>
      <c r="U69"/>
      <c r="V69"/>
      <c r="W69"/>
    </row>
    <row r="70" spans="1:23">
      <c r="A70" s="2" t="s">
        <v>94</v>
      </c>
      <c r="B70">
        <f t="shared" si="9"/>
        <v>0</v>
      </c>
      <c r="C70">
        <f t="shared" si="10"/>
        <v>0</v>
      </c>
      <c r="D70">
        <f t="shared" si="11"/>
        <v>185</v>
      </c>
      <c r="E70">
        <f t="shared" si="12"/>
        <v>0</v>
      </c>
      <c r="F70">
        <f t="shared" si="13"/>
        <v>0</v>
      </c>
      <c r="G70">
        <f t="shared" si="14"/>
        <v>20</v>
      </c>
      <c r="H70">
        <f t="shared" si="15"/>
        <v>20</v>
      </c>
      <c r="I70" t="str">
        <f t="shared" si="16"/>
        <v>SPRITE_ID_NEW_TRAIN</v>
      </c>
      <c r="U70"/>
      <c r="V70"/>
      <c r="W70"/>
    </row>
    <row r="71" spans="1:23">
      <c r="A71" s="2" t="s">
        <v>95</v>
      </c>
      <c r="B71">
        <f t="shared" si="9"/>
        <v>0</v>
      </c>
      <c r="C71">
        <f t="shared" si="10"/>
        <v>0</v>
      </c>
      <c r="D71">
        <f t="shared" si="11"/>
        <v>185</v>
      </c>
      <c r="E71">
        <f t="shared" si="12"/>
        <v>0</v>
      </c>
      <c r="F71">
        <f t="shared" si="13"/>
        <v>0</v>
      </c>
      <c r="G71">
        <f t="shared" si="14"/>
        <v>20</v>
      </c>
      <c r="H71">
        <f t="shared" si="15"/>
        <v>20</v>
      </c>
      <c r="I71" t="str">
        <f t="shared" si="16"/>
        <v>SPRITE_ID_NEW_TRAIN</v>
      </c>
      <c r="U71"/>
      <c r="V71"/>
      <c r="W71"/>
    </row>
    <row r="72" spans="1:23">
      <c r="A72" s="2" t="s">
        <v>96</v>
      </c>
      <c r="B72">
        <f t="shared" si="9"/>
        <v>0</v>
      </c>
      <c r="C72">
        <f t="shared" si="10"/>
        <v>0</v>
      </c>
      <c r="D72">
        <f t="shared" si="11"/>
        <v>185</v>
      </c>
      <c r="E72">
        <f t="shared" si="12"/>
        <v>0</v>
      </c>
      <c r="F72">
        <f t="shared" si="13"/>
        <v>0</v>
      </c>
      <c r="G72">
        <f t="shared" si="14"/>
        <v>20</v>
      </c>
      <c r="H72">
        <f t="shared" si="15"/>
        <v>20</v>
      </c>
      <c r="I72" t="str">
        <f t="shared" si="16"/>
        <v>SPRITE_ID_NEW_TRAIN</v>
      </c>
      <c r="U72"/>
      <c r="V72"/>
      <c r="W72"/>
    </row>
    <row r="73" spans="1:23">
      <c r="A73" s="2" t="s">
        <v>97</v>
      </c>
      <c r="B73">
        <f t="shared" si="9"/>
        <v>0</v>
      </c>
      <c r="C73">
        <f t="shared" si="10"/>
        <v>0</v>
      </c>
      <c r="D73">
        <f t="shared" si="11"/>
        <v>185</v>
      </c>
      <c r="E73">
        <f t="shared" si="12"/>
        <v>0</v>
      </c>
      <c r="F73">
        <f t="shared" si="13"/>
        <v>0</v>
      </c>
      <c r="G73">
        <f t="shared" si="14"/>
        <v>20</v>
      </c>
      <c r="H73">
        <f t="shared" si="15"/>
        <v>20</v>
      </c>
      <c r="I73" t="str">
        <f t="shared" si="16"/>
        <v>SPRITE_ID_NEW_TRAIN</v>
      </c>
      <c r="U73"/>
      <c r="V73"/>
      <c r="W73"/>
    </row>
    <row r="74" spans="1:23">
      <c r="A74" s="2" t="s">
        <v>98</v>
      </c>
      <c r="B74">
        <f t="shared" si="9"/>
        <v>0</v>
      </c>
      <c r="C74">
        <f t="shared" si="10"/>
        <v>0</v>
      </c>
      <c r="D74">
        <f t="shared" si="11"/>
        <v>185</v>
      </c>
      <c r="E74">
        <f t="shared" si="12"/>
        <v>0</v>
      </c>
      <c r="F74">
        <f t="shared" si="13"/>
        <v>0</v>
      </c>
      <c r="G74">
        <f t="shared" si="14"/>
        <v>20</v>
      </c>
      <c r="H74">
        <f t="shared" si="15"/>
        <v>20</v>
      </c>
      <c r="I74" t="str">
        <f t="shared" si="16"/>
        <v>SPRITE_ID_NEW_TRAIN</v>
      </c>
      <c r="U74"/>
      <c r="V74"/>
      <c r="W74"/>
    </row>
    <row r="75" spans="1:23">
      <c r="A75" s="2" t="s">
        <v>99</v>
      </c>
      <c r="B75">
        <f t="shared" si="9"/>
        <v>0</v>
      </c>
      <c r="C75">
        <f t="shared" si="10"/>
        <v>0</v>
      </c>
      <c r="D75">
        <f t="shared" si="11"/>
        <v>185</v>
      </c>
      <c r="E75">
        <f t="shared" si="12"/>
        <v>0</v>
      </c>
      <c r="F75">
        <f t="shared" si="13"/>
        <v>0</v>
      </c>
      <c r="G75">
        <f t="shared" si="14"/>
        <v>20</v>
      </c>
      <c r="H75">
        <f t="shared" si="15"/>
        <v>20</v>
      </c>
      <c r="I75" t="str">
        <f t="shared" si="16"/>
        <v>SPRITE_ID_NEW_TRAIN</v>
      </c>
      <c r="U75"/>
      <c r="V75"/>
      <c r="W75"/>
    </row>
    <row r="76" spans="1:23">
      <c r="A76" s="2" t="s">
        <v>100</v>
      </c>
      <c r="B76">
        <f t="shared" si="9"/>
        <v>0</v>
      </c>
      <c r="C76">
        <f t="shared" si="10"/>
        <v>0</v>
      </c>
      <c r="D76">
        <f t="shared" si="11"/>
        <v>185</v>
      </c>
      <c r="E76">
        <f t="shared" si="12"/>
        <v>0</v>
      </c>
      <c r="F76">
        <f t="shared" si="13"/>
        <v>0</v>
      </c>
      <c r="G76">
        <f t="shared" si="14"/>
        <v>20</v>
      </c>
      <c r="H76">
        <f t="shared" si="15"/>
        <v>20</v>
      </c>
      <c r="I76" t="str">
        <f t="shared" si="16"/>
        <v>SPRITE_ID_NEW_TRAIN</v>
      </c>
      <c r="U76"/>
      <c r="V76"/>
      <c r="W76"/>
    </row>
    <row r="77" spans="1:23">
      <c r="A77" s="2" t="s">
        <v>101</v>
      </c>
      <c r="B77">
        <f t="shared" si="9"/>
        <v>0</v>
      </c>
      <c r="C77">
        <f t="shared" si="10"/>
        <v>0</v>
      </c>
      <c r="D77">
        <f t="shared" si="11"/>
        <v>185</v>
      </c>
      <c r="E77">
        <f t="shared" si="12"/>
        <v>0</v>
      </c>
      <c r="F77">
        <f t="shared" si="13"/>
        <v>0</v>
      </c>
      <c r="G77">
        <f t="shared" si="14"/>
        <v>20</v>
      </c>
      <c r="H77">
        <f t="shared" si="15"/>
        <v>20</v>
      </c>
      <c r="I77" t="str">
        <f t="shared" si="16"/>
        <v>SPRITE_ID_NEW_TRAIN</v>
      </c>
      <c r="U77"/>
      <c r="V77"/>
      <c r="W77"/>
    </row>
    <row r="78" spans="1:23">
      <c r="A78" s="2" t="s">
        <v>102</v>
      </c>
      <c r="B78">
        <f t="shared" si="9"/>
        <v>0</v>
      </c>
      <c r="C78">
        <f t="shared" si="10"/>
        <v>0</v>
      </c>
      <c r="D78">
        <f t="shared" si="11"/>
        <v>185</v>
      </c>
      <c r="E78">
        <f t="shared" si="12"/>
        <v>0</v>
      </c>
      <c r="F78">
        <f t="shared" si="13"/>
        <v>0</v>
      </c>
      <c r="G78">
        <f t="shared" si="14"/>
        <v>20</v>
      </c>
      <c r="H78">
        <f t="shared" si="15"/>
        <v>20</v>
      </c>
      <c r="I78" t="str">
        <f t="shared" si="16"/>
        <v>SPRITE_ID_NEW_TRAIN</v>
      </c>
      <c r="U78"/>
      <c r="V78"/>
      <c r="W78"/>
    </row>
    <row r="79" spans="1:23">
      <c r="A79" s="2" t="s">
        <v>103</v>
      </c>
      <c r="B79">
        <f t="shared" si="9"/>
        <v>0</v>
      </c>
      <c r="C79">
        <f t="shared" si="10"/>
        <v>0</v>
      </c>
      <c r="D79">
        <f t="shared" si="11"/>
        <v>185</v>
      </c>
      <c r="E79">
        <f t="shared" si="12"/>
        <v>0</v>
      </c>
      <c r="F79">
        <f t="shared" si="13"/>
        <v>0</v>
      </c>
      <c r="G79">
        <f t="shared" si="14"/>
        <v>20</v>
      </c>
      <c r="H79">
        <f t="shared" si="15"/>
        <v>20</v>
      </c>
      <c r="I79" t="str">
        <f t="shared" si="16"/>
        <v>SPRITE_ID_NEW_TRAIN</v>
      </c>
      <c r="U79"/>
      <c r="V79"/>
      <c r="W79"/>
    </row>
    <row r="80" spans="1:23">
      <c r="A80" s="2" t="s">
        <v>104</v>
      </c>
      <c r="B80">
        <f t="shared" si="9"/>
        <v>0</v>
      </c>
      <c r="C80">
        <f t="shared" si="10"/>
        <v>0</v>
      </c>
      <c r="D80">
        <f t="shared" si="11"/>
        <v>185</v>
      </c>
      <c r="E80">
        <f t="shared" si="12"/>
        <v>0</v>
      </c>
      <c r="F80">
        <f t="shared" si="13"/>
        <v>0</v>
      </c>
      <c r="G80">
        <f t="shared" si="14"/>
        <v>20</v>
      </c>
      <c r="H80">
        <f t="shared" si="15"/>
        <v>20</v>
      </c>
      <c r="I80" t="str">
        <f t="shared" si="16"/>
        <v>SPRITE_ID_NEW_TRAIN</v>
      </c>
      <c r="U80"/>
      <c r="V80"/>
      <c r="W80"/>
    </row>
    <row r="81" spans="1:23">
      <c r="A81" s="2" t="s">
        <v>105</v>
      </c>
      <c r="B81">
        <f t="shared" si="9"/>
        <v>0</v>
      </c>
      <c r="C81">
        <f t="shared" si="10"/>
        <v>0</v>
      </c>
      <c r="D81">
        <f t="shared" si="11"/>
        <v>185</v>
      </c>
      <c r="E81">
        <f t="shared" si="12"/>
        <v>0</v>
      </c>
      <c r="F81">
        <f t="shared" si="13"/>
        <v>0</v>
      </c>
      <c r="G81">
        <f t="shared" si="14"/>
        <v>20</v>
      </c>
      <c r="H81">
        <f t="shared" si="15"/>
        <v>20</v>
      </c>
      <c r="I81" t="str">
        <f t="shared" si="16"/>
        <v>SPRITE_ID_NEW_TRAIN</v>
      </c>
      <c r="U81"/>
      <c r="V81"/>
      <c r="W81"/>
    </row>
    <row r="82" spans="1:23">
      <c r="A82" s="2" t="s">
        <v>106</v>
      </c>
      <c r="B82">
        <f t="shared" si="9"/>
        <v>0</v>
      </c>
      <c r="C82">
        <f t="shared" si="10"/>
        <v>0</v>
      </c>
      <c r="D82">
        <f t="shared" si="11"/>
        <v>185</v>
      </c>
      <c r="E82">
        <f t="shared" si="12"/>
        <v>0</v>
      </c>
      <c r="F82">
        <f t="shared" si="13"/>
        <v>0</v>
      </c>
      <c r="G82">
        <f t="shared" si="14"/>
        <v>20</v>
      </c>
      <c r="H82">
        <f t="shared" si="15"/>
        <v>20</v>
      </c>
      <c r="I82" t="str">
        <f t="shared" si="16"/>
        <v>SPRITE_ID_NEW_TRAIN</v>
      </c>
      <c r="U82"/>
      <c r="V82"/>
      <c r="W82"/>
    </row>
    <row r="83" spans="1:23">
      <c r="A83" s="2" t="s">
        <v>107</v>
      </c>
      <c r="B83">
        <f t="shared" si="9"/>
        <v>0</v>
      </c>
      <c r="C83">
        <f t="shared" si="10"/>
        <v>0</v>
      </c>
      <c r="D83">
        <f t="shared" si="11"/>
        <v>185</v>
      </c>
      <c r="E83">
        <f t="shared" si="12"/>
        <v>0</v>
      </c>
      <c r="F83">
        <f t="shared" si="13"/>
        <v>0</v>
      </c>
      <c r="G83">
        <f t="shared" si="14"/>
        <v>20</v>
      </c>
      <c r="H83">
        <f t="shared" si="15"/>
        <v>20</v>
      </c>
      <c r="I83" t="str">
        <f t="shared" si="16"/>
        <v>SPRITE_ID_NEW_TRAIN</v>
      </c>
      <c r="U83"/>
      <c r="V83"/>
      <c r="W83"/>
    </row>
    <row r="84" spans="1:23">
      <c r="A84" s="2" t="s">
        <v>108</v>
      </c>
      <c r="B84">
        <f t="shared" si="9"/>
        <v>0</v>
      </c>
      <c r="C84">
        <f t="shared" si="10"/>
        <v>0</v>
      </c>
      <c r="D84">
        <f t="shared" si="11"/>
        <v>185</v>
      </c>
      <c r="E84">
        <f t="shared" si="12"/>
        <v>0</v>
      </c>
      <c r="F84">
        <f t="shared" si="13"/>
        <v>0</v>
      </c>
      <c r="G84">
        <f t="shared" si="14"/>
        <v>20</v>
      </c>
      <c r="H84">
        <f t="shared" si="15"/>
        <v>20</v>
      </c>
      <c r="I84" t="str">
        <f t="shared" si="16"/>
        <v>SPRITE_ID_NEW_TRAIN</v>
      </c>
      <c r="U84"/>
      <c r="V84"/>
      <c r="W84"/>
    </row>
    <row r="85" spans="1:23">
      <c r="A85" s="2" t="s">
        <v>109</v>
      </c>
      <c r="B85">
        <f t="shared" si="9"/>
        <v>0</v>
      </c>
      <c r="C85">
        <f t="shared" si="10"/>
        <v>0</v>
      </c>
      <c r="D85">
        <f t="shared" si="11"/>
        <v>185</v>
      </c>
      <c r="E85">
        <f t="shared" si="12"/>
        <v>0</v>
      </c>
      <c r="F85">
        <f t="shared" si="13"/>
        <v>0</v>
      </c>
      <c r="G85">
        <f t="shared" si="14"/>
        <v>20</v>
      </c>
      <c r="H85">
        <f t="shared" si="15"/>
        <v>20</v>
      </c>
      <c r="I85" t="str">
        <f t="shared" si="16"/>
        <v>SPRITE_ID_NEW_TRAIN</v>
      </c>
      <c r="U85"/>
      <c r="V85"/>
      <c r="W85"/>
    </row>
    <row r="86" spans="1:23">
      <c r="A86" s="2" t="s">
        <v>110</v>
      </c>
      <c r="B86">
        <f t="shared" si="9"/>
        <v>0</v>
      </c>
      <c r="C86">
        <f t="shared" si="10"/>
        <v>0</v>
      </c>
      <c r="D86">
        <f t="shared" si="11"/>
        <v>185</v>
      </c>
      <c r="E86">
        <f t="shared" si="12"/>
        <v>0</v>
      </c>
      <c r="F86">
        <f t="shared" si="13"/>
        <v>0</v>
      </c>
      <c r="G86">
        <f t="shared" si="14"/>
        <v>20</v>
      </c>
      <c r="H86">
        <f t="shared" si="15"/>
        <v>20</v>
      </c>
      <c r="I86" t="str">
        <f t="shared" si="16"/>
        <v>SPRITE_ID_NEW_TRAIN</v>
      </c>
      <c r="U86"/>
      <c r="V86"/>
      <c r="W86"/>
    </row>
    <row r="87" spans="1:23">
      <c r="A87" s="2" t="s">
        <v>111</v>
      </c>
      <c r="B87">
        <f t="shared" si="9"/>
        <v>0</v>
      </c>
      <c r="C87">
        <f t="shared" si="10"/>
        <v>0</v>
      </c>
      <c r="D87">
        <f t="shared" si="11"/>
        <v>185</v>
      </c>
      <c r="E87">
        <f t="shared" si="12"/>
        <v>0</v>
      </c>
      <c r="F87">
        <f t="shared" si="13"/>
        <v>0</v>
      </c>
      <c r="G87">
        <f t="shared" si="14"/>
        <v>20</v>
      </c>
      <c r="H87">
        <f t="shared" si="15"/>
        <v>20</v>
      </c>
      <c r="I87" t="str">
        <f t="shared" si="16"/>
        <v>SPRITE_ID_NEW_TRAIN</v>
      </c>
      <c r="U87"/>
      <c r="V87"/>
      <c r="W87"/>
    </row>
    <row r="88" spans="1:23">
      <c r="A88" s="2" t="s">
        <v>112</v>
      </c>
      <c r="B88">
        <f t="shared" si="9"/>
        <v>0</v>
      </c>
      <c r="C88">
        <f t="shared" si="10"/>
        <v>0</v>
      </c>
      <c r="D88">
        <f t="shared" si="11"/>
        <v>185</v>
      </c>
      <c r="E88">
        <f t="shared" si="12"/>
        <v>0</v>
      </c>
      <c r="F88">
        <f t="shared" si="13"/>
        <v>0</v>
      </c>
      <c r="G88">
        <f t="shared" si="14"/>
        <v>20</v>
      </c>
      <c r="H88">
        <f t="shared" si="15"/>
        <v>20</v>
      </c>
      <c r="I88" t="str">
        <f t="shared" si="16"/>
        <v>SPRITE_ID_NEW_TRAIN</v>
      </c>
      <c r="U88"/>
      <c r="V88"/>
      <c r="W88"/>
    </row>
    <row r="89" spans="1:23">
      <c r="A89" s="2" t="s">
        <v>113</v>
      </c>
      <c r="B89">
        <f t="shared" si="9"/>
        <v>0</v>
      </c>
      <c r="C89">
        <f t="shared" si="10"/>
        <v>0</v>
      </c>
      <c r="D89">
        <f t="shared" si="11"/>
        <v>185</v>
      </c>
      <c r="E89">
        <f t="shared" si="12"/>
        <v>0</v>
      </c>
      <c r="F89">
        <f t="shared" si="13"/>
        <v>0</v>
      </c>
      <c r="G89">
        <f t="shared" si="14"/>
        <v>20</v>
      </c>
      <c r="H89">
        <f t="shared" si="15"/>
        <v>20</v>
      </c>
      <c r="I89" t="str">
        <f t="shared" si="16"/>
        <v>SPRITE_ID_NEW_TRAIN</v>
      </c>
      <c r="U89"/>
      <c r="V89"/>
      <c r="W89"/>
    </row>
    <row r="90" spans="1:23">
      <c r="A90" s="2" t="s">
        <v>114</v>
      </c>
      <c r="B90">
        <f t="shared" si="9"/>
        <v>0</v>
      </c>
      <c r="C90">
        <f t="shared" si="10"/>
        <v>0</v>
      </c>
      <c r="D90">
        <f t="shared" si="11"/>
        <v>185</v>
      </c>
      <c r="E90">
        <f t="shared" si="12"/>
        <v>0</v>
      </c>
      <c r="F90">
        <f t="shared" si="13"/>
        <v>0</v>
      </c>
      <c r="G90">
        <f t="shared" si="14"/>
        <v>20</v>
      </c>
      <c r="H90">
        <f t="shared" si="15"/>
        <v>20</v>
      </c>
      <c r="I90" t="str">
        <f t="shared" si="16"/>
        <v>SPRITE_ID_NEW_TRAIN</v>
      </c>
      <c r="U90"/>
      <c r="V90"/>
      <c r="W90"/>
    </row>
    <row r="91" spans="1:23">
      <c r="A91" s="2" t="s">
        <v>115</v>
      </c>
      <c r="B91">
        <f t="shared" si="9"/>
        <v>0</v>
      </c>
      <c r="C91">
        <f t="shared" si="10"/>
        <v>0</v>
      </c>
      <c r="D91">
        <f t="shared" si="11"/>
        <v>185</v>
      </c>
      <c r="E91">
        <f t="shared" si="12"/>
        <v>0</v>
      </c>
      <c r="F91">
        <f t="shared" si="13"/>
        <v>0</v>
      </c>
      <c r="G91">
        <f t="shared" si="14"/>
        <v>20</v>
      </c>
      <c r="H91">
        <f t="shared" si="15"/>
        <v>20</v>
      </c>
      <c r="I91" t="str">
        <f t="shared" si="16"/>
        <v>SPRITE_ID_NEW_TRAIN</v>
      </c>
      <c r="U91"/>
      <c r="V91"/>
      <c r="W91"/>
    </row>
    <row r="92" spans="1:23">
      <c r="A92" s="2" t="s">
        <v>116</v>
      </c>
      <c r="B92">
        <f t="shared" si="9"/>
        <v>0</v>
      </c>
      <c r="C92">
        <f t="shared" si="10"/>
        <v>0</v>
      </c>
      <c r="D92">
        <f t="shared" si="11"/>
        <v>185</v>
      </c>
      <c r="E92">
        <f t="shared" si="12"/>
        <v>0</v>
      </c>
      <c r="F92">
        <f t="shared" si="13"/>
        <v>0</v>
      </c>
      <c r="G92">
        <f t="shared" si="14"/>
        <v>20</v>
      </c>
      <c r="H92">
        <f t="shared" si="15"/>
        <v>20</v>
      </c>
      <c r="I92" t="str">
        <f t="shared" si="16"/>
        <v>SPRITE_ID_NEW_TRAIN</v>
      </c>
      <c r="U92"/>
      <c r="V92"/>
      <c r="W92"/>
    </row>
    <row r="93" spans="1:23">
      <c r="A93" s="2" t="s">
        <v>117</v>
      </c>
      <c r="B93">
        <f t="shared" si="9"/>
        <v>0</v>
      </c>
      <c r="C93">
        <f t="shared" si="10"/>
        <v>0</v>
      </c>
      <c r="D93">
        <f t="shared" si="11"/>
        <v>185</v>
      </c>
      <c r="E93">
        <f t="shared" si="12"/>
        <v>0</v>
      </c>
      <c r="F93">
        <f t="shared" si="13"/>
        <v>0</v>
      </c>
      <c r="G93">
        <f t="shared" si="14"/>
        <v>20</v>
      </c>
      <c r="H93">
        <f t="shared" si="15"/>
        <v>20</v>
      </c>
      <c r="I93" t="str">
        <f t="shared" si="16"/>
        <v>SPRITE_ID_NEW_TRAIN</v>
      </c>
      <c r="U93"/>
      <c r="V93"/>
      <c r="W93"/>
    </row>
    <row r="94" spans="1:23">
      <c r="A94" s="2" t="s">
        <v>118</v>
      </c>
      <c r="B94">
        <f t="shared" si="9"/>
        <v>0</v>
      </c>
      <c r="C94">
        <f t="shared" si="10"/>
        <v>0</v>
      </c>
      <c r="D94">
        <f t="shared" si="11"/>
        <v>185</v>
      </c>
      <c r="E94">
        <f t="shared" si="12"/>
        <v>0</v>
      </c>
      <c r="F94">
        <f t="shared" si="13"/>
        <v>0</v>
      </c>
      <c r="G94">
        <f t="shared" si="14"/>
        <v>20</v>
      </c>
      <c r="H94">
        <f t="shared" si="15"/>
        <v>20</v>
      </c>
      <c r="I94" t="str">
        <f t="shared" si="16"/>
        <v>SPRITE_ID_NEW_TRAIN</v>
      </c>
      <c r="U94"/>
      <c r="V94"/>
      <c r="W94"/>
    </row>
    <row r="95" spans="1:23">
      <c r="A95" s="2" t="s">
        <v>119</v>
      </c>
      <c r="B95">
        <f t="shared" si="9"/>
        <v>0</v>
      </c>
      <c r="C95">
        <f t="shared" si="10"/>
        <v>0</v>
      </c>
      <c r="D95">
        <f t="shared" si="11"/>
        <v>185</v>
      </c>
      <c r="E95">
        <f t="shared" si="12"/>
        <v>0</v>
      </c>
      <c r="F95">
        <f t="shared" si="13"/>
        <v>0</v>
      </c>
      <c r="G95">
        <f t="shared" si="14"/>
        <v>20</v>
      </c>
      <c r="H95">
        <f t="shared" si="15"/>
        <v>20</v>
      </c>
      <c r="I95" t="str">
        <f t="shared" si="16"/>
        <v>SPRITE_ID_NEW_TRAIN</v>
      </c>
      <c r="U95"/>
      <c r="V95"/>
      <c r="W95"/>
    </row>
    <row r="96" spans="1:23">
      <c r="A96" s="2" t="s">
        <v>120</v>
      </c>
      <c r="B96">
        <f t="shared" si="9"/>
        <v>0</v>
      </c>
      <c r="C96">
        <f t="shared" si="10"/>
        <v>0</v>
      </c>
      <c r="D96">
        <f t="shared" si="11"/>
        <v>185</v>
      </c>
      <c r="E96">
        <f t="shared" si="12"/>
        <v>0</v>
      </c>
      <c r="F96">
        <f t="shared" si="13"/>
        <v>0</v>
      </c>
      <c r="G96">
        <f t="shared" si="14"/>
        <v>20</v>
      </c>
      <c r="H96">
        <f t="shared" si="15"/>
        <v>20</v>
      </c>
      <c r="I96" t="str">
        <f t="shared" si="16"/>
        <v>SPRITE_ID_NEW_TRAIN</v>
      </c>
      <c r="U96"/>
      <c r="V96"/>
      <c r="W96"/>
    </row>
    <row r="97" spans="1:23">
      <c r="A97" s="2" t="s">
        <v>121</v>
      </c>
      <c r="B97">
        <f t="shared" si="9"/>
        <v>0</v>
      </c>
      <c r="C97">
        <f t="shared" si="10"/>
        <v>0</v>
      </c>
      <c r="D97">
        <f t="shared" si="11"/>
        <v>185</v>
      </c>
      <c r="E97">
        <f t="shared" si="12"/>
        <v>0</v>
      </c>
      <c r="F97">
        <f t="shared" si="13"/>
        <v>0</v>
      </c>
      <c r="G97">
        <f t="shared" si="14"/>
        <v>20</v>
      </c>
      <c r="H97">
        <f t="shared" si="15"/>
        <v>20</v>
      </c>
      <c r="I97" t="str">
        <f t="shared" si="16"/>
        <v>SPRITE_ID_NEW_TRAIN</v>
      </c>
      <c r="U97"/>
      <c r="V97"/>
      <c r="W97"/>
    </row>
    <row r="98" spans="1:23">
      <c r="A98" s="2" t="s">
        <v>122</v>
      </c>
      <c r="B98">
        <f t="shared" si="9"/>
        <v>0</v>
      </c>
      <c r="C98">
        <f t="shared" si="10"/>
        <v>0</v>
      </c>
      <c r="D98">
        <f t="shared" si="11"/>
        <v>185</v>
      </c>
      <c r="E98">
        <f t="shared" si="12"/>
        <v>0</v>
      </c>
      <c r="F98">
        <f t="shared" si="13"/>
        <v>0</v>
      </c>
      <c r="G98">
        <f t="shared" si="14"/>
        <v>20</v>
      </c>
      <c r="H98">
        <f t="shared" si="15"/>
        <v>20</v>
      </c>
      <c r="I98" t="str">
        <f t="shared" si="16"/>
        <v>SPRITE_ID_NEW_TRAIN</v>
      </c>
      <c r="U98"/>
      <c r="V98"/>
      <c r="W98"/>
    </row>
    <row r="99" spans="1:23">
      <c r="A99" s="2" t="s">
        <v>123</v>
      </c>
      <c r="B99">
        <f t="shared" si="9"/>
        <v>0</v>
      </c>
      <c r="C99">
        <f t="shared" si="10"/>
        <v>0</v>
      </c>
      <c r="D99">
        <f t="shared" si="11"/>
        <v>185</v>
      </c>
      <c r="E99">
        <f t="shared" si="12"/>
        <v>0</v>
      </c>
      <c r="F99">
        <f t="shared" si="13"/>
        <v>0</v>
      </c>
      <c r="G99">
        <f t="shared" si="14"/>
        <v>20</v>
      </c>
      <c r="H99">
        <f t="shared" si="15"/>
        <v>20</v>
      </c>
      <c r="I99" t="str">
        <f t="shared" si="16"/>
        <v>SPRITE_ID_NEW_TRAIN</v>
      </c>
      <c r="U99"/>
      <c r="V99"/>
      <c r="W99"/>
    </row>
    <row r="100" spans="1:23">
      <c r="A100" s="2" t="s">
        <v>124</v>
      </c>
      <c r="B100">
        <f t="shared" si="9"/>
        <v>0</v>
      </c>
      <c r="C100">
        <f t="shared" si="10"/>
        <v>0</v>
      </c>
      <c r="D100">
        <f t="shared" si="11"/>
        <v>185</v>
      </c>
      <c r="E100">
        <f t="shared" si="12"/>
        <v>0</v>
      </c>
      <c r="F100">
        <f t="shared" si="13"/>
        <v>0</v>
      </c>
      <c r="G100">
        <f t="shared" si="14"/>
        <v>20</v>
      </c>
      <c r="H100">
        <f t="shared" si="15"/>
        <v>20</v>
      </c>
      <c r="I100" t="str">
        <f t="shared" si="16"/>
        <v>SPRITE_ID_NEW_TRAIN</v>
      </c>
      <c r="U100"/>
      <c r="V100"/>
      <c r="W100"/>
    </row>
    <row r="101" spans="1:23">
      <c r="A101" s="2" t="s">
        <v>125</v>
      </c>
      <c r="B101">
        <f t="shared" si="9"/>
        <v>0</v>
      </c>
      <c r="C101">
        <f t="shared" si="10"/>
        <v>0</v>
      </c>
      <c r="D101">
        <f t="shared" si="11"/>
        <v>185</v>
      </c>
      <c r="E101">
        <f t="shared" si="12"/>
        <v>0</v>
      </c>
      <c r="F101">
        <f t="shared" si="13"/>
        <v>0</v>
      </c>
      <c r="G101">
        <f t="shared" si="14"/>
        <v>20</v>
      </c>
      <c r="H101">
        <f t="shared" si="15"/>
        <v>20</v>
      </c>
      <c r="I101" t="str">
        <f t="shared" si="16"/>
        <v>SPRITE_ID_NEW_TRAIN</v>
      </c>
      <c r="U101"/>
      <c r="V101"/>
      <c r="W101"/>
    </row>
    <row r="102" spans="1:23">
      <c r="A102" s="2" t="s">
        <v>126</v>
      </c>
      <c r="B102">
        <f t="shared" si="9"/>
        <v>0</v>
      </c>
      <c r="C102">
        <f t="shared" si="10"/>
        <v>0</v>
      </c>
      <c r="D102">
        <f t="shared" si="11"/>
        <v>185</v>
      </c>
      <c r="E102">
        <f t="shared" si="12"/>
        <v>0</v>
      </c>
      <c r="F102">
        <f t="shared" si="13"/>
        <v>0</v>
      </c>
      <c r="G102">
        <f t="shared" si="14"/>
        <v>20</v>
      </c>
      <c r="H102">
        <f t="shared" si="15"/>
        <v>20</v>
      </c>
      <c r="I102" t="str">
        <f t="shared" si="16"/>
        <v>SPRITE_ID_NEW_TRAIN</v>
      </c>
      <c r="U102"/>
      <c r="V102"/>
      <c r="W102"/>
    </row>
    <row r="103" spans="1:23">
      <c r="A103" s="2" t="s">
        <v>127</v>
      </c>
      <c r="B103">
        <f t="shared" si="9"/>
        <v>0</v>
      </c>
      <c r="C103">
        <f t="shared" si="10"/>
        <v>0</v>
      </c>
      <c r="D103">
        <f t="shared" si="11"/>
        <v>185</v>
      </c>
      <c r="E103">
        <f t="shared" si="12"/>
        <v>0</v>
      </c>
      <c r="F103">
        <f t="shared" si="13"/>
        <v>0</v>
      </c>
      <c r="G103">
        <f t="shared" si="14"/>
        <v>20</v>
      </c>
      <c r="H103">
        <f t="shared" si="15"/>
        <v>20</v>
      </c>
      <c r="I103" t="str">
        <f t="shared" si="16"/>
        <v>SPRITE_ID_NEW_TRAIN</v>
      </c>
      <c r="U103"/>
      <c r="V103"/>
      <c r="W103"/>
    </row>
    <row r="104" spans="1:23">
      <c r="A104" s="2" t="s">
        <v>128</v>
      </c>
      <c r="B104">
        <f t="shared" si="9"/>
        <v>0</v>
      </c>
      <c r="C104">
        <f t="shared" si="10"/>
        <v>0</v>
      </c>
      <c r="D104">
        <f t="shared" si="11"/>
        <v>185</v>
      </c>
      <c r="E104">
        <f t="shared" si="12"/>
        <v>0</v>
      </c>
      <c r="F104">
        <f t="shared" si="13"/>
        <v>0</v>
      </c>
      <c r="G104">
        <f t="shared" si="14"/>
        <v>20</v>
      </c>
      <c r="H104">
        <f t="shared" si="15"/>
        <v>20</v>
      </c>
      <c r="I104" t="str">
        <f t="shared" si="16"/>
        <v>SPRITE_ID_NEW_TRAIN</v>
      </c>
      <c r="U104"/>
      <c r="V104"/>
      <c r="W104"/>
    </row>
    <row r="105" spans="1:23">
      <c r="A105" s="2" t="s">
        <v>129</v>
      </c>
      <c r="B105">
        <f t="shared" si="9"/>
        <v>0</v>
      </c>
      <c r="C105">
        <f t="shared" si="10"/>
        <v>0</v>
      </c>
      <c r="D105">
        <f t="shared" si="11"/>
        <v>185</v>
      </c>
      <c r="E105">
        <f t="shared" si="12"/>
        <v>0</v>
      </c>
      <c r="F105">
        <f t="shared" si="13"/>
        <v>0</v>
      </c>
      <c r="G105">
        <f t="shared" si="14"/>
        <v>20</v>
      </c>
      <c r="H105">
        <f t="shared" si="15"/>
        <v>20</v>
      </c>
      <c r="I105" t="str">
        <f t="shared" si="16"/>
        <v>SPRITE_ID_NEW_TRAIN</v>
      </c>
      <c r="U105"/>
      <c r="V105"/>
      <c r="W105"/>
    </row>
    <row r="106" spans="1:23">
      <c r="A106" s="2" t="s">
        <v>130</v>
      </c>
      <c r="B106">
        <f t="shared" si="9"/>
        <v>0</v>
      </c>
      <c r="C106">
        <f t="shared" si="10"/>
        <v>0</v>
      </c>
      <c r="D106">
        <f t="shared" si="11"/>
        <v>185</v>
      </c>
      <c r="E106">
        <f t="shared" si="12"/>
        <v>0</v>
      </c>
      <c r="F106">
        <f t="shared" si="13"/>
        <v>0</v>
      </c>
      <c r="G106">
        <f t="shared" si="14"/>
        <v>20</v>
      </c>
      <c r="H106">
        <f t="shared" si="15"/>
        <v>20</v>
      </c>
      <c r="I106" t="str">
        <f t="shared" si="16"/>
        <v>SPRITE_ID_NEW_TRAIN</v>
      </c>
      <c r="U106"/>
      <c r="V106"/>
      <c r="W106"/>
    </row>
    <row r="107" spans="1:23">
      <c r="A107" s="2" t="s">
        <v>131</v>
      </c>
      <c r="B107">
        <f t="shared" si="9"/>
        <v>0</v>
      </c>
      <c r="C107">
        <f t="shared" si="10"/>
        <v>0</v>
      </c>
      <c r="D107">
        <f t="shared" si="11"/>
        <v>185</v>
      </c>
      <c r="E107">
        <f t="shared" si="12"/>
        <v>0</v>
      </c>
      <c r="F107">
        <f t="shared" si="13"/>
        <v>0</v>
      </c>
      <c r="G107">
        <f t="shared" si="14"/>
        <v>20</v>
      </c>
      <c r="H107">
        <f t="shared" si="15"/>
        <v>20</v>
      </c>
      <c r="I107" t="str">
        <f t="shared" si="16"/>
        <v>SPRITE_ID_NEW_TRAIN</v>
      </c>
      <c r="U107"/>
      <c r="V107"/>
      <c r="W107"/>
    </row>
    <row r="108" spans="1:23">
      <c r="A108" s="2" t="s">
        <v>132</v>
      </c>
      <c r="B108">
        <f t="shared" si="9"/>
        <v>0</v>
      </c>
      <c r="C108">
        <f t="shared" si="10"/>
        <v>0</v>
      </c>
      <c r="D108">
        <f t="shared" si="11"/>
        <v>185</v>
      </c>
      <c r="E108">
        <f t="shared" si="12"/>
        <v>0</v>
      </c>
      <c r="F108">
        <f t="shared" si="13"/>
        <v>0</v>
      </c>
      <c r="G108">
        <f t="shared" si="14"/>
        <v>20</v>
      </c>
      <c r="H108">
        <f t="shared" si="15"/>
        <v>20</v>
      </c>
      <c r="I108" t="str">
        <f t="shared" si="16"/>
        <v>SPRITE_ID_NEW_TRAIN</v>
      </c>
      <c r="U108"/>
      <c r="V108"/>
      <c r="W108"/>
    </row>
    <row r="109" spans="1:23">
      <c r="A109" s="2" t="s">
        <v>133</v>
      </c>
      <c r="B109">
        <f t="shared" si="9"/>
        <v>0</v>
      </c>
      <c r="C109">
        <f t="shared" si="10"/>
        <v>0</v>
      </c>
      <c r="D109">
        <f t="shared" si="11"/>
        <v>185</v>
      </c>
      <c r="E109">
        <f t="shared" si="12"/>
        <v>0</v>
      </c>
      <c r="F109">
        <f t="shared" si="13"/>
        <v>0</v>
      </c>
      <c r="G109">
        <f t="shared" si="14"/>
        <v>20</v>
      </c>
      <c r="H109">
        <f t="shared" si="15"/>
        <v>20</v>
      </c>
      <c r="I109" t="str">
        <f t="shared" si="16"/>
        <v>SPRITE_ID_NEW_TRAIN</v>
      </c>
      <c r="U109"/>
      <c r="V109"/>
      <c r="W109"/>
    </row>
    <row r="110" spans="1:23">
      <c r="A110" s="2" t="s">
        <v>134</v>
      </c>
      <c r="B110">
        <f t="shared" si="9"/>
        <v>0</v>
      </c>
      <c r="C110">
        <f t="shared" si="10"/>
        <v>0</v>
      </c>
      <c r="D110">
        <f t="shared" si="11"/>
        <v>185</v>
      </c>
      <c r="E110">
        <f t="shared" si="12"/>
        <v>0</v>
      </c>
      <c r="F110">
        <f t="shared" si="13"/>
        <v>0</v>
      </c>
      <c r="G110">
        <f t="shared" si="14"/>
        <v>20</v>
      </c>
      <c r="H110">
        <f t="shared" si="15"/>
        <v>20</v>
      </c>
      <c r="I110" t="str">
        <f t="shared" si="16"/>
        <v>SPRITE_ID_NEW_TRAIN</v>
      </c>
      <c r="U110"/>
      <c r="V110"/>
      <c r="W110"/>
    </row>
    <row r="111" spans="1:23">
      <c r="A111" s="2" t="s">
        <v>135</v>
      </c>
      <c r="B111">
        <f t="shared" si="9"/>
        <v>0</v>
      </c>
      <c r="C111">
        <f t="shared" si="10"/>
        <v>0</v>
      </c>
      <c r="D111">
        <f t="shared" si="11"/>
        <v>185</v>
      </c>
      <c r="E111">
        <f t="shared" si="12"/>
        <v>0</v>
      </c>
      <c r="F111">
        <f t="shared" si="13"/>
        <v>0</v>
      </c>
      <c r="G111">
        <f t="shared" si="14"/>
        <v>20</v>
      </c>
      <c r="H111">
        <f t="shared" si="15"/>
        <v>20</v>
      </c>
      <c r="I111" t="str">
        <f t="shared" si="16"/>
        <v>SPRITE_ID_NEW_TRAIN</v>
      </c>
      <c r="U111"/>
      <c r="V111"/>
      <c r="W111"/>
    </row>
    <row r="112" spans="1:23">
      <c r="A112" s="2" t="s">
        <v>136</v>
      </c>
      <c r="B112">
        <f t="shared" si="9"/>
        <v>0</v>
      </c>
      <c r="C112">
        <f t="shared" si="10"/>
        <v>0</v>
      </c>
      <c r="D112">
        <f t="shared" si="11"/>
        <v>185</v>
      </c>
      <c r="E112">
        <f t="shared" si="12"/>
        <v>0</v>
      </c>
      <c r="F112">
        <f t="shared" si="13"/>
        <v>0</v>
      </c>
      <c r="G112">
        <f t="shared" si="14"/>
        <v>20</v>
      </c>
      <c r="H112">
        <f t="shared" si="15"/>
        <v>20</v>
      </c>
      <c r="I112" t="str">
        <f t="shared" si="16"/>
        <v>SPRITE_ID_NEW_TRAIN</v>
      </c>
      <c r="U112"/>
      <c r="V112"/>
      <c r="W112"/>
    </row>
    <row r="113" spans="1:23">
      <c r="A113" s="2" t="s">
        <v>137</v>
      </c>
      <c r="B113">
        <f t="shared" si="9"/>
        <v>0</v>
      </c>
      <c r="C113">
        <f t="shared" si="10"/>
        <v>0</v>
      </c>
      <c r="D113">
        <f t="shared" si="11"/>
        <v>185</v>
      </c>
      <c r="E113">
        <f t="shared" si="12"/>
        <v>0</v>
      </c>
      <c r="F113">
        <f t="shared" si="13"/>
        <v>0</v>
      </c>
      <c r="G113">
        <f t="shared" si="14"/>
        <v>20</v>
      </c>
      <c r="H113">
        <f t="shared" si="15"/>
        <v>20</v>
      </c>
      <c r="I113" t="str">
        <f t="shared" si="16"/>
        <v>SPRITE_ID_NEW_TRAIN</v>
      </c>
      <c r="U113"/>
      <c r="V113"/>
      <c r="W113"/>
    </row>
    <row r="114" spans="1:23">
      <c r="A114" s="2" t="s">
        <v>138</v>
      </c>
      <c r="B114">
        <f t="shared" si="9"/>
        <v>0</v>
      </c>
      <c r="C114">
        <f t="shared" si="10"/>
        <v>0</v>
      </c>
      <c r="D114">
        <f t="shared" si="11"/>
        <v>185</v>
      </c>
      <c r="E114">
        <f t="shared" si="12"/>
        <v>0</v>
      </c>
      <c r="F114">
        <f t="shared" si="13"/>
        <v>0</v>
      </c>
      <c r="G114">
        <f t="shared" si="14"/>
        <v>20</v>
      </c>
      <c r="H114">
        <f t="shared" si="15"/>
        <v>20</v>
      </c>
      <c r="I114" t="str">
        <f t="shared" si="16"/>
        <v>SPRITE_ID_NEW_TRAIN</v>
      </c>
      <c r="U114"/>
      <c r="V114"/>
      <c r="W114"/>
    </row>
    <row r="115" spans="1:23">
      <c r="A115" s="2" t="s">
        <v>139</v>
      </c>
      <c r="B115">
        <f t="shared" si="9"/>
        <v>0</v>
      </c>
      <c r="C115">
        <f t="shared" si="10"/>
        <v>0</v>
      </c>
      <c r="D115">
        <f t="shared" si="11"/>
        <v>185</v>
      </c>
      <c r="E115">
        <f t="shared" si="12"/>
        <v>0</v>
      </c>
      <c r="F115">
        <f t="shared" si="13"/>
        <v>0</v>
      </c>
      <c r="G115">
        <f t="shared" si="14"/>
        <v>20</v>
      </c>
      <c r="H115">
        <f t="shared" si="15"/>
        <v>20</v>
      </c>
      <c r="I115" t="str">
        <f t="shared" si="16"/>
        <v>SPRITE_ID_NEW_TRAIN</v>
      </c>
      <c r="U115"/>
      <c r="V115"/>
      <c r="W115"/>
    </row>
    <row r="116" spans="1:23">
      <c r="A116" s="2" t="s">
        <v>140</v>
      </c>
      <c r="B116">
        <f t="shared" si="9"/>
        <v>0</v>
      </c>
      <c r="C116">
        <f t="shared" si="10"/>
        <v>0</v>
      </c>
      <c r="D116">
        <f t="shared" si="11"/>
        <v>185</v>
      </c>
      <c r="E116">
        <f t="shared" si="12"/>
        <v>0</v>
      </c>
      <c r="F116">
        <f t="shared" si="13"/>
        <v>0</v>
      </c>
      <c r="G116">
        <f t="shared" si="14"/>
        <v>20</v>
      </c>
      <c r="H116">
        <f t="shared" si="15"/>
        <v>20</v>
      </c>
      <c r="I116" t="str">
        <f t="shared" si="16"/>
        <v>SPRITE_ID_NEW_TRAIN</v>
      </c>
      <c r="U116"/>
      <c r="V116"/>
      <c r="W116"/>
    </row>
    <row r="117" spans="1:23">
      <c r="A117" s="2" t="s">
        <v>141</v>
      </c>
      <c r="B117">
        <f t="shared" si="9"/>
        <v>0</v>
      </c>
      <c r="C117">
        <f t="shared" si="10"/>
        <v>0</v>
      </c>
      <c r="D117">
        <f t="shared" si="11"/>
        <v>185</v>
      </c>
      <c r="E117">
        <f t="shared" si="12"/>
        <v>0</v>
      </c>
      <c r="F117">
        <f t="shared" si="13"/>
        <v>0</v>
      </c>
      <c r="G117">
        <f t="shared" si="14"/>
        <v>20</v>
      </c>
      <c r="H117">
        <f t="shared" si="15"/>
        <v>20</v>
      </c>
      <c r="I117" t="str">
        <f t="shared" si="16"/>
        <v>SPRITE_ID_NEW_TRAIN</v>
      </c>
      <c r="U117"/>
      <c r="V117"/>
      <c r="W117"/>
    </row>
    <row r="118" spans="1:23">
      <c r="A118" s="2" t="s">
        <v>142</v>
      </c>
      <c r="B118">
        <f t="shared" si="9"/>
        <v>0</v>
      </c>
      <c r="C118">
        <f t="shared" si="10"/>
        <v>0</v>
      </c>
      <c r="D118">
        <f t="shared" si="11"/>
        <v>185</v>
      </c>
      <c r="E118">
        <f t="shared" si="12"/>
        <v>0</v>
      </c>
      <c r="F118">
        <f t="shared" si="13"/>
        <v>0</v>
      </c>
      <c r="G118">
        <f t="shared" si="14"/>
        <v>20</v>
      </c>
      <c r="H118">
        <f t="shared" si="15"/>
        <v>20</v>
      </c>
      <c r="I118" t="str">
        <f t="shared" si="16"/>
        <v>SPRITE_ID_NEW_TRAIN</v>
      </c>
      <c r="U118"/>
      <c r="V118"/>
      <c r="W118"/>
    </row>
    <row r="119" spans="1:23">
      <c r="A119" s="2" t="s">
        <v>143</v>
      </c>
      <c r="B119">
        <f t="shared" si="9"/>
        <v>0</v>
      </c>
      <c r="C119">
        <f t="shared" si="10"/>
        <v>0</v>
      </c>
      <c r="D119">
        <f t="shared" si="11"/>
        <v>185</v>
      </c>
      <c r="E119">
        <f t="shared" si="12"/>
        <v>0</v>
      </c>
      <c r="F119">
        <f t="shared" si="13"/>
        <v>0</v>
      </c>
      <c r="G119">
        <f t="shared" si="14"/>
        <v>20</v>
      </c>
      <c r="H119">
        <f t="shared" si="15"/>
        <v>20</v>
      </c>
      <c r="I119" t="str">
        <f t="shared" si="16"/>
        <v>SPRITE_ID_NEW_TRAIN</v>
      </c>
      <c r="U119"/>
      <c r="V119"/>
      <c r="W119"/>
    </row>
    <row r="120" spans="1:23">
      <c r="A120" s="2" t="s">
        <v>144</v>
      </c>
      <c r="B120">
        <f t="shared" si="9"/>
        <v>0</v>
      </c>
      <c r="C120">
        <f t="shared" si="10"/>
        <v>0</v>
      </c>
      <c r="D120">
        <f t="shared" si="11"/>
        <v>185</v>
      </c>
      <c r="E120">
        <f t="shared" si="12"/>
        <v>0</v>
      </c>
      <c r="F120">
        <f t="shared" si="13"/>
        <v>0</v>
      </c>
      <c r="G120">
        <f t="shared" si="14"/>
        <v>20</v>
      </c>
      <c r="H120">
        <f t="shared" si="15"/>
        <v>20</v>
      </c>
      <c r="I120" t="str">
        <f t="shared" si="16"/>
        <v>SPRITE_ID_NEW_TRAIN</v>
      </c>
      <c r="U120"/>
      <c r="V120"/>
      <c r="W120"/>
    </row>
    <row r="121" spans="1:23">
      <c r="A121" s="2" t="s">
        <v>145</v>
      </c>
      <c r="B121">
        <f t="shared" si="9"/>
        <v>0</v>
      </c>
      <c r="C121">
        <f t="shared" si="10"/>
        <v>0</v>
      </c>
      <c r="D121">
        <f t="shared" si="11"/>
        <v>185</v>
      </c>
      <c r="E121">
        <f t="shared" si="12"/>
        <v>0</v>
      </c>
      <c r="F121">
        <f t="shared" si="13"/>
        <v>0</v>
      </c>
      <c r="G121">
        <f t="shared" si="14"/>
        <v>20</v>
      </c>
      <c r="H121">
        <f t="shared" si="15"/>
        <v>20</v>
      </c>
      <c r="I121" t="str">
        <f t="shared" si="16"/>
        <v>SPRITE_ID_NEW_TRAIN</v>
      </c>
      <c r="U121"/>
      <c r="V121"/>
      <c r="W121"/>
    </row>
    <row r="122" spans="1:23">
      <c r="A122" s="2" t="s">
        <v>146</v>
      </c>
      <c r="B122">
        <f t="shared" si="9"/>
        <v>0</v>
      </c>
      <c r="C122">
        <f t="shared" si="10"/>
        <v>0</v>
      </c>
      <c r="D122">
        <f t="shared" si="11"/>
        <v>185</v>
      </c>
      <c r="E122">
        <f t="shared" si="12"/>
        <v>0</v>
      </c>
      <c r="F122">
        <f t="shared" si="13"/>
        <v>0</v>
      </c>
      <c r="G122">
        <f t="shared" si="14"/>
        <v>20</v>
      </c>
      <c r="H122">
        <f t="shared" si="15"/>
        <v>20</v>
      </c>
      <c r="I122" t="str">
        <f t="shared" si="16"/>
        <v>SPRITE_ID_NEW_TRAIN</v>
      </c>
      <c r="U122"/>
      <c r="V122"/>
      <c r="W122"/>
    </row>
    <row r="123" spans="1:23">
      <c r="A123" s="2" t="s">
        <v>147</v>
      </c>
      <c r="B123">
        <f t="shared" si="9"/>
        <v>0</v>
      </c>
      <c r="C123">
        <f t="shared" si="10"/>
        <v>0</v>
      </c>
      <c r="D123">
        <f t="shared" si="11"/>
        <v>185</v>
      </c>
      <c r="E123">
        <f t="shared" si="12"/>
        <v>0</v>
      </c>
      <c r="F123">
        <f t="shared" si="13"/>
        <v>0</v>
      </c>
      <c r="G123">
        <f t="shared" si="14"/>
        <v>20</v>
      </c>
      <c r="H123">
        <f t="shared" si="15"/>
        <v>20</v>
      </c>
      <c r="I123" t="str">
        <f t="shared" si="16"/>
        <v>SPRITE_ID_NEW_TRAIN</v>
      </c>
      <c r="U123"/>
      <c r="V123"/>
      <c r="W123"/>
    </row>
    <row r="124" spans="1:23">
      <c r="A124" s="2" t="s">
        <v>148</v>
      </c>
      <c r="B124">
        <f t="shared" si="9"/>
        <v>0</v>
      </c>
      <c r="C124">
        <f t="shared" si="10"/>
        <v>0</v>
      </c>
      <c r="D124">
        <f t="shared" si="11"/>
        <v>185</v>
      </c>
      <c r="E124">
        <f t="shared" si="12"/>
        <v>0</v>
      </c>
      <c r="F124">
        <f t="shared" si="13"/>
        <v>0</v>
      </c>
      <c r="G124">
        <f t="shared" si="14"/>
        <v>20</v>
      </c>
      <c r="H124">
        <f t="shared" si="15"/>
        <v>20</v>
      </c>
      <c r="I124" t="str">
        <f t="shared" si="16"/>
        <v>SPRITE_ID_NEW_TRAIN</v>
      </c>
      <c r="U124"/>
      <c r="V124"/>
      <c r="W124"/>
    </row>
    <row r="125" spans="1:23">
      <c r="A125" s="2" t="s">
        <v>149</v>
      </c>
      <c r="B125">
        <f t="shared" si="9"/>
        <v>0</v>
      </c>
      <c r="C125">
        <f t="shared" si="10"/>
        <v>0</v>
      </c>
      <c r="D125">
        <f t="shared" si="11"/>
        <v>185</v>
      </c>
      <c r="E125">
        <f t="shared" si="12"/>
        <v>0</v>
      </c>
      <c r="F125">
        <f t="shared" si="13"/>
        <v>0</v>
      </c>
      <c r="G125">
        <f t="shared" si="14"/>
        <v>20</v>
      </c>
      <c r="H125">
        <f t="shared" si="15"/>
        <v>20</v>
      </c>
      <c r="I125" t="str">
        <f t="shared" si="16"/>
        <v>SPRITE_ID_NEW_TRAIN</v>
      </c>
      <c r="U125"/>
      <c r="V125"/>
      <c r="W125"/>
    </row>
    <row r="126" spans="1:23">
      <c r="A126" s="2" t="s">
        <v>150</v>
      </c>
      <c r="B126">
        <f t="shared" si="9"/>
        <v>0</v>
      </c>
      <c r="C126">
        <f t="shared" si="10"/>
        <v>0</v>
      </c>
      <c r="D126">
        <f t="shared" si="11"/>
        <v>185</v>
      </c>
      <c r="E126">
        <f t="shared" si="12"/>
        <v>0</v>
      </c>
      <c r="F126">
        <f t="shared" si="13"/>
        <v>0</v>
      </c>
      <c r="G126">
        <f t="shared" si="14"/>
        <v>20</v>
      </c>
      <c r="H126">
        <f t="shared" si="15"/>
        <v>20</v>
      </c>
      <c r="I126" t="str">
        <f t="shared" si="16"/>
        <v>SPRITE_ID_NEW_TRAIN</v>
      </c>
      <c r="U126"/>
      <c r="V126"/>
      <c r="W126"/>
    </row>
    <row r="127" spans="1:23">
      <c r="A127" s="2" t="s">
        <v>151</v>
      </c>
      <c r="B127">
        <f t="shared" si="9"/>
        <v>0</v>
      </c>
      <c r="C127">
        <f t="shared" si="10"/>
        <v>0</v>
      </c>
      <c r="D127">
        <f t="shared" si="11"/>
        <v>185</v>
      </c>
      <c r="E127">
        <f t="shared" si="12"/>
        <v>0</v>
      </c>
      <c r="F127">
        <f t="shared" si="13"/>
        <v>0</v>
      </c>
      <c r="G127">
        <f t="shared" si="14"/>
        <v>20</v>
      </c>
      <c r="H127">
        <f t="shared" si="15"/>
        <v>20</v>
      </c>
      <c r="I127" t="str">
        <f t="shared" si="16"/>
        <v>SPRITE_ID_NEW_TRAIN</v>
      </c>
      <c r="U127"/>
      <c r="V127"/>
      <c r="W127"/>
    </row>
    <row r="128" spans="1:23">
      <c r="A128" s="2" t="s">
        <v>152</v>
      </c>
      <c r="B128">
        <f t="shared" si="9"/>
        <v>0</v>
      </c>
      <c r="C128">
        <f t="shared" si="10"/>
        <v>0</v>
      </c>
      <c r="D128">
        <f t="shared" si="11"/>
        <v>185</v>
      </c>
      <c r="E128">
        <f t="shared" si="12"/>
        <v>0</v>
      </c>
      <c r="F128">
        <f t="shared" si="13"/>
        <v>0</v>
      </c>
      <c r="G128">
        <f t="shared" si="14"/>
        <v>20</v>
      </c>
      <c r="H128">
        <f t="shared" si="15"/>
        <v>20</v>
      </c>
      <c r="I128" t="str">
        <f t="shared" si="16"/>
        <v>SPRITE_ID_NEW_TRAIN</v>
      </c>
      <c r="U128"/>
      <c r="V128"/>
      <c r="W128"/>
    </row>
    <row r="129" spans="1:23">
      <c r="A129" s="2" t="s">
        <v>153</v>
      </c>
      <c r="B129">
        <f t="shared" si="9"/>
        <v>0</v>
      </c>
      <c r="C129">
        <f t="shared" si="10"/>
        <v>0</v>
      </c>
      <c r="D129">
        <f t="shared" si="11"/>
        <v>185</v>
      </c>
      <c r="E129">
        <f t="shared" si="12"/>
        <v>0</v>
      </c>
      <c r="F129">
        <f t="shared" si="13"/>
        <v>0</v>
      </c>
      <c r="G129">
        <f t="shared" si="14"/>
        <v>20</v>
      </c>
      <c r="H129">
        <f t="shared" si="15"/>
        <v>20</v>
      </c>
      <c r="I129" t="str">
        <f t="shared" si="16"/>
        <v>SPRITE_ID_NEW_TRAIN</v>
      </c>
      <c r="U129"/>
      <c r="V129"/>
      <c r="W129"/>
    </row>
    <row r="130" spans="1:23">
      <c r="A130" s="2" t="s">
        <v>154</v>
      </c>
      <c r="B130">
        <f t="shared" si="9"/>
        <v>0</v>
      </c>
      <c r="C130">
        <f t="shared" si="10"/>
        <v>0</v>
      </c>
      <c r="D130">
        <f t="shared" si="11"/>
        <v>185</v>
      </c>
      <c r="E130">
        <f t="shared" si="12"/>
        <v>0</v>
      </c>
      <c r="F130">
        <f t="shared" si="13"/>
        <v>0</v>
      </c>
      <c r="G130">
        <f t="shared" si="14"/>
        <v>20</v>
      </c>
      <c r="H130">
        <f t="shared" si="15"/>
        <v>20</v>
      </c>
      <c r="I130" t="str">
        <f t="shared" si="16"/>
        <v>SPRITE_ID_NEW_TRAIN</v>
      </c>
      <c r="U130"/>
      <c r="V130"/>
      <c r="W130"/>
    </row>
    <row r="131" spans="1:23">
      <c r="A131" s="2" t="s">
        <v>155</v>
      </c>
      <c r="B131">
        <f t="shared" si="9"/>
        <v>0</v>
      </c>
      <c r="C131">
        <f t="shared" si="10"/>
        <v>0</v>
      </c>
      <c r="D131">
        <f t="shared" si="11"/>
        <v>185</v>
      </c>
      <c r="E131">
        <f t="shared" si="12"/>
        <v>0</v>
      </c>
      <c r="F131">
        <f t="shared" si="13"/>
        <v>0</v>
      </c>
      <c r="G131">
        <f t="shared" si="14"/>
        <v>20</v>
      </c>
      <c r="H131">
        <f t="shared" si="15"/>
        <v>20</v>
      </c>
      <c r="I131" t="str">
        <f t="shared" si="16"/>
        <v>SPRITE_ID_NEW_TRAIN</v>
      </c>
      <c r="U131"/>
      <c r="V131"/>
      <c r="W131"/>
    </row>
    <row r="132" spans="1:23">
      <c r="A132" s="2" t="s">
        <v>156</v>
      </c>
      <c r="B132">
        <f t="shared" ref="B132:B195" si="17">B131</f>
        <v>0</v>
      </c>
      <c r="C132">
        <f t="shared" ref="C132:C195" si="18">C131</f>
        <v>0</v>
      </c>
      <c r="D132">
        <f t="shared" ref="D132:D195" si="19">D131</f>
        <v>185</v>
      </c>
      <c r="E132">
        <f t="shared" ref="E132:E195" si="20">E131</f>
        <v>0</v>
      </c>
      <c r="F132">
        <f t="shared" ref="F132:F195" si="21">F131</f>
        <v>0</v>
      </c>
      <c r="G132">
        <f t="shared" ref="G132:G195" si="22">G131</f>
        <v>20</v>
      </c>
      <c r="H132">
        <f t="shared" ref="H132:H195" si="23">H131</f>
        <v>20</v>
      </c>
      <c r="I132" t="str">
        <f t="shared" ref="I132:I195" si="24">I131</f>
        <v>SPRITE_ID_NEW_TRAIN</v>
      </c>
      <c r="U132"/>
      <c r="V132"/>
      <c r="W132"/>
    </row>
    <row r="133" spans="1:23">
      <c r="A133" s="2" t="s">
        <v>157</v>
      </c>
      <c r="B133">
        <f t="shared" si="17"/>
        <v>0</v>
      </c>
      <c r="C133">
        <f t="shared" si="18"/>
        <v>0</v>
      </c>
      <c r="D133">
        <f t="shared" si="19"/>
        <v>185</v>
      </c>
      <c r="E133">
        <f t="shared" si="20"/>
        <v>0</v>
      </c>
      <c r="F133">
        <f t="shared" si="21"/>
        <v>0</v>
      </c>
      <c r="G133">
        <f t="shared" si="22"/>
        <v>20</v>
      </c>
      <c r="H133">
        <f t="shared" si="23"/>
        <v>20</v>
      </c>
      <c r="I133" t="str">
        <f t="shared" si="24"/>
        <v>SPRITE_ID_NEW_TRAIN</v>
      </c>
      <c r="U133"/>
      <c r="V133"/>
      <c r="W133"/>
    </row>
    <row r="134" spans="1:23">
      <c r="A134" s="2" t="s">
        <v>158</v>
      </c>
      <c r="B134">
        <f t="shared" si="17"/>
        <v>0</v>
      </c>
      <c r="C134">
        <f t="shared" si="18"/>
        <v>0</v>
      </c>
      <c r="D134">
        <f t="shared" si="19"/>
        <v>185</v>
      </c>
      <c r="E134">
        <f t="shared" si="20"/>
        <v>0</v>
      </c>
      <c r="F134">
        <f t="shared" si="21"/>
        <v>0</v>
      </c>
      <c r="G134">
        <f t="shared" si="22"/>
        <v>20</v>
      </c>
      <c r="H134">
        <f t="shared" si="23"/>
        <v>20</v>
      </c>
      <c r="I134" t="str">
        <f t="shared" si="24"/>
        <v>SPRITE_ID_NEW_TRAIN</v>
      </c>
      <c r="U134"/>
      <c r="V134"/>
      <c r="W134"/>
    </row>
    <row r="135" spans="1:23">
      <c r="A135" s="2" t="s">
        <v>159</v>
      </c>
      <c r="B135">
        <f t="shared" si="17"/>
        <v>0</v>
      </c>
      <c r="C135">
        <f t="shared" si="18"/>
        <v>0</v>
      </c>
      <c r="D135">
        <f t="shared" si="19"/>
        <v>185</v>
      </c>
      <c r="E135">
        <f t="shared" si="20"/>
        <v>0</v>
      </c>
      <c r="F135">
        <f t="shared" si="21"/>
        <v>0</v>
      </c>
      <c r="G135">
        <f t="shared" si="22"/>
        <v>20</v>
      </c>
      <c r="H135">
        <f t="shared" si="23"/>
        <v>20</v>
      </c>
      <c r="I135" t="str">
        <f t="shared" si="24"/>
        <v>SPRITE_ID_NEW_TRAIN</v>
      </c>
      <c r="U135"/>
      <c r="V135"/>
      <c r="W135"/>
    </row>
    <row r="136" spans="1:23">
      <c r="A136" s="2" t="s">
        <v>160</v>
      </c>
      <c r="B136">
        <f t="shared" si="17"/>
        <v>0</v>
      </c>
      <c r="C136">
        <f t="shared" si="18"/>
        <v>0</v>
      </c>
      <c r="D136">
        <f t="shared" si="19"/>
        <v>185</v>
      </c>
      <c r="E136">
        <f t="shared" si="20"/>
        <v>0</v>
      </c>
      <c r="F136">
        <f t="shared" si="21"/>
        <v>0</v>
      </c>
      <c r="G136">
        <f t="shared" si="22"/>
        <v>20</v>
      </c>
      <c r="H136">
        <f t="shared" si="23"/>
        <v>20</v>
      </c>
      <c r="I136" t="str">
        <f t="shared" si="24"/>
        <v>SPRITE_ID_NEW_TRAIN</v>
      </c>
      <c r="U136"/>
      <c r="V136"/>
      <c r="W136"/>
    </row>
    <row r="137" spans="1:23">
      <c r="A137" s="2" t="s">
        <v>161</v>
      </c>
      <c r="B137">
        <f t="shared" si="17"/>
        <v>0</v>
      </c>
      <c r="C137">
        <f t="shared" si="18"/>
        <v>0</v>
      </c>
      <c r="D137">
        <f t="shared" si="19"/>
        <v>185</v>
      </c>
      <c r="E137">
        <f t="shared" si="20"/>
        <v>0</v>
      </c>
      <c r="F137">
        <f t="shared" si="21"/>
        <v>0</v>
      </c>
      <c r="G137">
        <f t="shared" si="22"/>
        <v>20</v>
      </c>
      <c r="H137">
        <f t="shared" si="23"/>
        <v>20</v>
      </c>
      <c r="I137" t="str">
        <f t="shared" si="24"/>
        <v>SPRITE_ID_NEW_TRAIN</v>
      </c>
      <c r="U137"/>
      <c r="V137"/>
      <c r="W137"/>
    </row>
    <row r="138" spans="1:23">
      <c r="A138" s="2" t="s">
        <v>162</v>
      </c>
      <c r="B138">
        <f t="shared" si="17"/>
        <v>0</v>
      </c>
      <c r="C138">
        <f t="shared" si="18"/>
        <v>0</v>
      </c>
      <c r="D138">
        <f t="shared" si="19"/>
        <v>185</v>
      </c>
      <c r="E138">
        <f t="shared" si="20"/>
        <v>0</v>
      </c>
      <c r="F138">
        <f t="shared" si="21"/>
        <v>0</v>
      </c>
      <c r="G138">
        <f t="shared" si="22"/>
        <v>20</v>
      </c>
      <c r="H138">
        <f t="shared" si="23"/>
        <v>20</v>
      </c>
      <c r="I138" t="str">
        <f t="shared" si="24"/>
        <v>SPRITE_ID_NEW_TRAIN</v>
      </c>
      <c r="U138"/>
      <c r="V138"/>
      <c r="W138"/>
    </row>
    <row r="139" spans="1:23">
      <c r="A139" s="2" t="s">
        <v>163</v>
      </c>
      <c r="B139">
        <f t="shared" si="17"/>
        <v>0</v>
      </c>
      <c r="C139">
        <f t="shared" si="18"/>
        <v>0</v>
      </c>
      <c r="D139">
        <f t="shared" si="19"/>
        <v>185</v>
      </c>
      <c r="E139">
        <f t="shared" si="20"/>
        <v>0</v>
      </c>
      <c r="F139">
        <f t="shared" si="21"/>
        <v>0</v>
      </c>
      <c r="G139">
        <f t="shared" si="22"/>
        <v>20</v>
      </c>
      <c r="H139">
        <f t="shared" si="23"/>
        <v>20</v>
      </c>
      <c r="I139" t="str">
        <f t="shared" si="24"/>
        <v>SPRITE_ID_NEW_TRAIN</v>
      </c>
      <c r="U139"/>
      <c r="V139"/>
      <c r="W139"/>
    </row>
    <row r="140" spans="1:23">
      <c r="A140" s="2" t="s">
        <v>164</v>
      </c>
      <c r="B140">
        <f t="shared" si="17"/>
        <v>0</v>
      </c>
      <c r="C140">
        <f t="shared" si="18"/>
        <v>0</v>
      </c>
      <c r="D140">
        <f t="shared" si="19"/>
        <v>185</v>
      </c>
      <c r="E140">
        <f t="shared" si="20"/>
        <v>0</v>
      </c>
      <c r="F140">
        <f t="shared" si="21"/>
        <v>0</v>
      </c>
      <c r="G140">
        <f t="shared" si="22"/>
        <v>20</v>
      </c>
      <c r="H140">
        <f t="shared" si="23"/>
        <v>20</v>
      </c>
      <c r="I140" t="str">
        <f t="shared" si="24"/>
        <v>SPRITE_ID_NEW_TRAIN</v>
      </c>
      <c r="U140"/>
      <c r="V140"/>
      <c r="W140"/>
    </row>
    <row r="141" spans="1:23">
      <c r="A141" s="2" t="s">
        <v>165</v>
      </c>
      <c r="B141">
        <f t="shared" si="17"/>
        <v>0</v>
      </c>
      <c r="C141">
        <f t="shared" si="18"/>
        <v>0</v>
      </c>
      <c r="D141">
        <f t="shared" si="19"/>
        <v>185</v>
      </c>
      <c r="E141">
        <f t="shared" si="20"/>
        <v>0</v>
      </c>
      <c r="F141">
        <f t="shared" si="21"/>
        <v>0</v>
      </c>
      <c r="G141">
        <f t="shared" si="22"/>
        <v>20</v>
      </c>
      <c r="H141">
        <f t="shared" si="23"/>
        <v>20</v>
      </c>
      <c r="I141" t="str">
        <f t="shared" si="24"/>
        <v>SPRITE_ID_NEW_TRAIN</v>
      </c>
      <c r="U141"/>
      <c r="V141"/>
      <c r="W141"/>
    </row>
    <row r="142" spans="1:23">
      <c r="A142" s="2" t="s">
        <v>166</v>
      </c>
      <c r="B142">
        <f t="shared" si="17"/>
        <v>0</v>
      </c>
      <c r="C142">
        <f t="shared" si="18"/>
        <v>0</v>
      </c>
      <c r="D142">
        <f t="shared" si="19"/>
        <v>185</v>
      </c>
      <c r="E142">
        <f t="shared" si="20"/>
        <v>0</v>
      </c>
      <c r="F142">
        <f t="shared" si="21"/>
        <v>0</v>
      </c>
      <c r="G142">
        <f t="shared" si="22"/>
        <v>20</v>
      </c>
      <c r="H142">
        <f t="shared" si="23"/>
        <v>20</v>
      </c>
      <c r="I142" t="str">
        <f t="shared" si="24"/>
        <v>SPRITE_ID_NEW_TRAIN</v>
      </c>
      <c r="U142"/>
      <c r="V142"/>
      <c r="W142"/>
    </row>
    <row r="143" spans="1:23">
      <c r="A143" s="2" t="s">
        <v>167</v>
      </c>
      <c r="B143">
        <f t="shared" si="17"/>
        <v>0</v>
      </c>
      <c r="C143">
        <f t="shared" si="18"/>
        <v>0</v>
      </c>
      <c r="D143">
        <f t="shared" si="19"/>
        <v>185</v>
      </c>
      <c r="E143">
        <f t="shared" si="20"/>
        <v>0</v>
      </c>
      <c r="F143">
        <f t="shared" si="21"/>
        <v>0</v>
      </c>
      <c r="G143">
        <f t="shared" si="22"/>
        <v>20</v>
      </c>
      <c r="H143">
        <f t="shared" si="23"/>
        <v>20</v>
      </c>
      <c r="I143" t="str">
        <f t="shared" si="24"/>
        <v>SPRITE_ID_NEW_TRAIN</v>
      </c>
      <c r="U143"/>
      <c r="V143"/>
      <c r="W143"/>
    </row>
    <row r="144" spans="1:23">
      <c r="A144" s="2" t="s">
        <v>168</v>
      </c>
      <c r="B144">
        <f t="shared" si="17"/>
        <v>0</v>
      </c>
      <c r="C144">
        <f t="shared" si="18"/>
        <v>0</v>
      </c>
      <c r="D144">
        <f t="shared" si="19"/>
        <v>185</v>
      </c>
      <c r="E144">
        <f t="shared" si="20"/>
        <v>0</v>
      </c>
      <c r="F144">
        <f t="shared" si="21"/>
        <v>0</v>
      </c>
      <c r="G144">
        <f t="shared" si="22"/>
        <v>20</v>
      </c>
      <c r="H144">
        <f t="shared" si="23"/>
        <v>20</v>
      </c>
      <c r="I144" t="str">
        <f t="shared" si="24"/>
        <v>SPRITE_ID_NEW_TRAIN</v>
      </c>
      <c r="U144"/>
      <c r="V144"/>
      <c r="W144"/>
    </row>
    <row r="145" spans="1:23">
      <c r="A145" s="2" t="s">
        <v>169</v>
      </c>
      <c r="B145">
        <f t="shared" si="17"/>
        <v>0</v>
      </c>
      <c r="C145">
        <f t="shared" si="18"/>
        <v>0</v>
      </c>
      <c r="D145">
        <f t="shared" si="19"/>
        <v>185</v>
      </c>
      <c r="E145">
        <f t="shared" si="20"/>
        <v>0</v>
      </c>
      <c r="F145">
        <f t="shared" si="21"/>
        <v>0</v>
      </c>
      <c r="G145">
        <f t="shared" si="22"/>
        <v>20</v>
      </c>
      <c r="H145">
        <f t="shared" si="23"/>
        <v>20</v>
      </c>
      <c r="I145" t="str">
        <f t="shared" si="24"/>
        <v>SPRITE_ID_NEW_TRAIN</v>
      </c>
      <c r="U145"/>
      <c r="V145"/>
      <c r="W145"/>
    </row>
    <row r="146" spans="1:23">
      <c r="A146" s="2" t="s">
        <v>170</v>
      </c>
      <c r="B146">
        <f t="shared" si="17"/>
        <v>0</v>
      </c>
      <c r="C146">
        <f t="shared" si="18"/>
        <v>0</v>
      </c>
      <c r="D146">
        <f t="shared" si="19"/>
        <v>185</v>
      </c>
      <c r="E146">
        <f t="shared" si="20"/>
        <v>0</v>
      </c>
      <c r="F146">
        <f t="shared" si="21"/>
        <v>0</v>
      </c>
      <c r="G146">
        <f t="shared" si="22"/>
        <v>20</v>
      </c>
      <c r="H146">
        <f t="shared" si="23"/>
        <v>20</v>
      </c>
      <c r="I146" t="str">
        <f t="shared" si="24"/>
        <v>SPRITE_ID_NEW_TRAIN</v>
      </c>
      <c r="U146"/>
      <c r="V146"/>
      <c r="W146"/>
    </row>
    <row r="147" spans="1:23">
      <c r="A147" s="2" t="s">
        <v>171</v>
      </c>
      <c r="B147">
        <f t="shared" si="17"/>
        <v>0</v>
      </c>
      <c r="C147">
        <f t="shared" si="18"/>
        <v>0</v>
      </c>
      <c r="D147">
        <f t="shared" si="19"/>
        <v>185</v>
      </c>
      <c r="E147">
        <f t="shared" si="20"/>
        <v>0</v>
      </c>
      <c r="F147">
        <f t="shared" si="21"/>
        <v>0</v>
      </c>
      <c r="G147">
        <f t="shared" si="22"/>
        <v>20</v>
      </c>
      <c r="H147">
        <f t="shared" si="23"/>
        <v>20</v>
      </c>
      <c r="I147" t="str">
        <f t="shared" si="24"/>
        <v>SPRITE_ID_NEW_TRAIN</v>
      </c>
      <c r="U147"/>
      <c r="V147"/>
      <c r="W147"/>
    </row>
    <row r="148" spans="1:23">
      <c r="A148" s="2" t="s">
        <v>172</v>
      </c>
      <c r="B148">
        <f t="shared" si="17"/>
        <v>0</v>
      </c>
      <c r="C148">
        <f t="shared" si="18"/>
        <v>0</v>
      </c>
      <c r="D148">
        <f t="shared" si="19"/>
        <v>185</v>
      </c>
      <c r="E148">
        <f t="shared" si="20"/>
        <v>0</v>
      </c>
      <c r="F148">
        <f t="shared" si="21"/>
        <v>0</v>
      </c>
      <c r="G148">
        <f t="shared" si="22"/>
        <v>20</v>
      </c>
      <c r="H148">
        <f t="shared" si="23"/>
        <v>20</v>
      </c>
      <c r="I148" t="str">
        <f t="shared" si="24"/>
        <v>SPRITE_ID_NEW_TRAIN</v>
      </c>
      <c r="U148"/>
      <c r="V148"/>
      <c r="W148"/>
    </row>
    <row r="149" spans="1:23">
      <c r="A149" s="2" t="s">
        <v>173</v>
      </c>
      <c r="B149">
        <f t="shared" si="17"/>
        <v>0</v>
      </c>
      <c r="C149">
        <f t="shared" si="18"/>
        <v>0</v>
      </c>
      <c r="D149">
        <f t="shared" si="19"/>
        <v>185</v>
      </c>
      <c r="E149">
        <f t="shared" si="20"/>
        <v>0</v>
      </c>
      <c r="F149">
        <f t="shared" si="21"/>
        <v>0</v>
      </c>
      <c r="G149">
        <f t="shared" si="22"/>
        <v>20</v>
      </c>
      <c r="H149">
        <f t="shared" si="23"/>
        <v>20</v>
      </c>
      <c r="I149" t="str">
        <f t="shared" si="24"/>
        <v>SPRITE_ID_NEW_TRAIN</v>
      </c>
      <c r="U149"/>
      <c r="V149"/>
      <c r="W149"/>
    </row>
    <row r="150" spans="1:23">
      <c r="A150" s="2" t="s">
        <v>174</v>
      </c>
      <c r="B150">
        <f t="shared" si="17"/>
        <v>0</v>
      </c>
      <c r="C150">
        <f t="shared" si="18"/>
        <v>0</v>
      </c>
      <c r="D150">
        <f t="shared" si="19"/>
        <v>185</v>
      </c>
      <c r="E150">
        <f t="shared" si="20"/>
        <v>0</v>
      </c>
      <c r="F150">
        <f t="shared" si="21"/>
        <v>0</v>
      </c>
      <c r="G150">
        <f t="shared" si="22"/>
        <v>20</v>
      </c>
      <c r="H150">
        <f t="shared" si="23"/>
        <v>20</v>
      </c>
      <c r="I150" t="str">
        <f t="shared" si="24"/>
        <v>SPRITE_ID_NEW_TRAIN</v>
      </c>
      <c r="U150"/>
      <c r="V150"/>
      <c r="W150"/>
    </row>
    <row r="151" spans="1:23">
      <c r="A151" s="2" t="s">
        <v>175</v>
      </c>
      <c r="B151">
        <f t="shared" si="17"/>
        <v>0</v>
      </c>
      <c r="C151">
        <f t="shared" si="18"/>
        <v>0</v>
      </c>
      <c r="D151">
        <f t="shared" si="19"/>
        <v>185</v>
      </c>
      <c r="E151">
        <f t="shared" si="20"/>
        <v>0</v>
      </c>
      <c r="F151">
        <f t="shared" si="21"/>
        <v>0</v>
      </c>
      <c r="G151">
        <f t="shared" si="22"/>
        <v>20</v>
      </c>
      <c r="H151">
        <f t="shared" si="23"/>
        <v>20</v>
      </c>
      <c r="I151" t="str">
        <f t="shared" si="24"/>
        <v>SPRITE_ID_NEW_TRAIN</v>
      </c>
      <c r="U151"/>
      <c r="V151"/>
      <c r="W151"/>
    </row>
    <row r="152" spans="1:23">
      <c r="A152" s="2" t="s">
        <v>176</v>
      </c>
      <c r="B152">
        <f t="shared" si="17"/>
        <v>0</v>
      </c>
      <c r="C152">
        <f t="shared" si="18"/>
        <v>0</v>
      </c>
      <c r="D152">
        <f t="shared" si="19"/>
        <v>185</v>
      </c>
      <c r="E152">
        <f t="shared" si="20"/>
        <v>0</v>
      </c>
      <c r="F152">
        <f t="shared" si="21"/>
        <v>0</v>
      </c>
      <c r="G152">
        <f t="shared" si="22"/>
        <v>20</v>
      </c>
      <c r="H152">
        <f t="shared" si="23"/>
        <v>20</v>
      </c>
      <c r="I152" t="str">
        <f t="shared" si="24"/>
        <v>SPRITE_ID_NEW_TRAIN</v>
      </c>
      <c r="U152"/>
      <c r="V152"/>
      <c r="W152"/>
    </row>
    <row r="153" spans="1:23">
      <c r="A153" s="2" t="s">
        <v>177</v>
      </c>
      <c r="B153">
        <f t="shared" si="17"/>
        <v>0</v>
      </c>
      <c r="C153">
        <f t="shared" si="18"/>
        <v>0</v>
      </c>
      <c r="D153">
        <f t="shared" si="19"/>
        <v>185</v>
      </c>
      <c r="E153">
        <f t="shared" si="20"/>
        <v>0</v>
      </c>
      <c r="F153">
        <f t="shared" si="21"/>
        <v>0</v>
      </c>
      <c r="G153">
        <f t="shared" si="22"/>
        <v>20</v>
      </c>
      <c r="H153">
        <f t="shared" si="23"/>
        <v>20</v>
      </c>
      <c r="I153" t="str">
        <f t="shared" si="24"/>
        <v>SPRITE_ID_NEW_TRAIN</v>
      </c>
      <c r="U153"/>
      <c r="V153"/>
      <c r="W153"/>
    </row>
    <row r="154" spans="1:23">
      <c r="A154" s="2" t="s">
        <v>178</v>
      </c>
      <c r="B154">
        <f t="shared" si="17"/>
        <v>0</v>
      </c>
      <c r="C154">
        <f t="shared" si="18"/>
        <v>0</v>
      </c>
      <c r="D154">
        <f t="shared" si="19"/>
        <v>185</v>
      </c>
      <c r="E154">
        <f t="shared" si="20"/>
        <v>0</v>
      </c>
      <c r="F154">
        <f t="shared" si="21"/>
        <v>0</v>
      </c>
      <c r="G154">
        <f t="shared" si="22"/>
        <v>20</v>
      </c>
      <c r="H154">
        <f t="shared" si="23"/>
        <v>20</v>
      </c>
      <c r="I154" t="str">
        <f t="shared" si="24"/>
        <v>SPRITE_ID_NEW_TRAIN</v>
      </c>
      <c r="U154"/>
      <c r="V154"/>
      <c r="W154"/>
    </row>
    <row r="155" spans="1:23">
      <c r="A155" s="2" t="s">
        <v>179</v>
      </c>
      <c r="B155">
        <f t="shared" si="17"/>
        <v>0</v>
      </c>
      <c r="C155">
        <f t="shared" si="18"/>
        <v>0</v>
      </c>
      <c r="D155">
        <f t="shared" si="19"/>
        <v>185</v>
      </c>
      <c r="E155">
        <f t="shared" si="20"/>
        <v>0</v>
      </c>
      <c r="F155">
        <f t="shared" si="21"/>
        <v>0</v>
      </c>
      <c r="G155">
        <f t="shared" si="22"/>
        <v>20</v>
      </c>
      <c r="H155">
        <f t="shared" si="23"/>
        <v>20</v>
      </c>
      <c r="I155" t="str">
        <f t="shared" si="24"/>
        <v>SPRITE_ID_NEW_TRAIN</v>
      </c>
      <c r="U155"/>
      <c r="V155"/>
      <c r="W155"/>
    </row>
    <row r="156" spans="1:23">
      <c r="A156" s="2" t="s">
        <v>180</v>
      </c>
      <c r="B156">
        <f t="shared" si="17"/>
        <v>0</v>
      </c>
      <c r="C156">
        <f t="shared" si="18"/>
        <v>0</v>
      </c>
      <c r="D156">
        <f t="shared" si="19"/>
        <v>185</v>
      </c>
      <c r="E156">
        <f t="shared" si="20"/>
        <v>0</v>
      </c>
      <c r="F156">
        <f t="shared" si="21"/>
        <v>0</v>
      </c>
      <c r="G156">
        <f t="shared" si="22"/>
        <v>20</v>
      </c>
      <c r="H156">
        <f t="shared" si="23"/>
        <v>20</v>
      </c>
      <c r="I156" t="str">
        <f t="shared" si="24"/>
        <v>SPRITE_ID_NEW_TRAIN</v>
      </c>
      <c r="U156"/>
      <c r="V156"/>
      <c r="W156"/>
    </row>
    <row r="157" spans="1:23">
      <c r="A157" s="2" t="s">
        <v>181</v>
      </c>
      <c r="B157">
        <f t="shared" si="17"/>
        <v>0</v>
      </c>
      <c r="C157">
        <f t="shared" si="18"/>
        <v>0</v>
      </c>
      <c r="D157">
        <f t="shared" si="19"/>
        <v>185</v>
      </c>
      <c r="E157">
        <f t="shared" si="20"/>
        <v>0</v>
      </c>
      <c r="F157">
        <f t="shared" si="21"/>
        <v>0</v>
      </c>
      <c r="G157">
        <f t="shared" si="22"/>
        <v>20</v>
      </c>
      <c r="H157">
        <f t="shared" si="23"/>
        <v>20</v>
      </c>
      <c r="I157" t="str">
        <f t="shared" si="24"/>
        <v>SPRITE_ID_NEW_TRAIN</v>
      </c>
      <c r="U157"/>
      <c r="V157"/>
      <c r="W157"/>
    </row>
    <row r="158" spans="1:23">
      <c r="A158" s="2" t="s">
        <v>182</v>
      </c>
      <c r="B158">
        <f t="shared" si="17"/>
        <v>0</v>
      </c>
      <c r="C158">
        <f t="shared" si="18"/>
        <v>0</v>
      </c>
      <c r="D158">
        <f t="shared" si="19"/>
        <v>185</v>
      </c>
      <c r="E158">
        <f t="shared" si="20"/>
        <v>0</v>
      </c>
      <c r="F158">
        <f t="shared" si="21"/>
        <v>0</v>
      </c>
      <c r="G158">
        <f t="shared" si="22"/>
        <v>20</v>
      </c>
      <c r="H158">
        <f t="shared" si="23"/>
        <v>20</v>
      </c>
      <c r="I158" t="str">
        <f t="shared" si="24"/>
        <v>SPRITE_ID_NEW_TRAIN</v>
      </c>
      <c r="U158"/>
      <c r="V158"/>
      <c r="W158"/>
    </row>
    <row r="159" spans="1:23">
      <c r="A159" s="2" t="s">
        <v>183</v>
      </c>
      <c r="B159">
        <f t="shared" si="17"/>
        <v>0</v>
      </c>
      <c r="C159">
        <f t="shared" si="18"/>
        <v>0</v>
      </c>
      <c r="D159">
        <f t="shared" si="19"/>
        <v>185</v>
      </c>
      <c r="E159">
        <f t="shared" si="20"/>
        <v>0</v>
      </c>
      <c r="F159">
        <f t="shared" si="21"/>
        <v>0</v>
      </c>
      <c r="G159">
        <f t="shared" si="22"/>
        <v>20</v>
      </c>
      <c r="H159">
        <f t="shared" si="23"/>
        <v>20</v>
      </c>
      <c r="I159" t="str">
        <f t="shared" si="24"/>
        <v>SPRITE_ID_NEW_TRAIN</v>
      </c>
      <c r="U159"/>
      <c r="V159"/>
      <c r="W159"/>
    </row>
    <row r="160" spans="1:23">
      <c r="A160" s="2" t="s">
        <v>184</v>
      </c>
      <c r="B160">
        <f t="shared" si="17"/>
        <v>0</v>
      </c>
      <c r="C160">
        <f t="shared" si="18"/>
        <v>0</v>
      </c>
      <c r="D160">
        <f t="shared" si="19"/>
        <v>185</v>
      </c>
      <c r="E160">
        <f t="shared" si="20"/>
        <v>0</v>
      </c>
      <c r="F160">
        <f t="shared" si="21"/>
        <v>0</v>
      </c>
      <c r="G160">
        <f t="shared" si="22"/>
        <v>20</v>
      </c>
      <c r="H160">
        <f t="shared" si="23"/>
        <v>20</v>
      </c>
      <c r="I160" t="str">
        <f t="shared" si="24"/>
        <v>SPRITE_ID_NEW_TRAIN</v>
      </c>
      <c r="U160"/>
      <c r="V160"/>
      <c r="W160"/>
    </row>
    <row r="161" spans="1:23">
      <c r="A161" s="2" t="s">
        <v>185</v>
      </c>
      <c r="B161">
        <f t="shared" si="17"/>
        <v>0</v>
      </c>
      <c r="C161">
        <f t="shared" si="18"/>
        <v>0</v>
      </c>
      <c r="D161">
        <f t="shared" si="19"/>
        <v>185</v>
      </c>
      <c r="E161">
        <f t="shared" si="20"/>
        <v>0</v>
      </c>
      <c r="F161">
        <f t="shared" si="21"/>
        <v>0</v>
      </c>
      <c r="G161">
        <f t="shared" si="22"/>
        <v>20</v>
      </c>
      <c r="H161">
        <f t="shared" si="23"/>
        <v>20</v>
      </c>
      <c r="I161" t="str">
        <f t="shared" si="24"/>
        <v>SPRITE_ID_NEW_TRAIN</v>
      </c>
      <c r="U161"/>
      <c r="V161"/>
      <c r="W161"/>
    </row>
    <row r="162" spans="1:23">
      <c r="A162" s="2" t="s">
        <v>186</v>
      </c>
      <c r="B162">
        <f t="shared" si="17"/>
        <v>0</v>
      </c>
      <c r="C162">
        <f t="shared" si="18"/>
        <v>0</v>
      </c>
      <c r="D162">
        <f t="shared" si="19"/>
        <v>185</v>
      </c>
      <c r="E162">
        <f t="shared" si="20"/>
        <v>0</v>
      </c>
      <c r="F162">
        <f t="shared" si="21"/>
        <v>0</v>
      </c>
      <c r="G162">
        <f t="shared" si="22"/>
        <v>20</v>
      </c>
      <c r="H162">
        <f t="shared" si="23"/>
        <v>20</v>
      </c>
      <c r="I162" t="str">
        <f t="shared" si="24"/>
        <v>SPRITE_ID_NEW_TRAIN</v>
      </c>
      <c r="U162"/>
      <c r="V162"/>
      <c r="W162"/>
    </row>
    <row r="163" spans="1:23">
      <c r="A163" s="2" t="s">
        <v>187</v>
      </c>
      <c r="B163">
        <f t="shared" si="17"/>
        <v>0</v>
      </c>
      <c r="C163">
        <f t="shared" si="18"/>
        <v>0</v>
      </c>
      <c r="D163">
        <f t="shared" si="19"/>
        <v>185</v>
      </c>
      <c r="E163">
        <f t="shared" si="20"/>
        <v>0</v>
      </c>
      <c r="F163">
        <f t="shared" si="21"/>
        <v>0</v>
      </c>
      <c r="G163">
        <f t="shared" si="22"/>
        <v>20</v>
      </c>
      <c r="H163">
        <f t="shared" si="23"/>
        <v>20</v>
      </c>
      <c r="I163" t="str">
        <f t="shared" si="24"/>
        <v>SPRITE_ID_NEW_TRAIN</v>
      </c>
      <c r="U163"/>
      <c r="V163"/>
      <c r="W163"/>
    </row>
    <row r="164" spans="1:23">
      <c r="A164" s="2" t="s">
        <v>188</v>
      </c>
      <c r="B164">
        <f t="shared" si="17"/>
        <v>0</v>
      </c>
      <c r="C164">
        <f t="shared" si="18"/>
        <v>0</v>
      </c>
      <c r="D164">
        <f t="shared" si="19"/>
        <v>185</v>
      </c>
      <c r="E164">
        <f t="shared" si="20"/>
        <v>0</v>
      </c>
      <c r="F164">
        <f t="shared" si="21"/>
        <v>0</v>
      </c>
      <c r="G164">
        <f t="shared" si="22"/>
        <v>20</v>
      </c>
      <c r="H164">
        <f t="shared" si="23"/>
        <v>20</v>
      </c>
      <c r="I164" t="str">
        <f t="shared" si="24"/>
        <v>SPRITE_ID_NEW_TRAIN</v>
      </c>
      <c r="U164"/>
      <c r="V164"/>
      <c r="W164"/>
    </row>
    <row r="165" spans="1:23">
      <c r="A165" s="2" t="s">
        <v>189</v>
      </c>
      <c r="B165">
        <f t="shared" si="17"/>
        <v>0</v>
      </c>
      <c r="C165">
        <f t="shared" si="18"/>
        <v>0</v>
      </c>
      <c r="D165">
        <f t="shared" si="19"/>
        <v>185</v>
      </c>
      <c r="E165">
        <f t="shared" si="20"/>
        <v>0</v>
      </c>
      <c r="F165">
        <f t="shared" si="21"/>
        <v>0</v>
      </c>
      <c r="G165">
        <f t="shared" si="22"/>
        <v>20</v>
      </c>
      <c r="H165">
        <f t="shared" si="23"/>
        <v>20</v>
      </c>
      <c r="I165" t="str">
        <f t="shared" si="24"/>
        <v>SPRITE_ID_NEW_TRAIN</v>
      </c>
      <c r="U165"/>
      <c r="V165"/>
      <c r="W165"/>
    </row>
    <row r="166" spans="1:23">
      <c r="A166" s="2" t="s">
        <v>190</v>
      </c>
      <c r="B166">
        <f t="shared" si="17"/>
        <v>0</v>
      </c>
      <c r="C166">
        <f t="shared" si="18"/>
        <v>0</v>
      </c>
      <c r="D166">
        <f t="shared" si="19"/>
        <v>185</v>
      </c>
      <c r="E166">
        <f t="shared" si="20"/>
        <v>0</v>
      </c>
      <c r="F166">
        <f t="shared" si="21"/>
        <v>0</v>
      </c>
      <c r="G166">
        <f t="shared" si="22"/>
        <v>20</v>
      </c>
      <c r="H166">
        <f t="shared" si="23"/>
        <v>20</v>
      </c>
      <c r="I166" t="str">
        <f t="shared" si="24"/>
        <v>SPRITE_ID_NEW_TRAIN</v>
      </c>
      <c r="U166"/>
      <c r="V166"/>
      <c r="W166"/>
    </row>
    <row r="167" spans="1:23">
      <c r="A167" s="2" t="s">
        <v>191</v>
      </c>
      <c r="B167">
        <f t="shared" si="17"/>
        <v>0</v>
      </c>
      <c r="C167">
        <f t="shared" si="18"/>
        <v>0</v>
      </c>
      <c r="D167">
        <f t="shared" si="19"/>
        <v>185</v>
      </c>
      <c r="E167">
        <f t="shared" si="20"/>
        <v>0</v>
      </c>
      <c r="F167">
        <f t="shared" si="21"/>
        <v>0</v>
      </c>
      <c r="G167">
        <f t="shared" si="22"/>
        <v>20</v>
      </c>
      <c r="H167">
        <f t="shared" si="23"/>
        <v>20</v>
      </c>
      <c r="I167" t="str">
        <f t="shared" si="24"/>
        <v>SPRITE_ID_NEW_TRAIN</v>
      </c>
      <c r="U167"/>
      <c r="V167"/>
      <c r="W167"/>
    </row>
    <row r="168" spans="1:23">
      <c r="A168" s="2" t="s">
        <v>192</v>
      </c>
      <c r="B168">
        <f t="shared" si="17"/>
        <v>0</v>
      </c>
      <c r="C168">
        <f t="shared" si="18"/>
        <v>0</v>
      </c>
      <c r="D168">
        <f t="shared" si="19"/>
        <v>185</v>
      </c>
      <c r="E168">
        <f t="shared" si="20"/>
        <v>0</v>
      </c>
      <c r="F168">
        <f t="shared" si="21"/>
        <v>0</v>
      </c>
      <c r="G168">
        <f t="shared" si="22"/>
        <v>20</v>
      </c>
      <c r="H168">
        <f t="shared" si="23"/>
        <v>20</v>
      </c>
      <c r="I168" t="str">
        <f t="shared" si="24"/>
        <v>SPRITE_ID_NEW_TRAIN</v>
      </c>
      <c r="U168"/>
      <c r="V168"/>
      <c r="W168"/>
    </row>
    <row r="169" spans="1:23">
      <c r="A169" s="2" t="s">
        <v>193</v>
      </c>
      <c r="B169">
        <f t="shared" si="17"/>
        <v>0</v>
      </c>
      <c r="C169">
        <f t="shared" si="18"/>
        <v>0</v>
      </c>
      <c r="D169">
        <f t="shared" si="19"/>
        <v>185</v>
      </c>
      <c r="E169">
        <f t="shared" si="20"/>
        <v>0</v>
      </c>
      <c r="F169">
        <f t="shared" si="21"/>
        <v>0</v>
      </c>
      <c r="G169">
        <f t="shared" si="22"/>
        <v>20</v>
      </c>
      <c r="H169">
        <f t="shared" si="23"/>
        <v>20</v>
      </c>
      <c r="I169" t="str">
        <f t="shared" si="24"/>
        <v>SPRITE_ID_NEW_TRAIN</v>
      </c>
      <c r="U169"/>
      <c r="V169"/>
      <c r="W169"/>
    </row>
    <row r="170" spans="1:23">
      <c r="A170" s="2" t="s">
        <v>194</v>
      </c>
      <c r="B170">
        <f t="shared" si="17"/>
        <v>0</v>
      </c>
      <c r="C170">
        <f t="shared" si="18"/>
        <v>0</v>
      </c>
      <c r="D170">
        <f t="shared" si="19"/>
        <v>185</v>
      </c>
      <c r="E170">
        <f t="shared" si="20"/>
        <v>0</v>
      </c>
      <c r="F170">
        <f t="shared" si="21"/>
        <v>0</v>
      </c>
      <c r="G170">
        <f t="shared" si="22"/>
        <v>20</v>
      </c>
      <c r="H170">
        <f t="shared" si="23"/>
        <v>20</v>
      </c>
      <c r="I170" t="str">
        <f t="shared" si="24"/>
        <v>SPRITE_ID_NEW_TRAIN</v>
      </c>
      <c r="U170"/>
      <c r="V170"/>
      <c r="W170"/>
    </row>
    <row r="171" spans="1:23">
      <c r="A171" s="2" t="s">
        <v>195</v>
      </c>
      <c r="B171">
        <f t="shared" si="17"/>
        <v>0</v>
      </c>
      <c r="C171">
        <f t="shared" si="18"/>
        <v>0</v>
      </c>
      <c r="D171">
        <f t="shared" si="19"/>
        <v>185</v>
      </c>
      <c r="E171">
        <f t="shared" si="20"/>
        <v>0</v>
      </c>
      <c r="F171">
        <f t="shared" si="21"/>
        <v>0</v>
      </c>
      <c r="G171">
        <f t="shared" si="22"/>
        <v>20</v>
      </c>
      <c r="H171">
        <f t="shared" si="23"/>
        <v>20</v>
      </c>
      <c r="I171" t="str">
        <f t="shared" si="24"/>
        <v>SPRITE_ID_NEW_TRAIN</v>
      </c>
      <c r="U171"/>
      <c r="V171"/>
      <c r="W171"/>
    </row>
    <row r="172" spans="1:23">
      <c r="A172" s="2" t="s">
        <v>196</v>
      </c>
      <c r="B172">
        <f t="shared" si="17"/>
        <v>0</v>
      </c>
      <c r="C172">
        <f t="shared" si="18"/>
        <v>0</v>
      </c>
      <c r="D172">
        <f t="shared" si="19"/>
        <v>185</v>
      </c>
      <c r="E172">
        <f t="shared" si="20"/>
        <v>0</v>
      </c>
      <c r="F172">
        <f t="shared" si="21"/>
        <v>0</v>
      </c>
      <c r="G172">
        <f t="shared" si="22"/>
        <v>20</v>
      </c>
      <c r="H172">
        <f t="shared" si="23"/>
        <v>20</v>
      </c>
      <c r="I172" t="str">
        <f t="shared" si="24"/>
        <v>SPRITE_ID_NEW_TRAIN</v>
      </c>
      <c r="U172"/>
      <c r="V172"/>
      <c r="W172"/>
    </row>
    <row r="173" spans="1:23">
      <c r="A173" s="2" t="s">
        <v>197</v>
      </c>
      <c r="B173">
        <f t="shared" si="17"/>
        <v>0</v>
      </c>
      <c r="C173">
        <f t="shared" si="18"/>
        <v>0</v>
      </c>
      <c r="D173">
        <f t="shared" si="19"/>
        <v>185</v>
      </c>
      <c r="E173">
        <f t="shared" si="20"/>
        <v>0</v>
      </c>
      <c r="F173">
        <f t="shared" si="21"/>
        <v>0</v>
      </c>
      <c r="G173">
        <f t="shared" si="22"/>
        <v>20</v>
      </c>
      <c r="H173">
        <f t="shared" si="23"/>
        <v>20</v>
      </c>
      <c r="I173" t="str">
        <f t="shared" si="24"/>
        <v>SPRITE_ID_NEW_TRAIN</v>
      </c>
      <c r="U173"/>
      <c r="V173"/>
      <c r="W173"/>
    </row>
    <row r="174" spans="1:23">
      <c r="A174" s="2" t="s">
        <v>198</v>
      </c>
      <c r="B174">
        <f t="shared" si="17"/>
        <v>0</v>
      </c>
      <c r="C174">
        <f t="shared" si="18"/>
        <v>0</v>
      </c>
      <c r="D174">
        <f t="shared" si="19"/>
        <v>185</v>
      </c>
      <c r="E174">
        <f t="shared" si="20"/>
        <v>0</v>
      </c>
      <c r="F174">
        <f t="shared" si="21"/>
        <v>0</v>
      </c>
      <c r="G174">
        <f t="shared" si="22"/>
        <v>20</v>
      </c>
      <c r="H174">
        <f t="shared" si="23"/>
        <v>20</v>
      </c>
      <c r="I174" t="str">
        <f t="shared" si="24"/>
        <v>SPRITE_ID_NEW_TRAIN</v>
      </c>
      <c r="U174"/>
      <c r="V174"/>
      <c r="W174"/>
    </row>
    <row r="175" spans="1:23">
      <c r="A175" s="2" t="s">
        <v>199</v>
      </c>
      <c r="B175">
        <f t="shared" si="17"/>
        <v>0</v>
      </c>
      <c r="C175">
        <f t="shared" si="18"/>
        <v>0</v>
      </c>
      <c r="D175">
        <f t="shared" si="19"/>
        <v>185</v>
      </c>
      <c r="E175">
        <f t="shared" si="20"/>
        <v>0</v>
      </c>
      <c r="F175">
        <f t="shared" si="21"/>
        <v>0</v>
      </c>
      <c r="G175">
        <f t="shared" si="22"/>
        <v>20</v>
      </c>
      <c r="H175">
        <f t="shared" si="23"/>
        <v>20</v>
      </c>
      <c r="I175" t="str">
        <f t="shared" si="24"/>
        <v>SPRITE_ID_NEW_TRAIN</v>
      </c>
      <c r="U175"/>
      <c r="V175"/>
      <c r="W175"/>
    </row>
    <row r="176" spans="1:23">
      <c r="A176" s="2" t="s">
        <v>200</v>
      </c>
      <c r="B176">
        <f t="shared" si="17"/>
        <v>0</v>
      </c>
      <c r="C176">
        <f t="shared" si="18"/>
        <v>0</v>
      </c>
      <c r="D176">
        <f t="shared" si="19"/>
        <v>185</v>
      </c>
      <c r="E176">
        <f t="shared" si="20"/>
        <v>0</v>
      </c>
      <c r="F176">
        <f t="shared" si="21"/>
        <v>0</v>
      </c>
      <c r="G176">
        <f t="shared" si="22"/>
        <v>20</v>
      </c>
      <c r="H176">
        <f t="shared" si="23"/>
        <v>20</v>
      </c>
      <c r="I176" t="str">
        <f t="shared" si="24"/>
        <v>SPRITE_ID_NEW_TRAIN</v>
      </c>
      <c r="U176"/>
      <c r="V176"/>
      <c r="W176"/>
    </row>
    <row r="177" spans="1:23">
      <c r="A177" s="2" t="s">
        <v>201</v>
      </c>
      <c r="B177">
        <f t="shared" si="17"/>
        <v>0</v>
      </c>
      <c r="C177">
        <f t="shared" si="18"/>
        <v>0</v>
      </c>
      <c r="D177">
        <f t="shared" si="19"/>
        <v>185</v>
      </c>
      <c r="E177">
        <f t="shared" si="20"/>
        <v>0</v>
      </c>
      <c r="F177">
        <f t="shared" si="21"/>
        <v>0</v>
      </c>
      <c r="G177">
        <f t="shared" si="22"/>
        <v>20</v>
      </c>
      <c r="H177">
        <f t="shared" si="23"/>
        <v>20</v>
      </c>
      <c r="I177" t="str">
        <f t="shared" si="24"/>
        <v>SPRITE_ID_NEW_TRAIN</v>
      </c>
      <c r="U177"/>
      <c r="V177"/>
      <c r="W177"/>
    </row>
    <row r="178" spans="1:23">
      <c r="A178" s="2" t="s">
        <v>202</v>
      </c>
      <c r="B178">
        <f t="shared" si="17"/>
        <v>0</v>
      </c>
      <c r="C178">
        <f t="shared" si="18"/>
        <v>0</v>
      </c>
      <c r="D178">
        <f t="shared" si="19"/>
        <v>185</v>
      </c>
      <c r="E178">
        <f t="shared" si="20"/>
        <v>0</v>
      </c>
      <c r="F178">
        <f t="shared" si="21"/>
        <v>0</v>
      </c>
      <c r="G178">
        <f t="shared" si="22"/>
        <v>20</v>
      </c>
      <c r="H178">
        <f t="shared" si="23"/>
        <v>20</v>
      </c>
      <c r="I178" t="str">
        <f t="shared" si="24"/>
        <v>SPRITE_ID_NEW_TRAIN</v>
      </c>
      <c r="U178"/>
      <c r="V178"/>
      <c r="W178"/>
    </row>
    <row r="179" spans="1:23">
      <c r="A179" s="2" t="s">
        <v>203</v>
      </c>
      <c r="B179">
        <f t="shared" si="17"/>
        <v>0</v>
      </c>
      <c r="C179">
        <f t="shared" si="18"/>
        <v>0</v>
      </c>
      <c r="D179">
        <f t="shared" si="19"/>
        <v>185</v>
      </c>
      <c r="E179">
        <f t="shared" si="20"/>
        <v>0</v>
      </c>
      <c r="F179">
        <f t="shared" si="21"/>
        <v>0</v>
      </c>
      <c r="G179">
        <f t="shared" si="22"/>
        <v>20</v>
      </c>
      <c r="H179">
        <f t="shared" si="23"/>
        <v>20</v>
      </c>
      <c r="I179" t="str">
        <f t="shared" si="24"/>
        <v>SPRITE_ID_NEW_TRAIN</v>
      </c>
      <c r="U179"/>
      <c r="V179"/>
      <c r="W179"/>
    </row>
    <row r="180" spans="1:23">
      <c r="A180" s="2" t="s">
        <v>204</v>
      </c>
      <c r="B180">
        <f t="shared" si="17"/>
        <v>0</v>
      </c>
      <c r="C180">
        <f t="shared" si="18"/>
        <v>0</v>
      </c>
      <c r="D180">
        <f t="shared" si="19"/>
        <v>185</v>
      </c>
      <c r="E180">
        <f t="shared" si="20"/>
        <v>0</v>
      </c>
      <c r="F180">
        <f t="shared" si="21"/>
        <v>0</v>
      </c>
      <c r="G180">
        <f t="shared" si="22"/>
        <v>20</v>
      </c>
      <c r="H180">
        <f t="shared" si="23"/>
        <v>20</v>
      </c>
      <c r="I180" t="str">
        <f t="shared" si="24"/>
        <v>SPRITE_ID_NEW_TRAIN</v>
      </c>
      <c r="U180"/>
      <c r="V180"/>
      <c r="W180"/>
    </row>
    <row r="181" spans="1:23">
      <c r="A181" s="2" t="s">
        <v>205</v>
      </c>
      <c r="B181">
        <f t="shared" si="17"/>
        <v>0</v>
      </c>
      <c r="C181">
        <f t="shared" si="18"/>
        <v>0</v>
      </c>
      <c r="D181">
        <f t="shared" si="19"/>
        <v>185</v>
      </c>
      <c r="E181">
        <f t="shared" si="20"/>
        <v>0</v>
      </c>
      <c r="F181">
        <f t="shared" si="21"/>
        <v>0</v>
      </c>
      <c r="G181">
        <f t="shared" si="22"/>
        <v>20</v>
      </c>
      <c r="H181">
        <f t="shared" si="23"/>
        <v>20</v>
      </c>
      <c r="I181" t="str">
        <f t="shared" si="24"/>
        <v>SPRITE_ID_NEW_TRAIN</v>
      </c>
      <c r="U181"/>
      <c r="V181"/>
      <c r="W181"/>
    </row>
    <row r="182" spans="1:23">
      <c r="A182" s="2" t="s">
        <v>206</v>
      </c>
      <c r="B182">
        <f t="shared" si="17"/>
        <v>0</v>
      </c>
      <c r="C182">
        <f t="shared" si="18"/>
        <v>0</v>
      </c>
      <c r="D182">
        <f t="shared" si="19"/>
        <v>185</v>
      </c>
      <c r="E182">
        <f t="shared" si="20"/>
        <v>0</v>
      </c>
      <c r="F182">
        <f t="shared" si="21"/>
        <v>0</v>
      </c>
      <c r="G182">
        <f t="shared" si="22"/>
        <v>20</v>
      </c>
      <c r="H182">
        <f t="shared" si="23"/>
        <v>20</v>
      </c>
      <c r="I182" t="str">
        <f t="shared" si="24"/>
        <v>SPRITE_ID_NEW_TRAIN</v>
      </c>
      <c r="U182"/>
      <c r="V182"/>
      <c r="W182"/>
    </row>
    <row r="183" spans="1:23">
      <c r="A183" s="2" t="s">
        <v>207</v>
      </c>
      <c r="B183">
        <f t="shared" si="17"/>
        <v>0</v>
      </c>
      <c r="C183">
        <f t="shared" si="18"/>
        <v>0</v>
      </c>
      <c r="D183">
        <f t="shared" si="19"/>
        <v>185</v>
      </c>
      <c r="E183">
        <f t="shared" si="20"/>
        <v>0</v>
      </c>
      <c r="F183">
        <f t="shared" si="21"/>
        <v>0</v>
      </c>
      <c r="G183">
        <f t="shared" si="22"/>
        <v>20</v>
      </c>
      <c r="H183">
        <f t="shared" si="23"/>
        <v>20</v>
      </c>
      <c r="I183" t="str">
        <f t="shared" si="24"/>
        <v>SPRITE_ID_NEW_TRAIN</v>
      </c>
      <c r="U183"/>
      <c r="V183"/>
      <c r="W183"/>
    </row>
    <row r="184" spans="1:23">
      <c r="A184" s="2" t="s">
        <v>208</v>
      </c>
      <c r="B184">
        <f t="shared" si="17"/>
        <v>0</v>
      </c>
      <c r="C184">
        <f t="shared" si="18"/>
        <v>0</v>
      </c>
      <c r="D184">
        <f t="shared" si="19"/>
        <v>185</v>
      </c>
      <c r="E184">
        <f t="shared" si="20"/>
        <v>0</v>
      </c>
      <c r="F184">
        <f t="shared" si="21"/>
        <v>0</v>
      </c>
      <c r="G184">
        <f t="shared" si="22"/>
        <v>20</v>
      </c>
      <c r="H184">
        <f t="shared" si="23"/>
        <v>20</v>
      </c>
      <c r="I184" t="str">
        <f t="shared" si="24"/>
        <v>SPRITE_ID_NEW_TRAIN</v>
      </c>
      <c r="U184"/>
      <c r="V184"/>
      <c r="W184"/>
    </row>
    <row r="185" spans="1:23">
      <c r="A185" s="2" t="s">
        <v>209</v>
      </c>
      <c r="B185">
        <f t="shared" si="17"/>
        <v>0</v>
      </c>
      <c r="C185">
        <f t="shared" si="18"/>
        <v>0</v>
      </c>
      <c r="D185">
        <f t="shared" si="19"/>
        <v>185</v>
      </c>
      <c r="E185">
        <f t="shared" si="20"/>
        <v>0</v>
      </c>
      <c r="F185">
        <f t="shared" si="21"/>
        <v>0</v>
      </c>
      <c r="G185">
        <f t="shared" si="22"/>
        <v>20</v>
      </c>
      <c r="H185">
        <f t="shared" si="23"/>
        <v>20</v>
      </c>
      <c r="I185" t="str">
        <f t="shared" si="24"/>
        <v>SPRITE_ID_NEW_TRAIN</v>
      </c>
      <c r="U185"/>
      <c r="V185"/>
      <c r="W185"/>
    </row>
    <row r="186" spans="1:23">
      <c r="A186" s="2" t="s">
        <v>210</v>
      </c>
      <c r="B186">
        <f t="shared" si="17"/>
        <v>0</v>
      </c>
      <c r="C186">
        <f t="shared" si="18"/>
        <v>0</v>
      </c>
      <c r="D186">
        <f t="shared" si="19"/>
        <v>185</v>
      </c>
      <c r="E186">
        <f t="shared" si="20"/>
        <v>0</v>
      </c>
      <c r="F186">
        <f t="shared" si="21"/>
        <v>0</v>
      </c>
      <c r="G186">
        <f t="shared" si="22"/>
        <v>20</v>
      </c>
      <c r="H186">
        <f t="shared" si="23"/>
        <v>20</v>
      </c>
      <c r="I186" t="str">
        <f t="shared" si="24"/>
        <v>SPRITE_ID_NEW_TRAIN</v>
      </c>
      <c r="U186"/>
      <c r="V186"/>
      <c r="W186"/>
    </row>
    <row r="187" spans="1:23">
      <c r="A187" s="2" t="s">
        <v>211</v>
      </c>
      <c r="B187">
        <f t="shared" si="17"/>
        <v>0</v>
      </c>
      <c r="C187">
        <f t="shared" si="18"/>
        <v>0</v>
      </c>
      <c r="D187">
        <f t="shared" si="19"/>
        <v>185</v>
      </c>
      <c r="E187">
        <f t="shared" si="20"/>
        <v>0</v>
      </c>
      <c r="F187">
        <f t="shared" si="21"/>
        <v>0</v>
      </c>
      <c r="G187">
        <f t="shared" si="22"/>
        <v>20</v>
      </c>
      <c r="H187">
        <f t="shared" si="23"/>
        <v>20</v>
      </c>
      <c r="I187" t="str">
        <f t="shared" si="24"/>
        <v>SPRITE_ID_NEW_TRAIN</v>
      </c>
      <c r="U187"/>
      <c r="V187"/>
      <c r="W187"/>
    </row>
    <row r="188" spans="1:23">
      <c r="A188" s="2" t="s">
        <v>212</v>
      </c>
      <c r="B188">
        <f t="shared" si="17"/>
        <v>0</v>
      </c>
      <c r="C188">
        <f t="shared" si="18"/>
        <v>0</v>
      </c>
      <c r="D188">
        <f t="shared" si="19"/>
        <v>185</v>
      </c>
      <c r="E188">
        <f t="shared" si="20"/>
        <v>0</v>
      </c>
      <c r="F188">
        <f t="shared" si="21"/>
        <v>0</v>
      </c>
      <c r="G188">
        <f t="shared" si="22"/>
        <v>20</v>
      </c>
      <c r="H188">
        <f t="shared" si="23"/>
        <v>20</v>
      </c>
      <c r="I188" t="str">
        <f t="shared" si="24"/>
        <v>SPRITE_ID_NEW_TRAIN</v>
      </c>
      <c r="U188"/>
      <c r="V188"/>
      <c r="W188"/>
    </row>
    <row r="189" spans="1:23">
      <c r="A189" s="2" t="s">
        <v>213</v>
      </c>
      <c r="B189">
        <f t="shared" si="17"/>
        <v>0</v>
      </c>
      <c r="C189">
        <f t="shared" si="18"/>
        <v>0</v>
      </c>
      <c r="D189">
        <f t="shared" si="19"/>
        <v>185</v>
      </c>
      <c r="E189">
        <f t="shared" si="20"/>
        <v>0</v>
      </c>
      <c r="F189">
        <f t="shared" si="21"/>
        <v>0</v>
      </c>
      <c r="G189">
        <f t="shared" si="22"/>
        <v>20</v>
      </c>
      <c r="H189">
        <f t="shared" si="23"/>
        <v>20</v>
      </c>
      <c r="I189" t="str">
        <f t="shared" si="24"/>
        <v>SPRITE_ID_NEW_TRAIN</v>
      </c>
      <c r="U189"/>
      <c r="V189"/>
      <c r="W189"/>
    </row>
    <row r="190" spans="1:23">
      <c r="A190" s="2" t="s">
        <v>214</v>
      </c>
      <c r="B190">
        <f t="shared" si="17"/>
        <v>0</v>
      </c>
      <c r="C190">
        <f t="shared" si="18"/>
        <v>0</v>
      </c>
      <c r="D190">
        <f t="shared" si="19"/>
        <v>185</v>
      </c>
      <c r="E190">
        <f t="shared" si="20"/>
        <v>0</v>
      </c>
      <c r="F190">
        <f t="shared" si="21"/>
        <v>0</v>
      </c>
      <c r="G190">
        <f t="shared" si="22"/>
        <v>20</v>
      </c>
      <c r="H190">
        <f t="shared" si="23"/>
        <v>20</v>
      </c>
      <c r="I190" t="str">
        <f t="shared" si="24"/>
        <v>SPRITE_ID_NEW_TRAIN</v>
      </c>
      <c r="U190"/>
      <c r="V190"/>
      <c r="W190"/>
    </row>
    <row r="191" spans="1:23">
      <c r="A191" s="2" t="s">
        <v>215</v>
      </c>
      <c r="B191">
        <f t="shared" si="17"/>
        <v>0</v>
      </c>
      <c r="C191">
        <f t="shared" si="18"/>
        <v>0</v>
      </c>
      <c r="D191">
        <f t="shared" si="19"/>
        <v>185</v>
      </c>
      <c r="E191">
        <f t="shared" si="20"/>
        <v>0</v>
      </c>
      <c r="F191">
        <f t="shared" si="21"/>
        <v>0</v>
      </c>
      <c r="G191">
        <f t="shared" si="22"/>
        <v>20</v>
      </c>
      <c r="H191">
        <f t="shared" si="23"/>
        <v>20</v>
      </c>
      <c r="I191" t="str">
        <f t="shared" si="24"/>
        <v>SPRITE_ID_NEW_TRAIN</v>
      </c>
      <c r="U191"/>
      <c r="V191"/>
      <c r="W191"/>
    </row>
    <row r="192" spans="1:23">
      <c r="A192" s="2" t="s">
        <v>216</v>
      </c>
      <c r="B192">
        <f t="shared" si="17"/>
        <v>0</v>
      </c>
      <c r="C192">
        <f t="shared" si="18"/>
        <v>0</v>
      </c>
      <c r="D192">
        <f t="shared" si="19"/>
        <v>185</v>
      </c>
      <c r="E192">
        <f t="shared" si="20"/>
        <v>0</v>
      </c>
      <c r="F192">
        <f t="shared" si="21"/>
        <v>0</v>
      </c>
      <c r="G192">
        <f t="shared" si="22"/>
        <v>20</v>
      </c>
      <c r="H192">
        <f t="shared" si="23"/>
        <v>20</v>
      </c>
      <c r="I192" t="str">
        <f t="shared" si="24"/>
        <v>SPRITE_ID_NEW_TRAIN</v>
      </c>
      <c r="U192"/>
      <c r="V192"/>
      <c r="W192"/>
    </row>
    <row r="193" spans="1:23">
      <c r="A193" s="2" t="s">
        <v>217</v>
      </c>
      <c r="B193">
        <f t="shared" si="17"/>
        <v>0</v>
      </c>
      <c r="C193">
        <f t="shared" si="18"/>
        <v>0</v>
      </c>
      <c r="D193">
        <f t="shared" si="19"/>
        <v>185</v>
      </c>
      <c r="E193">
        <f t="shared" si="20"/>
        <v>0</v>
      </c>
      <c r="F193">
        <f t="shared" si="21"/>
        <v>0</v>
      </c>
      <c r="G193">
        <f t="shared" si="22"/>
        <v>20</v>
      </c>
      <c r="H193">
        <f t="shared" si="23"/>
        <v>20</v>
      </c>
      <c r="I193" t="str">
        <f t="shared" si="24"/>
        <v>SPRITE_ID_NEW_TRAIN</v>
      </c>
      <c r="U193"/>
      <c r="V193"/>
      <c r="W193"/>
    </row>
    <row r="194" spans="1:23">
      <c r="A194" s="2" t="s">
        <v>218</v>
      </c>
      <c r="B194">
        <f t="shared" si="17"/>
        <v>0</v>
      </c>
      <c r="C194">
        <f t="shared" si="18"/>
        <v>0</v>
      </c>
      <c r="D194">
        <f t="shared" si="19"/>
        <v>185</v>
      </c>
      <c r="E194">
        <f t="shared" si="20"/>
        <v>0</v>
      </c>
      <c r="F194">
        <f t="shared" si="21"/>
        <v>0</v>
      </c>
      <c r="G194">
        <f t="shared" si="22"/>
        <v>20</v>
      </c>
      <c r="H194">
        <f t="shared" si="23"/>
        <v>20</v>
      </c>
      <c r="I194" t="str">
        <f t="shared" si="24"/>
        <v>SPRITE_ID_NEW_TRAIN</v>
      </c>
      <c r="U194"/>
      <c r="V194"/>
      <c r="W194"/>
    </row>
    <row r="195" spans="1:23">
      <c r="A195" s="2" t="s">
        <v>219</v>
      </c>
      <c r="B195">
        <f t="shared" si="17"/>
        <v>0</v>
      </c>
      <c r="C195">
        <f t="shared" si="18"/>
        <v>0</v>
      </c>
      <c r="D195">
        <f t="shared" si="19"/>
        <v>185</v>
      </c>
      <c r="E195">
        <f t="shared" si="20"/>
        <v>0</v>
      </c>
      <c r="F195">
        <f t="shared" si="21"/>
        <v>0</v>
      </c>
      <c r="G195">
        <f t="shared" si="22"/>
        <v>20</v>
      </c>
      <c r="H195">
        <f t="shared" si="23"/>
        <v>20</v>
      </c>
      <c r="I195" t="str">
        <f t="shared" si="24"/>
        <v>SPRITE_ID_NEW_TRAIN</v>
      </c>
      <c r="U195"/>
      <c r="V195"/>
      <c r="W195"/>
    </row>
    <row r="196" spans="1:23">
      <c r="A196" s="2" t="s">
        <v>220</v>
      </c>
      <c r="B196">
        <f t="shared" ref="B196:B259" si="25">B195</f>
        <v>0</v>
      </c>
      <c r="C196">
        <f t="shared" ref="C196:C259" si="26">C195</f>
        <v>0</v>
      </c>
      <c r="D196">
        <f t="shared" ref="D196:D259" si="27">D195</f>
        <v>185</v>
      </c>
      <c r="E196">
        <f t="shared" ref="E196:E259" si="28">E195</f>
        <v>0</v>
      </c>
      <c r="F196">
        <f t="shared" ref="F196:F259" si="29">F195</f>
        <v>0</v>
      </c>
      <c r="G196">
        <f t="shared" ref="G196:G259" si="30">G195</f>
        <v>20</v>
      </c>
      <c r="H196">
        <f t="shared" ref="H196:H259" si="31">H195</f>
        <v>20</v>
      </c>
      <c r="I196" t="str">
        <f t="shared" ref="I196:I259" si="32">I195</f>
        <v>SPRITE_ID_NEW_TRAIN</v>
      </c>
      <c r="U196"/>
      <c r="V196"/>
      <c r="W196"/>
    </row>
    <row r="197" spans="1:23">
      <c r="A197" s="2" t="s">
        <v>221</v>
      </c>
      <c r="B197">
        <f t="shared" si="25"/>
        <v>0</v>
      </c>
      <c r="C197">
        <f t="shared" si="26"/>
        <v>0</v>
      </c>
      <c r="D197">
        <f t="shared" si="27"/>
        <v>185</v>
      </c>
      <c r="E197">
        <f t="shared" si="28"/>
        <v>0</v>
      </c>
      <c r="F197">
        <f t="shared" si="29"/>
        <v>0</v>
      </c>
      <c r="G197">
        <f t="shared" si="30"/>
        <v>20</v>
      </c>
      <c r="H197">
        <f t="shared" si="31"/>
        <v>20</v>
      </c>
      <c r="I197" t="str">
        <f t="shared" si="32"/>
        <v>SPRITE_ID_NEW_TRAIN</v>
      </c>
      <c r="U197"/>
      <c r="V197"/>
      <c r="W197"/>
    </row>
    <row r="198" spans="1:23">
      <c r="A198" s="2" t="s">
        <v>222</v>
      </c>
      <c r="B198">
        <f t="shared" si="25"/>
        <v>0</v>
      </c>
      <c r="C198">
        <f t="shared" si="26"/>
        <v>0</v>
      </c>
      <c r="D198">
        <f t="shared" si="27"/>
        <v>185</v>
      </c>
      <c r="E198">
        <f t="shared" si="28"/>
        <v>0</v>
      </c>
      <c r="F198">
        <f t="shared" si="29"/>
        <v>0</v>
      </c>
      <c r="G198">
        <f t="shared" si="30"/>
        <v>20</v>
      </c>
      <c r="H198">
        <f t="shared" si="31"/>
        <v>20</v>
      </c>
      <c r="I198" t="str">
        <f t="shared" si="32"/>
        <v>SPRITE_ID_NEW_TRAIN</v>
      </c>
      <c r="U198"/>
      <c r="V198"/>
      <c r="W198"/>
    </row>
    <row r="199" spans="1:23">
      <c r="A199" s="2" t="s">
        <v>223</v>
      </c>
      <c r="B199">
        <f t="shared" si="25"/>
        <v>0</v>
      </c>
      <c r="C199">
        <f t="shared" si="26"/>
        <v>0</v>
      </c>
      <c r="D199">
        <f t="shared" si="27"/>
        <v>185</v>
      </c>
      <c r="E199">
        <f t="shared" si="28"/>
        <v>0</v>
      </c>
      <c r="F199">
        <f t="shared" si="29"/>
        <v>0</v>
      </c>
      <c r="G199">
        <f t="shared" si="30"/>
        <v>20</v>
      </c>
      <c r="H199">
        <f t="shared" si="31"/>
        <v>20</v>
      </c>
      <c r="I199" t="str">
        <f t="shared" si="32"/>
        <v>SPRITE_ID_NEW_TRAIN</v>
      </c>
      <c r="U199"/>
      <c r="V199"/>
      <c r="W199"/>
    </row>
    <row r="200" spans="1:23">
      <c r="A200" s="2" t="s">
        <v>224</v>
      </c>
      <c r="B200">
        <f t="shared" si="25"/>
        <v>0</v>
      </c>
      <c r="C200">
        <f t="shared" si="26"/>
        <v>0</v>
      </c>
      <c r="D200">
        <f t="shared" si="27"/>
        <v>185</v>
      </c>
      <c r="E200">
        <f t="shared" si="28"/>
        <v>0</v>
      </c>
      <c r="F200">
        <f t="shared" si="29"/>
        <v>0</v>
      </c>
      <c r="G200">
        <f t="shared" si="30"/>
        <v>20</v>
      </c>
      <c r="H200">
        <f t="shared" si="31"/>
        <v>20</v>
      </c>
      <c r="I200" t="str">
        <f t="shared" si="32"/>
        <v>SPRITE_ID_NEW_TRAIN</v>
      </c>
      <c r="U200"/>
      <c r="V200"/>
      <c r="W200"/>
    </row>
    <row r="201" spans="1:23">
      <c r="A201" s="2" t="s">
        <v>225</v>
      </c>
      <c r="B201">
        <f t="shared" si="25"/>
        <v>0</v>
      </c>
      <c r="C201">
        <f t="shared" si="26"/>
        <v>0</v>
      </c>
      <c r="D201">
        <f t="shared" si="27"/>
        <v>185</v>
      </c>
      <c r="E201">
        <f t="shared" si="28"/>
        <v>0</v>
      </c>
      <c r="F201">
        <f t="shared" si="29"/>
        <v>0</v>
      </c>
      <c r="G201">
        <f t="shared" si="30"/>
        <v>20</v>
      </c>
      <c r="H201">
        <f t="shared" si="31"/>
        <v>20</v>
      </c>
      <c r="I201" t="str">
        <f t="shared" si="32"/>
        <v>SPRITE_ID_NEW_TRAIN</v>
      </c>
      <c r="U201"/>
      <c r="V201"/>
      <c r="W201"/>
    </row>
    <row r="202" spans="1:23">
      <c r="A202" s="2" t="s">
        <v>226</v>
      </c>
      <c r="B202">
        <f t="shared" si="25"/>
        <v>0</v>
      </c>
      <c r="C202">
        <f t="shared" si="26"/>
        <v>0</v>
      </c>
      <c r="D202">
        <f t="shared" si="27"/>
        <v>185</v>
      </c>
      <c r="E202">
        <f t="shared" si="28"/>
        <v>0</v>
      </c>
      <c r="F202">
        <f t="shared" si="29"/>
        <v>0</v>
      </c>
      <c r="G202">
        <f t="shared" si="30"/>
        <v>20</v>
      </c>
      <c r="H202">
        <f t="shared" si="31"/>
        <v>20</v>
      </c>
      <c r="I202" t="str">
        <f t="shared" si="32"/>
        <v>SPRITE_ID_NEW_TRAIN</v>
      </c>
      <c r="U202"/>
      <c r="V202"/>
      <c r="W202"/>
    </row>
    <row r="203" spans="1:23">
      <c r="A203" s="2" t="s">
        <v>227</v>
      </c>
      <c r="B203">
        <f t="shared" si="25"/>
        <v>0</v>
      </c>
      <c r="C203">
        <f t="shared" si="26"/>
        <v>0</v>
      </c>
      <c r="D203">
        <f t="shared" si="27"/>
        <v>185</v>
      </c>
      <c r="E203">
        <f t="shared" si="28"/>
        <v>0</v>
      </c>
      <c r="F203">
        <f t="shared" si="29"/>
        <v>0</v>
      </c>
      <c r="G203">
        <f t="shared" si="30"/>
        <v>20</v>
      </c>
      <c r="H203">
        <f t="shared" si="31"/>
        <v>20</v>
      </c>
      <c r="I203" t="str">
        <f t="shared" si="32"/>
        <v>SPRITE_ID_NEW_TRAIN</v>
      </c>
      <c r="U203"/>
      <c r="V203"/>
      <c r="W203"/>
    </row>
    <row r="204" spans="1:23">
      <c r="A204" s="2" t="s">
        <v>228</v>
      </c>
      <c r="B204">
        <f t="shared" si="25"/>
        <v>0</v>
      </c>
      <c r="C204">
        <f t="shared" si="26"/>
        <v>0</v>
      </c>
      <c r="D204">
        <f t="shared" si="27"/>
        <v>185</v>
      </c>
      <c r="E204">
        <f t="shared" si="28"/>
        <v>0</v>
      </c>
      <c r="F204">
        <f t="shared" si="29"/>
        <v>0</v>
      </c>
      <c r="G204">
        <f t="shared" si="30"/>
        <v>20</v>
      </c>
      <c r="H204">
        <f t="shared" si="31"/>
        <v>20</v>
      </c>
      <c r="I204" t="str">
        <f t="shared" si="32"/>
        <v>SPRITE_ID_NEW_TRAIN</v>
      </c>
      <c r="U204"/>
      <c r="V204"/>
      <c r="W204"/>
    </row>
    <row r="205" spans="1:23">
      <c r="A205" s="2" t="s">
        <v>229</v>
      </c>
      <c r="B205">
        <f t="shared" si="25"/>
        <v>0</v>
      </c>
      <c r="C205">
        <f t="shared" si="26"/>
        <v>0</v>
      </c>
      <c r="D205">
        <f t="shared" si="27"/>
        <v>185</v>
      </c>
      <c r="E205">
        <f t="shared" si="28"/>
        <v>0</v>
      </c>
      <c r="F205">
        <f t="shared" si="29"/>
        <v>0</v>
      </c>
      <c r="G205">
        <f t="shared" si="30"/>
        <v>20</v>
      </c>
      <c r="H205">
        <f t="shared" si="31"/>
        <v>20</v>
      </c>
      <c r="I205" t="str">
        <f t="shared" si="32"/>
        <v>SPRITE_ID_NEW_TRAIN</v>
      </c>
      <c r="U205"/>
      <c r="V205"/>
      <c r="W205"/>
    </row>
    <row r="206" spans="1:23">
      <c r="A206" s="2" t="s">
        <v>230</v>
      </c>
      <c r="B206">
        <f t="shared" si="25"/>
        <v>0</v>
      </c>
      <c r="C206">
        <f t="shared" si="26"/>
        <v>0</v>
      </c>
      <c r="D206">
        <f t="shared" si="27"/>
        <v>185</v>
      </c>
      <c r="E206">
        <f t="shared" si="28"/>
        <v>0</v>
      </c>
      <c r="F206">
        <f t="shared" si="29"/>
        <v>0</v>
      </c>
      <c r="G206">
        <f t="shared" si="30"/>
        <v>20</v>
      </c>
      <c r="H206">
        <f t="shared" si="31"/>
        <v>20</v>
      </c>
      <c r="I206" t="str">
        <f t="shared" si="32"/>
        <v>SPRITE_ID_NEW_TRAIN</v>
      </c>
      <c r="U206"/>
      <c r="V206"/>
      <c r="W206"/>
    </row>
    <row r="207" spans="1:23">
      <c r="A207" s="2" t="s">
        <v>231</v>
      </c>
      <c r="B207">
        <f t="shared" si="25"/>
        <v>0</v>
      </c>
      <c r="C207">
        <f t="shared" si="26"/>
        <v>0</v>
      </c>
      <c r="D207">
        <f t="shared" si="27"/>
        <v>185</v>
      </c>
      <c r="E207">
        <f t="shared" si="28"/>
        <v>0</v>
      </c>
      <c r="F207">
        <f t="shared" si="29"/>
        <v>0</v>
      </c>
      <c r="G207">
        <f t="shared" si="30"/>
        <v>20</v>
      </c>
      <c r="H207">
        <f t="shared" si="31"/>
        <v>20</v>
      </c>
      <c r="I207" t="str">
        <f t="shared" si="32"/>
        <v>SPRITE_ID_NEW_TRAIN</v>
      </c>
      <c r="U207"/>
      <c r="V207"/>
      <c r="W207"/>
    </row>
    <row r="208" spans="1:23">
      <c r="A208" s="2" t="s">
        <v>232</v>
      </c>
      <c r="B208">
        <f t="shared" si="25"/>
        <v>0</v>
      </c>
      <c r="C208">
        <f t="shared" si="26"/>
        <v>0</v>
      </c>
      <c r="D208">
        <f t="shared" si="27"/>
        <v>185</v>
      </c>
      <c r="E208">
        <f t="shared" si="28"/>
        <v>0</v>
      </c>
      <c r="F208">
        <f t="shared" si="29"/>
        <v>0</v>
      </c>
      <c r="G208">
        <f t="shared" si="30"/>
        <v>20</v>
      </c>
      <c r="H208">
        <f t="shared" si="31"/>
        <v>20</v>
      </c>
      <c r="I208" t="str">
        <f t="shared" si="32"/>
        <v>SPRITE_ID_NEW_TRAIN</v>
      </c>
      <c r="U208"/>
      <c r="V208"/>
      <c r="W208"/>
    </row>
    <row r="209" spans="1:23">
      <c r="A209" s="2" t="s">
        <v>233</v>
      </c>
      <c r="B209">
        <f t="shared" si="25"/>
        <v>0</v>
      </c>
      <c r="C209">
        <f t="shared" si="26"/>
        <v>0</v>
      </c>
      <c r="D209">
        <f t="shared" si="27"/>
        <v>185</v>
      </c>
      <c r="E209">
        <f t="shared" si="28"/>
        <v>0</v>
      </c>
      <c r="F209">
        <f t="shared" si="29"/>
        <v>0</v>
      </c>
      <c r="G209">
        <f t="shared" si="30"/>
        <v>20</v>
      </c>
      <c r="H209">
        <f t="shared" si="31"/>
        <v>20</v>
      </c>
      <c r="I209" t="str">
        <f t="shared" si="32"/>
        <v>SPRITE_ID_NEW_TRAIN</v>
      </c>
      <c r="U209"/>
      <c r="V209"/>
      <c r="W209"/>
    </row>
    <row r="210" spans="1:23">
      <c r="A210" s="2" t="s">
        <v>234</v>
      </c>
      <c r="B210">
        <f t="shared" si="25"/>
        <v>0</v>
      </c>
      <c r="C210">
        <f t="shared" si="26"/>
        <v>0</v>
      </c>
      <c r="D210">
        <f t="shared" si="27"/>
        <v>185</v>
      </c>
      <c r="E210">
        <f t="shared" si="28"/>
        <v>0</v>
      </c>
      <c r="F210">
        <f t="shared" si="29"/>
        <v>0</v>
      </c>
      <c r="G210">
        <f t="shared" si="30"/>
        <v>20</v>
      </c>
      <c r="H210">
        <f t="shared" si="31"/>
        <v>20</v>
      </c>
      <c r="I210" t="str">
        <f t="shared" si="32"/>
        <v>SPRITE_ID_NEW_TRAIN</v>
      </c>
      <c r="U210"/>
      <c r="V210"/>
      <c r="W210"/>
    </row>
    <row r="211" spans="1:23">
      <c r="A211" s="2" t="s">
        <v>235</v>
      </c>
      <c r="B211">
        <f t="shared" si="25"/>
        <v>0</v>
      </c>
      <c r="C211">
        <f t="shared" si="26"/>
        <v>0</v>
      </c>
      <c r="D211">
        <f t="shared" si="27"/>
        <v>185</v>
      </c>
      <c r="E211">
        <f t="shared" si="28"/>
        <v>0</v>
      </c>
      <c r="F211">
        <f t="shared" si="29"/>
        <v>0</v>
      </c>
      <c r="G211">
        <f t="shared" si="30"/>
        <v>20</v>
      </c>
      <c r="H211">
        <f t="shared" si="31"/>
        <v>20</v>
      </c>
      <c r="I211" t="str">
        <f t="shared" si="32"/>
        <v>SPRITE_ID_NEW_TRAIN</v>
      </c>
      <c r="U211"/>
      <c r="V211"/>
      <c r="W211"/>
    </row>
    <row r="212" spans="1:23">
      <c r="A212" s="2" t="s">
        <v>236</v>
      </c>
      <c r="B212">
        <f t="shared" si="25"/>
        <v>0</v>
      </c>
      <c r="C212">
        <f t="shared" si="26"/>
        <v>0</v>
      </c>
      <c r="D212">
        <f t="shared" si="27"/>
        <v>185</v>
      </c>
      <c r="E212">
        <f t="shared" si="28"/>
        <v>0</v>
      </c>
      <c r="F212">
        <f t="shared" si="29"/>
        <v>0</v>
      </c>
      <c r="G212">
        <f t="shared" si="30"/>
        <v>20</v>
      </c>
      <c r="H212">
        <f t="shared" si="31"/>
        <v>20</v>
      </c>
      <c r="I212" t="str">
        <f t="shared" si="32"/>
        <v>SPRITE_ID_NEW_TRAIN</v>
      </c>
      <c r="U212"/>
      <c r="V212"/>
      <c r="W212"/>
    </row>
    <row r="213" spans="1:23">
      <c r="A213" s="2" t="s">
        <v>237</v>
      </c>
      <c r="B213">
        <f t="shared" si="25"/>
        <v>0</v>
      </c>
      <c r="C213">
        <f t="shared" si="26"/>
        <v>0</v>
      </c>
      <c r="D213">
        <f t="shared" si="27"/>
        <v>185</v>
      </c>
      <c r="E213">
        <f t="shared" si="28"/>
        <v>0</v>
      </c>
      <c r="F213">
        <f t="shared" si="29"/>
        <v>0</v>
      </c>
      <c r="G213">
        <f t="shared" si="30"/>
        <v>20</v>
      </c>
      <c r="H213">
        <f t="shared" si="31"/>
        <v>20</v>
      </c>
      <c r="I213" t="str">
        <f t="shared" si="32"/>
        <v>SPRITE_ID_NEW_TRAIN</v>
      </c>
      <c r="U213"/>
      <c r="V213"/>
      <c r="W213"/>
    </row>
    <row r="214" spans="1:23">
      <c r="A214" s="2" t="s">
        <v>238</v>
      </c>
      <c r="B214">
        <f t="shared" si="25"/>
        <v>0</v>
      </c>
      <c r="C214">
        <f t="shared" si="26"/>
        <v>0</v>
      </c>
      <c r="D214">
        <f t="shared" si="27"/>
        <v>185</v>
      </c>
      <c r="E214">
        <f t="shared" si="28"/>
        <v>0</v>
      </c>
      <c r="F214">
        <f t="shared" si="29"/>
        <v>0</v>
      </c>
      <c r="G214">
        <f t="shared" si="30"/>
        <v>20</v>
      </c>
      <c r="H214">
        <f t="shared" si="31"/>
        <v>20</v>
      </c>
      <c r="I214" t="str">
        <f t="shared" si="32"/>
        <v>SPRITE_ID_NEW_TRAIN</v>
      </c>
      <c r="U214"/>
      <c r="V214"/>
      <c r="W214"/>
    </row>
    <row r="215" spans="1:23">
      <c r="A215" s="2" t="s">
        <v>936</v>
      </c>
      <c r="B215">
        <f t="shared" si="25"/>
        <v>0</v>
      </c>
      <c r="C215">
        <f t="shared" si="26"/>
        <v>0</v>
      </c>
      <c r="D215">
        <f t="shared" si="27"/>
        <v>185</v>
      </c>
      <c r="E215">
        <f t="shared" si="28"/>
        <v>0</v>
      </c>
      <c r="F215">
        <f t="shared" si="29"/>
        <v>0</v>
      </c>
      <c r="G215">
        <f t="shared" si="30"/>
        <v>20</v>
      </c>
      <c r="H215">
        <f t="shared" si="31"/>
        <v>20</v>
      </c>
      <c r="I215" t="str">
        <f t="shared" si="32"/>
        <v>SPRITE_ID_NEW_TRAIN</v>
      </c>
      <c r="U215"/>
      <c r="V215"/>
      <c r="W215"/>
    </row>
    <row r="216" spans="1:23">
      <c r="A216" s="2" t="s">
        <v>239</v>
      </c>
      <c r="B216">
        <f t="shared" si="25"/>
        <v>0</v>
      </c>
      <c r="C216">
        <f t="shared" si="26"/>
        <v>0</v>
      </c>
      <c r="D216">
        <f t="shared" si="27"/>
        <v>185</v>
      </c>
      <c r="E216">
        <f t="shared" si="28"/>
        <v>0</v>
      </c>
      <c r="F216">
        <f t="shared" si="29"/>
        <v>0</v>
      </c>
      <c r="G216">
        <f t="shared" si="30"/>
        <v>20</v>
      </c>
      <c r="H216">
        <f t="shared" si="31"/>
        <v>20</v>
      </c>
      <c r="I216" t="str">
        <f t="shared" si="32"/>
        <v>SPRITE_ID_NEW_TRAIN</v>
      </c>
      <c r="U216"/>
      <c r="V216"/>
      <c r="W216"/>
    </row>
    <row r="217" spans="1:23">
      <c r="A217" s="2" t="s">
        <v>240</v>
      </c>
      <c r="B217">
        <f t="shared" si="25"/>
        <v>0</v>
      </c>
      <c r="C217">
        <f t="shared" si="26"/>
        <v>0</v>
      </c>
      <c r="D217">
        <f t="shared" si="27"/>
        <v>185</v>
      </c>
      <c r="E217">
        <f t="shared" si="28"/>
        <v>0</v>
      </c>
      <c r="F217">
        <f t="shared" si="29"/>
        <v>0</v>
      </c>
      <c r="G217">
        <f t="shared" si="30"/>
        <v>20</v>
      </c>
      <c r="H217">
        <f t="shared" si="31"/>
        <v>20</v>
      </c>
      <c r="I217" t="str">
        <f t="shared" si="32"/>
        <v>SPRITE_ID_NEW_TRAIN</v>
      </c>
      <c r="U217"/>
      <c r="V217"/>
      <c r="W217"/>
    </row>
    <row r="218" spans="1:23">
      <c r="A218" s="2" t="s">
        <v>241</v>
      </c>
      <c r="B218">
        <f t="shared" si="25"/>
        <v>0</v>
      </c>
      <c r="C218">
        <f t="shared" si="26"/>
        <v>0</v>
      </c>
      <c r="D218">
        <f t="shared" si="27"/>
        <v>185</v>
      </c>
      <c r="E218">
        <f t="shared" si="28"/>
        <v>0</v>
      </c>
      <c r="F218">
        <f t="shared" si="29"/>
        <v>0</v>
      </c>
      <c r="G218">
        <f t="shared" si="30"/>
        <v>20</v>
      </c>
      <c r="H218">
        <f t="shared" si="31"/>
        <v>20</v>
      </c>
      <c r="I218" t="str">
        <f t="shared" si="32"/>
        <v>SPRITE_ID_NEW_TRAIN</v>
      </c>
      <c r="U218"/>
      <c r="V218"/>
      <c r="W218"/>
    </row>
    <row r="219" spans="1:23">
      <c r="A219" s="2" t="s">
        <v>242</v>
      </c>
      <c r="B219">
        <f t="shared" si="25"/>
        <v>0</v>
      </c>
      <c r="C219">
        <f t="shared" si="26"/>
        <v>0</v>
      </c>
      <c r="D219">
        <f t="shared" si="27"/>
        <v>185</v>
      </c>
      <c r="E219">
        <f t="shared" si="28"/>
        <v>0</v>
      </c>
      <c r="F219">
        <f t="shared" si="29"/>
        <v>0</v>
      </c>
      <c r="G219">
        <f t="shared" si="30"/>
        <v>20</v>
      </c>
      <c r="H219">
        <f t="shared" si="31"/>
        <v>20</v>
      </c>
      <c r="I219" t="str">
        <f t="shared" si="32"/>
        <v>SPRITE_ID_NEW_TRAIN</v>
      </c>
      <c r="U219"/>
      <c r="V219"/>
      <c r="W219"/>
    </row>
    <row r="220" spans="1:23">
      <c r="A220" s="2" t="s">
        <v>243</v>
      </c>
      <c r="B220">
        <f t="shared" si="25"/>
        <v>0</v>
      </c>
      <c r="C220">
        <f t="shared" si="26"/>
        <v>0</v>
      </c>
      <c r="D220">
        <f t="shared" si="27"/>
        <v>185</v>
      </c>
      <c r="E220">
        <f t="shared" si="28"/>
        <v>0</v>
      </c>
      <c r="F220">
        <f t="shared" si="29"/>
        <v>0</v>
      </c>
      <c r="G220">
        <f t="shared" si="30"/>
        <v>20</v>
      </c>
      <c r="H220">
        <f t="shared" si="31"/>
        <v>20</v>
      </c>
      <c r="I220" t="str">
        <f t="shared" si="32"/>
        <v>SPRITE_ID_NEW_TRAIN</v>
      </c>
      <c r="U220"/>
      <c r="V220"/>
      <c r="W220"/>
    </row>
    <row r="221" spans="1:23">
      <c r="A221" s="2" t="s">
        <v>244</v>
      </c>
      <c r="B221">
        <f t="shared" si="25"/>
        <v>0</v>
      </c>
      <c r="C221">
        <f t="shared" si="26"/>
        <v>0</v>
      </c>
      <c r="D221">
        <f t="shared" si="27"/>
        <v>185</v>
      </c>
      <c r="E221">
        <f t="shared" si="28"/>
        <v>0</v>
      </c>
      <c r="F221">
        <f t="shared" si="29"/>
        <v>0</v>
      </c>
      <c r="G221">
        <f t="shared" si="30"/>
        <v>20</v>
      </c>
      <c r="H221">
        <f t="shared" si="31"/>
        <v>20</v>
      </c>
      <c r="I221" t="str">
        <f t="shared" si="32"/>
        <v>SPRITE_ID_NEW_TRAIN</v>
      </c>
      <c r="U221"/>
      <c r="V221"/>
      <c r="W221"/>
    </row>
    <row r="222" spans="1:23">
      <c r="A222" s="2" t="s">
        <v>245</v>
      </c>
      <c r="B222">
        <f t="shared" si="25"/>
        <v>0</v>
      </c>
      <c r="C222">
        <f t="shared" si="26"/>
        <v>0</v>
      </c>
      <c r="D222">
        <f t="shared" si="27"/>
        <v>185</v>
      </c>
      <c r="E222">
        <f t="shared" si="28"/>
        <v>0</v>
      </c>
      <c r="F222">
        <f t="shared" si="29"/>
        <v>0</v>
      </c>
      <c r="G222">
        <f t="shared" si="30"/>
        <v>20</v>
      </c>
      <c r="H222">
        <f t="shared" si="31"/>
        <v>20</v>
      </c>
      <c r="I222" t="str">
        <f t="shared" si="32"/>
        <v>SPRITE_ID_NEW_TRAIN</v>
      </c>
      <c r="U222"/>
      <c r="V222"/>
      <c r="W222"/>
    </row>
    <row r="223" spans="1:23">
      <c r="A223" s="2" t="s">
        <v>246</v>
      </c>
      <c r="B223">
        <f t="shared" si="25"/>
        <v>0</v>
      </c>
      <c r="C223">
        <f t="shared" si="26"/>
        <v>0</v>
      </c>
      <c r="D223">
        <f t="shared" si="27"/>
        <v>185</v>
      </c>
      <c r="E223">
        <f t="shared" si="28"/>
        <v>0</v>
      </c>
      <c r="F223">
        <f t="shared" si="29"/>
        <v>0</v>
      </c>
      <c r="G223">
        <f t="shared" si="30"/>
        <v>20</v>
      </c>
      <c r="H223">
        <f t="shared" si="31"/>
        <v>20</v>
      </c>
      <c r="I223" t="str">
        <f t="shared" si="32"/>
        <v>SPRITE_ID_NEW_TRAIN</v>
      </c>
      <c r="U223"/>
      <c r="V223"/>
      <c r="W223"/>
    </row>
    <row r="224" spans="1:23">
      <c r="A224" s="2" t="s">
        <v>247</v>
      </c>
      <c r="B224">
        <f t="shared" si="25"/>
        <v>0</v>
      </c>
      <c r="C224">
        <f t="shared" si="26"/>
        <v>0</v>
      </c>
      <c r="D224">
        <f t="shared" si="27"/>
        <v>185</v>
      </c>
      <c r="E224">
        <f t="shared" si="28"/>
        <v>0</v>
      </c>
      <c r="F224">
        <f t="shared" si="29"/>
        <v>0</v>
      </c>
      <c r="G224">
        <f t="shared" si="30"/>
        <v>20</v>
      </c>
      <c r="H224">
        <f t="shared" si="31"/>
        <v>20</v>
      </c>
      <c r="I224" t="str">
        <f t="shared" si="32"/>
        <v>SPRITE_ID_NEW_TRAIN</v>
      </c>
      <c r="U224"/>
      <c r="V224"/>
      <c r="W224"/>
    </row>
    <row r="225" spans="1:23">
      <c r="A225" s="2" t="s">
        <v>248</v>
      </c>
      <c r="B225">
        <f t="shared" si="25"/>
        <v>0</v>
      </c>
      <c r="C225">
        <f t="shared" si="26"/>
        <v>0</v>
      </c>
      <c r="D225">
        <f t="shared" si="27"/>
        <v>185</v>
      </c>
      <c r="E225">
        <f t="shared" si="28"/>
        <v>0</v>
      </c>
      <c r="F225">
        <f t="shared" si="29"/>
        <v>0</v>
      </c>
      <c r="G225">
        <f t="shared" si="30"/>
        <v>20</v>
      </c>
      <c r="H225">
        <f t="shared" si="31"/>
        <v>20</v>
      </c>
      <c r="I225" t="str">
        <f t="shared" si="32"/>
        <v>SPRITE_ID_NEW_TRAIN</v>
      </c>
      <c r="U225"/>
      <c r="V225"/>
      <c r="W225"/>
    </row>
    <row r="226" spans="1:23">
      <c r="A226" s="2" t="s">
        <v>249</v>
      </c>
      <c r="B226">
        <f t="shared" si="25"/>
        <v>0</v>
      </c>
      <c r="C226">
        <f t="shared" si="26"/>
        <v>0</v>
      </c>
      <c r="D226">
        <f t="shared" si="27"/>
        <v>185</v>
      </c>
      <c r="E226">
        <f t="shared" si="28"/>
        <v>0</v>
      </c>
      <c r="F226">
        <f t="shared" si="29"/>
        <v>0</v>
      </c>
      <c r="G226">
        <f t="shared" si="30"/>
        <v>20</v>
      </c>
      <c r="H226">
        <f t="shared" si="31"/>
        <v>20</v>
      </c>
      <c r="I226" t="str">
        <f t="shared" si="32"/>
        <v>SPRITE_ID_NEW_TRAIN</v>
      </c>
      <c r="U226"/>
      <c r="V226"/>
      <c r="W226"/>
    </row>
    <row r="227" spans="1:23">
      <c r="A227" s="2" t="s">
        <v>250</v>
      </c>
      <c r="B227">
        <f t="shared" si="25"/>
        <v>0</v>
      </c>
      <c r="C227">
        <f t="shared" si="26"/>
        <v>0</v>
      </c>
      <c r="D227">
        <f t="shared" si="27"/>
        <v>185</v>
      </c>
      <c r="E227">
        <f t="shared" si="28"/>
        <v>0</v>
      </c>
      <c r="F227">
        <f t="shared" si="29"/>
        <v>0</v>
      </c>
      <c r="G227">
        <f t="shared" si="30"/>
        <v>20</v>
      </c>
      <c r="H227">
        <f t="shared" si="31"/>
        <v>20</v>
      </c>
      <c r="I227" t="str">
        <f t="shared" si="32"/>
        <v>SPRITE_ID_NEW_TRAIN</v>
      </c>
      <c r="U227"/>
      <c r="V227"/>
      <c r="W227"/>
    </row>
    <row r="228" spans="1:23">
      <c r="A228" s="2" t="s">
        <v>251</v>
      </c>
      <c r="B228">
        <f t="shared" si="25"/>
        <v>0</v>
      </c>
      <c r="C228">
        <f t="shared" si="26"/>
        <v>0</v>
      </c>
      <c r="D228">
        <f t="shared" si="27"/>
        <v>185</v>
      </c>
      <c r="E228">
        <f t="shared" si="28"/>
        <v>0</v>
      </c>
      <c r="F228">
        <f t="shared" si="29"/>
        <v>0</v>
      </c>
      <c r="G228">
        <f t="shared" si="30"/>
        <v>20</v>
      </c>
      <c r="H228">
        <f t="shared" si="31"/>
        <v>20</v>
      </c>
      <c r="I228" t="str">
        <f t="shared" si="32"/>
        <v>SPRITE_ID_NEW_TRAIN</v>
      </c>
      <c r="U228"/>
      <c r="V228"/>
      <c r="W228"/>
    </row>
    <row r="229" spans="1:23">
      <c r="A229" s="2" t="s">
        <v>252</v>
      </c>
      <c r="B229">
        <f t="shared" si="25"/>
        <v>0</v>
      </c>
      <c r="C229">
        <f t="shared" si="26"/>
        <v>0</v>
      </c>
      <c r="D229">
        <f t="shared" si="27"/>
        <v>185</v>
      </c>
      <c r="E229">
        <f t="shared" si="28"/>
        <v>0</v>
      </c>
      <c r="F229">
        <f t="shared" si="29"/>
        <v>0</v>
      </c>
      <c r="G229">
        <f t="shared" si="30"/>
        <v>20</v>
      </c>
      <c r="H229">
        <f t="shared" si="31"/>
        <v>20</v>
      </c>
      <c r="I229" t="str">
        <f t="shared" si="32"/>
        <v>SPRITE_ID_NEW_TRAIN</v>
      </c>
      <c r="U229"/>
      <c r="V229"/>
      <c r="W229"/>
    </row>
    <row r="230" spans="1:23">
      <c r="A230" s="2" t="s">
        <v>253</v>
      </c>
      <c r="B230">
        <f t="shared" si="25"/>
        <v>0</v>
      </c>
      <c r="C230">
        <f t="shared" si="26"/>
        <v>0</v>
      </c>
      <c r="D230">
        <f t="shared" si="27"/>
        <v>185</v>
      </c>
      <c r="E230">
        <f t="shared" si="28"/>
        <v>0</v>
      </c>
      <c r="F230">
        <f t="shared" si="29"/>
        <v>0</v>
      </c>
      <c r="G230">
        <f t="shared" si="30"/>
        <v>20</v>
      </c>
      <c r="H230">
        <f t="shared" si="31"/>
        <v>20</v>
      </c>
      <c r="I230" t="str">
        <f t="shared" si="32"/>
        <v>SPRITE_ID_NEW_TRAIN</v>
      </c>
      <c r="U230"/>
      <c r="V230"/>
      <c r="W230"/>
    </row>
    <row r="231" spans="1:23">
      <c r="A231" s="2" t="s">
        <v>254</v>
      </c>
      <c r="B231">
        <f t="shared" si="25"/>
        <v>0</v>
      </c>
      <c r="C231">
        <f t="shared" si="26"/>
        <v>0</v>
      </c>
      <c r="D231">
        <f t="shared" si="27"/>
        <v>185</v>
      </c>
      <c r="E231">
        <f t="shared" si="28"/>
        <v>0</v>
      </c>
      <c r="F231">
        <f t="shared" si="29"/>
        <v>0</v>
      </c>
      <c r="G231">
        <f t="shared" si="30"/>
        <v>20</v>
      </c>
      <c r="H231">
        <f t="shared" si="31"/>
        <v>20</v>
      </c>
      <c r="I231" t="str">
        <f t="shared" si="32"/>
        <v>SPRITE_ID_NEW_TRAIN</v>
      </c>
      <c r="U231"/>
      <c r="V231"/>
      <c r="W231"/>
    </row>
    <row r="232" spans="1:23">
      <c r="A232" s="2" t="s">
        <v>255</v>
      </c>
      <c r="B232">
        <f t="shared" si="25"/>
        <v>0</v>
      </c>
      <c r="C232">
        <f t="shared" si="26"/>
        <v>0</v>
      </c>
      <c r="D232">
        <f t="shared" si="27"/>
        <v>185</v>
      </c>
      <c r="E232">
        <f t="shared" si="28"/>
        <v>0</v>
      </c>
      <c r="F232">
        <f t="shared" si="29"/>
        <v>0</v>
      </c>
      <c r="G232">
        <f t="shared" si="30"/>
        <v>20</v>
      </c>
      <c r="H232">
        <f t="shared" si="31"/>
        <v>20</v>
      </c>
      <c r="I232" t="str">
        <f t="shared" si="32"/>
        <v>SPRITE_ID_NEW_TRAIN</v>
      </c>
      <c r="U232"/>
      <c r="V232"/>
      <c r="W232"/>
    </row>
    <row r="233" spans="1:23">
      <c r="A233" s="2" t="s">
        <v>256</v>
      </c>
      <c r="B233">
        <f t="shared" si="25"/>
        <v>0</v>
      </c>
      <c r="C233">
        <f t="shared" si="26"/>
        <v>0</v>
      </c>
      <c r="D233">
        <f t="shared" si="27"/>
        <v>185</v>
      </c>
      <c r="E233">
        <f t="shared" si="28"/>
        <v>0</v>
      </c>
      <c r="F233">
        <f t="shared" si="29"/>
        <v>0</v>
      </c>
      <c r="G233">
        <f t="shared" si="30"/>
        <v>20</v>
      </c>
      <c r="H233">
        <f t="shared" si="31"/>
        <v>20</v>
      </c>
      <c r="I233" t="str">
        <f t="shared" si="32"/>
        <v>SPRITE_ID_NEW_TRAIN</v>
      </c>
      <c r="U233"/>
      <c r="V233"/>
      <c r="W233"/>
    </row>
    <row r="234" spans="1:23">
      <c r="A234" s="2" t="s">
        <v>257</v>
      </c>
      <c r="B234">
        <f t="shared" si="25"/>
        <v>0</v>
      </c>
      <c r="C234">
        <f t="shared" si="26"/>
        <v>0</v>
      </c>
      <c r="D234">
        <f t="shared" si="27"/>
        <v>185</v>
      </c>
      <c r="E234">
        <f t="shared" si="28"/>
        <v>0</v>
      </c>
      <c r="F234">
        <f t="shared" si="29"/>
        <v>0</v>
      </c>
      <c r="G234">
        <f t="shared" si="30"/>
        <v>20</v>
      </c>
      <c r="H234">
        <f t="shared" si="31"/>
        <v>20</v>
      </c>
      <c r="I234" t="str">
        <f t="shared" si="32"/>
        <v>SPRITE_ID_NEW_TRAIN</v>
      </c>
      <c r="U234"/>
      <c r="V234"/>
      <c r="W234"/>
    </row>
    <row r="235" spans="1:23">
      <c r="A235" s="2" t="s">
        <v>258</v>
      </c>
      <c r="B235">
        <f t="shared" si="25"/>
        <v>0</v>
      </c>
      <c r="C235">
        <f t="shared" si="26"/>
        <v>0</v>
      </c>
      <c r="D235">
        <f t="shared" si="27"/>
        <v>185</v>
      </c>
      <c r="E235">
        <f t="shared" si="28"/>
        <v>0</v>
      </c>
      <c r="F235">
        <f t="shared" si="29"/>
        <v>0</v>
      </c>
      <c r="G235">
        <f t="shared" si="30"/>
        <v>20</v>
      </c>
      <c r="H235">
        <f t="shared" si="31"/>
        <v>20</v>
      </c>
      <c r="I235" t="str">
        <f t="shared" si="32"/>
        <v>SPRITE_ID_NEW_TRAIN</v>
      </c>
      <c r="U235"/>
      <c r="V235"/>
      <c r="W235"/>
    </row>
    <row r="236" spans="1:23">
      <c r="A236" s="2" t="s">
        <v>259</v>
      </c>
      <c r="B236">
        <f t="shared" si="25"/>
        <v>0</v>
      </c>
      <c r="C236">
        <f t="shared" si="26"/>
        <v>0</v>
      </c>
      <c r="D236">
        <f t="shared" si="27"/>
        <v>185</v>
      </c>
      <c r="E236">
        <f t="shared" si="28"/>
        <v>0</v>
      </c>
      <c r="F236">
        <f t="shared" si="29"/>
        <v>0</v>
      </c>
      <c r="G236">
        <f t="shared" si="30"/>
        <v>20</v>
      </c>
      <c r="H236">
        <f t="shared" si="31"/>
        <v>20</v>
      </c>
      <c r="I236" t="str">
        <f t="shared" si="32"/>
        <v>SPRITE_ID_NEW_TRAIN</v>
      </c>
      <c r="U236"/>
      <c r="V236"/>
      <c r="W236"/>
    </row>
    <row r="237" spans="1:23">
      <c r="A237" s="2" t="s">
        <v>260</v>
      </c>
      <c r="B237">
        <f t="shared" si="25"/>
        <v>0</v>
      </c>
      <c r="C237">
        <f t="shared" si="26"/>
        <v>0</v>
      </c>
      <c r="D237">
        <f t="shared" si="27"/>
        <v>185</v>
      </c>
      <c r="E237">
        <f t="shared" si="28"/>
        <v>0</v>
      </c>
      <c r="F237">
        <f t="shared" si="29"/>
        <v>0</v>
      </c>
      <c r="G237">
        <f t="shared" si="30"/>
        <v>20</v>
      </c>
      <c r="H237">
        <f t="shared" si="31"/>
        <v>20</v>
      </c>
      <c r="I237" t="str">
        <f t="shared" si="32"/>
        <v>SPRITE_ID_NEW_TRAIN</v>
      </c>
      <c r="U237"/>
      <c r="V237"/>
      <c r="W237"/>
    </row>
    <row r="238" spans="1:23">
      <c r="A238" s="2" t="s">
        <v>261</v>
      </c>
      <c r="B238">
        <f t="shared" si="25"/>
        <v>0</v>
      </c>
      <c r="C238">
        <f t="shared" si="26"/>
        <v>0</v>
      </c>
      <c r="D238">
        <f t="shared" si="27"/>
        <v>185</v>
      </c>
      <c r="E238">
        <f t="shared" si="28"/>
        <v>0</v>
      </c>
      <c r="F238">
        <f t="shared" si="29"/>
        <v>0</v>
      </c>
      <c r="G238">
        <f t="shared" si="30"/>
        <v>20</v>
      </c>
      <c r="H238">
        <f t="shared" si="31"/>
        <v>20</v>
      </c>
      <c r="I238" t="str">
        <f t="shared" si="32"/>
        <v>SPRITE_ID_NEW_TRAIN</v>
      </c>
      <c r="U238"/>
      <c r="V238"/>
      <c r="W238"/>
    </row>
    <row r="239" spans="1:23">
      <c r="A239" s="2" t="s">
        <v>262</v>
      </c>
      <c r="B239">
        <f t="shared" si="25"/>
        <v>0</v>
      </c>
      <c r="C239">
        <f t="shared" si="26"/>
        <v>0</v>
      </c>
      <c r="D239">
        <f t="shared" si="27"/>
        <v>185</v>
      </c>
      <c r="E239">
        <f t="shared" si="28"/>
        <v>0</v>
      </c>
      <c r="F239">
        <f t="shared" si="29"/>
        <v>0</v>
      </c>
      <c r="G239">
        <f t="shared" si="30"/>
        <v>20</v>
      </c>
      <c r="H239">
        <f t="shared" si="31"/>
        <v>20</v>
      </c>
      <c r="I239" t="str">
        <f t="shared" si="32"/>
        <v>SPRITE_ID_NEW_TRAIN</v>
      </c>
      <c r="U239"/>
      <c r="V239"/>
      <c r="W239"/>
    </row>
    <row r="240" spans="1:23">
      <c r="A240" s="2" t="s">
        <v>263</v>
      </c>
      <c r="B240">
        <f t="shared" si="25"/>
        <v>0</v>
      </c>
      <c r="C240">
        <f t="shared" si="26"/>
        <v>0</v>
      </c>
      <c r="D240">
        <f t="shared" si="27"/>
        <v>185</v>
      </c>
      <c r="E240">
        <f t="shared" si="28"/>
        <v>0</v>
      </c>
      <c r="F240">
        <f t="shared" si="29"/>
        <v>0</v>
      </c>
      <c r="G240">
        <f t="shared" si="30"/>
        <v>20</v>
      </c>
      <c r="H240">
        <f t="shared" si="31"/>
        <v>20</v>
      </c>
      <c r="I240" t="str">
        <f t="shared" si="32"/>
        <v>SPRITE_ID_NEW_TRAIN</v>
      </c>
      <c r="U240"/>
      <c r="V240"/>
      <c r="W240"/>
    </row>
    <row r="241" spans="1:23">
      <c r="A241" s="2" t="s">
        <v>264</v>
      </c>
      <c r="B241">
        <f t="shared" si="25"/>
        <v>0</v>
      </c>
      <c r="C241">
        <f t="shared" si="26"/>
        <v>0</v>
      </c>
      <c r="D241">
        <f t="shared" si="27"/>
        <v>185</v>
      </c>
      <c r="E241">
        <f t="shared" si="28"/>
        <v>0</v>
      </c>
      <c r="F241">
        <f t="shared" si="29"/>
        <v>0</v>
      </c>
      <c r="G241">
        <f t="shared" si="30"/>
        <v>20</v>
      </c>
      <c r="H241">
        <f t="shared" si="31"/>
        <v>20</v>
      </c>
      <c r="I241" t="str">
        <f t="shared" si="32"/>
        <v>SPRITE_ID_NEW_TRAIN</v>
      </c>
      <c r="U241"/>
      <c r="V241"/>
      <c r="W241"/>
    </row>
    <row r="242" spans="1:23">
      <c r="A242" s="2" t="s">
        <v>265</v>
      </c>
      <c r="B242">
        <f t="shared" si="25"/>
        <v>0</v>
      </c>
      <c r="C242">
        <f t="shared" si="26"/>
        <v>0</v>
      </c>
      <c r="D242">
        <f t="shared" si="27"/>
        <v>185</v>
      </c>
      <c r="E242">
        <f t="shared" si="28"/>
        <v>0</v>
      </c>
      <c r="F242">
        <f t="shared" si="29"/>
        <v>0</v>
      </c>
      <c r="G242">
        <f t="shared" si="30"/>
        <v>20</v>
      </c>
      <c r="H242">
        <f t="shared" si="31"/>
        <v>20</v>
      </c>
      <c r="I242" t="str">
        <f t="shared" si="32"/>
        <v>SPRITE_ID_NEW_TRAIN</v>
      </c>
      <c r="U242"/>
      <c r="V242"/>
      <c r="W242"/>
    </row>
    <row r="243" spans="1:23">
      <c r="A243" s="2" t="s">
        <v>266</v>
      </c>
      <c r="B243">
        <f t="shared" si="25"/>
        <v>0</v>
      </c>
      <c r="C243">
        <f t="shared" si="26"/>
        <v>0</v>
      </c>
      <c r="D243">
        <f t="shared" si="27"/>
        <v>185</v>
      </c>
      <c r="E243">
        <f t="shared" si="28"/>
        <v>0</v>
      </c>
      <c r="F243">
        <f t="shared" si="29"/>
        <v>0</v>
      </c>
      <c r="G243">
        <f t="shared" si="30"/>
        <v>20</v>
      </c>
      <c r="H243">
        <f t="shared" si="31"/>
        <v>20</v>
      </c>
      <c r="I243" t="str">
        <f t="shared" si="32"/>
        <v>SPRITE_ID_NEW_TRAIN</v>
      </c>
      <c r="U243"/>
      <c r="V243"/>
      <c r="W243"/>
    </row>
    <row r="244" spans="1:23">
      <c r="A244" s="2" t="s">
        <v>267</v>
      </c>
      <c r="B244">
        <f t="shared" si="25"/>
        <v>0</v>
      </c>
      <c r="C244">
        <f t="shared" si="26"/>
        <v>0</v>
      </c>
      <c r="D244">
        <f t="shared" si="27"/>
        <v>185</v>
      </c>
      <c r="E244">
        <f t="shared" si="28"/>
        <v>0</v>
      </c>
      <c r="F244">
        <f t="shared" si="29"/>
        <v>0</v>
      </c>
      <c r="G244">
        <f t="shared" si="30"/>
        <v>20</v>
      </c>
      <c r="H244">
        <f t="shared" si="31"/>
        <v>20</v>
      </c>
      <c r="I244" t="str">
        <f t="shared" si="32"/>
        <v>SPRITE_ID_NEW_TRAIN</v>
      </c>
      <c r="U244"/>
      <c r="V244"/>
      <c r="W244"/>
    </row>
    <row r="245" spans="1:23">
      <c r="A245" s="2" t="s">
        <v>268</v>
      </c>
      <c r="B245">
        <f t="shared" si="25"/>
        <v>0</v>
      </c>
      <c r="C245">
        <f t="shared" si="26"/>
        <v>0</v>
      </c>
      <c r="D245">
        <f t="shared" si="27"/>
        <v>185</v>
      </c>
      <c r="E245">
        <f t="shared" si="28"/>
        <v>0</v>
      </c>
      <c r="F245">
        <f t="shared" si="29"/>
        <v>0</v>
      </c>
      <c r="G245">
        <f t="shared" si="30"/>
        <v>20</v>
      </c>
      <c r="H245">
        <f t="shared" si="31"/>
        <v>20</v>
      </c>
      <c r="I245" t="str">
        <f t="shared" si="32"/>
        <v>SPRITE_ID_NEW_TRAIN</v>
      </c>
      <c r="U245"/>
      <c r="V245"/>
      <c r="W245"/>
    </row>
    <row r="246" spans="1:23">
      <c r="A246" s="2" t="s">
        <v>269</v>
      </c>
      <c r="B246">
        <f t="shared" si="25"/>
        <v>0</v>
      </c>
      <c r="C246">
        <f t="shared" si="26"/>
        <v>0</v>
      </c>
      <c r="D246">
        <f t="shared" si="27"/>
        <v>185</v>
      </c>
      <c r="E246">
        <f t="shared" si="28"/>
        <v>0</v>
      </c>
      <c r="F246">
        <f t="shared" si="29"/>
        <v>0</v>
      </c>
      <c r="G246">
        <f t="shared" si="30"/>
        <v>20</v>
      </c>
      <c r="H246">
        <f t="shared" si="31"/>
        <v>20</v>
      </c>
      <c r="I246" t="str">
        <f t="shared" si="32"/>
        <v>SPRITE_ID_NEW_TRAIN</v>
      </c>
      <c r="U246"/>
      <c r="V246"/>
      <c r="W246"/>
    </row>
    <row r="247" spans="1:23">
      <c r="A247" s="2" t="s">
        <v>270</v>
      </c>
      <c r="B247">
        <f t="shared" si="25"/>
        <v>0</v>
      </c>
      <c r="C247">
        <f t="shared" si="26"/>
        <v>0</v>
      </c>
      <c r="D247">
        <f t="shared" si="27"/>
        <v>185</v>
      </c>
      <c r="E247">
        <f t="shared" si="28"/>
        <v>0</v>
      </c>
      <c r="F247">
        <f t="shared" si="29"/>
        <v>0</v>
      </c>
      <c r="G247">
        <f t="shared" si="30"/>
        <v>20</v>
      </c>
      <c r="H247">
        <f t="shared" si="31"/>
        <v>20</v>
      </c>
      <c r="I247" t="str">
        <f t="shared" si="32"/>
        <v>SPRITE_ID_NEW_TRAIN</v>
      </c>
      <c r="U247"/>
      <c r="V247"/>
      <c r="W247"/>
    </row>
    <row r="248" spans="1:23">
      <c r="A248" s="2" t="s">
        <v>271</v>
      </c>
      <c r="B248">
        <f t="shared" si="25"/>
        <v>0</v>
      </c>
      <c r="C248">
        <f t="shared" si="26"/>
        <v>0</v>
      </c>
      <c r="D248">
        <f t="shared" si="27"/>
        <v>185</v>
      </c>
      <c r="E248">
        <f t="shared" si="28"/>
        <v>0</v>
      </c>
      <c r="F248">
        <f t="shared" si="29"/>
        <v>0</v>
      </c>
      <c r="G248">
        <f t="shared" si="30"/>
        <v>20</v>
      </c>
      <c r="H248">
        <f t="shared" si="31"/>
        <v>20</v>
      </c>
      <c r="I248" t="str">
        <f t="shared" si="32"/>
        <v>SPRITE_ID_NEW_TRAIN</v>
      </c>
      <c r="U248"/>
      <c r="V248"/>
      <c r="W248"/>
    </row>
    <row r="249" spans="1:23">
      <c r="A249" s="2" t="s">
        <v>272</v>
      </c>
      <c r="B249">
        <f t="shared" si="25"/>
        <v>0</v>
      </c>
      <c r="C249">
        <f t="shared" si="26"/>
        <v>0</v>
      </c>
      <c r="D249">
        <f t="shared" si="27"/>
        <v>185</v>
      </c>
      <c r="E249">
        <f t="shared" si="28"/>
        <v>0</v>
      </c>
      <c r="F249">
        <f t="shared" si="29"/>
        <v>0</v>
      </c>
      <c r="G249">
        <f t="shared" si="30"/>
        <v>20</v>
      </c>
      <c r="H249">
        <f t="shared" si="31"/>
        <v>20</v>
      </c>
      <c r="I249" t="str">
        <f t="shared" si="32"/>
        <v>SPRITE_ID_NEW_TRAIN</v>
      </c>
      <c r="U249"/>
      <c r="V249"/>
      <c r="W249"/>
    </row>
    <row r="250" spans="1:23">
      <c r="A250" s="2" t="s">
        <v>273</v>
      </c>
      <c r="B250">
        <f t="shared" si="25"/>
        <v>0</v>
      </c>
      <c r="C250">
        <f t="shared" si="26"/>
        <v>0</v>
      </c>
      <c r="D250">
        <f t="shared" si="27"/>
        <v>185</v>
      </c>
      <c r="E250">
        <f t="shared" si="28"/>
        <v>0</v>
      </c>
      <c r="F250">
        <f t="shared" si="29"/>
        <v>0</v>
      </c>
      <c r="G250">
        <f t="shared" si="30"/>
        <v>20</v>
      </c>
      <c r="H250">
        <f t="shared" si="31"/>
        <v>20</v>
      </c>
      <c r="I250" t="str">
        <f t="shared" si="32"/>
        <v>SPRITE_ID_NEW_TRAIN</v>
      </c>
      <c r="U250"/>
      <c r="V250"/>
      <c r="W250"/>
    </row>
    <row r="251" spans="1:23">
      <c r="A251" s="2" t="s">
        <v>274</v>
      </c>
      <c r="B251">
        <f t="shared" si="25"/>
        <v>0</v>
      </c>
      <c r="C251">
        <f t="shared" si="26"/>
        <v>0</v>
      </c>
      <c r="D251">
        <f t="shared" si="27"/>
        <v>185</v>
      </c>
      <c r="E251">
        <f t="shared" si="28"/>
        <v>0</v>
      </c>
      <c r="F251">
        <f t="shared" si="29"/>
        <v>0</v>
      </c>
      <c r="G251">
        <f t="shared" si="30"/>
        <v>20</v>
      </c>
      <c r="H251">
        <f t="shared" si="31"/>
        <v>20</v>
      </c>
      <c r="I251" t="str">
        <f t="shared" si="32"/>
        <v>SPRITE_ID_NEW_TRAIN</v>
      </c>
      <c r="U251"/>
      <c r="V251"/>
      <c r="W251"/>
    </row>
    <row r="252" spans="1:23">
      <c r="A252" s="2" t="s">
        <v>275</v>
      </c>
      <c r="B252">
        <f t="shared" si="25"/>
        <v>0</v>
      </c>
      <c r="C252">
        <f t="shared" si="26"/>
        <v>0</v>
      </c>
      <c r="D252">
        <f t="shared" si="27"/>
        <v>185</v>
      </c>
      <c r="E252">
        <f t="shared" si="28"/>
        <v>0</v>
      </c>
      <c r="F252">
        <f t="shared" si="29"/>
        <v>0</v>
      </c>
      <c r="G252">
        <f t="shared" si="30"/>
        <v>20</v>
      </c>
      <c r="H252">
        <f t="shared" si="31"/>
        <v>20</v>
      </c>
      <c r="I252" t="str">
        <f t="shared" si="32"/>
        <v>SPRITE_ID_NEW_TRAIN</v>
      </c>
      <c r="U252"/>
      <c r="V252"/>
      <c r="W252"/>
    </row>
    <row r="253" spans="1:23">
      <c r="A253" s="2" t="s">
        <v>276</v>
      </c>
      <c r="B253">
        <f t="shared" si="25"/>
        <v>0</v>
      </c>
      <c r="C253">
        <f t="shared" si="26"/>
        <v>0</v>
      </c>
      <c r="D253">
        <f t="shared" si="27"/>
        <v>185</v>
      </c>
      <c r="E253">
        <f t="shared" si="28"/>
        <v>0</v>
      </c>
      <c r="F253">
        <f t="shared" si="29"/>
        <v>0</v>
      </c>
      <c r="G253">
        <f t="shared" si="30"/>
        <v>20</v>
      </c>
      <c r="H253">
        <f t="shared" si="31"/>
        <v>20</v>
      </c>
      <c r="I253" t="str">
        <f t="shared" si="32"/>
        <v>SPRITE_ID_NEW_TRAIN</v>
      </c>
      <c r="U253"/>
      <c r="V253"/>
      <c r="W253"/>
    </row>
    <row r="254" spans="1:23">
      <c r="A254" s="2" t="s">
        <v>277</v>
      </c>
      <c r="B254">
        <f t="shared" si="25"/>
        <v>0</v>
      </c>
      <c r="C254">
        <f t="shared" si="26"/>
        <v>0</v>
      </c>
      <c r="D254">
        <f t="shared" si="27"/>
        <v>185</v>
      </c>
      <c r="E254">
        <f t="shared" si="28"/>
        <v>0</v>
      </c>
      <c r="F254">
        <f t="shared" si="29"/>
        <v>0</v>
      </c>
      <c r="G254">
        <f t="shared" si="30"/>
        <v>20</v>
      </c>
      <c r="H254">
        <f t="shared" si="31"/>
        <v>20</v>
      </c>
      <c r="I254" t="str">
        <f t="shared" si="32"/>
        <v>SPRITE_ID_NEW_TRAIN</v>
      </c>
      <c r="U254"/>
      <c r="V254"/>
      <c r="W254"/>
    </row>
    <row r="255" spans="1:23">
      <c r="A255" s="2" t="s">
        <v>278</v>
      </c>
      <c r="B255">
        <f t="shared" si="25"/>
        <v>0</v>
      </c>
      <c r="C255">
        <f t="shared" si="26"/>
        <v>0</v>
      </c>
      <c r="D255">
        <f t="shared" si="27"/>
        <v>185</v>
      </c>
      <c r="E255">
        <f t="shared" si="28"/>
        <v>0</v>
      </c>
      <c r="F255">
        <f t="shared" si="29"/>
        <v>0</v>
      </c>
      <c r="G255">
        <f t="shared" si="30"/>
        <v>20</v>
      </c>
      <c r="H255">
        <f t="shared" si="31"/>
        <v>20</v>
      </c>
      <c r="I255" t="str">
        <f t="shared" si="32"/>
        <v>SPRITE_ID_NEW_TRAIN</v>
      </c>
      <c r="U255"/>
      <c r="V255"/>
      <c r="W255"/>
    </row>
    <row r="256" spans="1:23">
      <c r="A256" s="2" t="s">
        <v>279</v>
      </c>
      <c r="B256">
        <f t="shared" si="25"/>
        <v>0</v>
      </c>
      <c r="C256">
        <f t="shared" si="26"/>
        <v>0</v>
      </c>
      <c r="D256">
        <f t="shared" si="27"/>
        <v>185</v>
      </c>
      <c r="E256">
        <f t="shared" si="28"/>
        <v>0</v>
      </c>
      <c r="F256">
        <f t="shared" si="29"/>
        <v>0</v>
      </c>
      <c r="G256">
        <f t="shared" si="30"/>
        <v>20</v>
      </c>
      <c r="H256">
        <f t="shared" si="31"/>
        <v>20</v>
      </c>
      <c r="I256" t="str">
        <f t="shared" si="32"/>
        <v>SPRITE_ID_NEW_TRAIN</v>
      </c>
      <c r="U256"/>
      <c r="V256"/>
      <c r="W256"/>
    </row>
    <row r="257" spans="1:23">
      <c r="A257" s="2" t="s">
        <v>280</v>
      </c>
      <c r="B257">
        <f t="shared" si="25"/>
        <v>0</v>
      </c>
      <c r="C257">
        <f t="shared" si="26"/>
        <v>0</v>
      </c>
      <c r="D257">
        <f t="shared" si="27"/>
        <v>185</v>
      </c>
      <c r="E257">
        <f t="shared" si="28"/>
        <v>0</v>
      </c>
      <c r="F257">
        <f t="shared" si="29"/>
        <v>0</v>
      </c>
      <c r="G257">
        <f t="shared" si="30"/>
        <v>20</v>
      </c>
      <c r="H257">
        <f t="shared" si="31"/>
        <v>20</v>
      </c>
      <c r="I257" t="str">
        <f t="shared" si="32"/>
        <v>SPRITE_ID_NEW_TRAIN</v>
      </c>
      <c r="U257"/>
      <c r="V257"/>
      <c r="W257"/>
    </row>
    <row r="258" spans="1:23">
      <c r="A258" s="2" t="s">
        <v>281</v>
      </c>
      <c r="B258">
        <f t="shared" si="25"/>
        <v>0</v>
      </c>
      <c r="C258">
        <f t="shared" si="26"/>
        <v>0</v>
      </c>
      <c r="D258">
        <f t="shared" si="27"/>
        <v>185</v>
      </c>
      <c r="E258">
        <f t="shared" si="28"/>
        <v>0</v>
      </c>
      <c r="F258">
        <f t="shared" si="29"/>
        <v>0</v>
      </c>
      <c r="G258">
        <f t="shared" si="30"/>
        <v>20</v>
      </c>
      <c r="H258">
        <f t="shared" si="31"/>
        <v>20</v>
      </c>
      <c r="I258" t="str">
        <f t="shared" si="32"/>
        <v>SPRITE_ID_NEW_TRAIN</v>
      </c>
      <c r="U258"/>
      <c r="V258"/>
      <c r="W258"/>
    </row>
    <row r="259" spans="1:23">
      <c r="A259" s="2" t="s">
        <v>282</v>
      </c>
      <c r="B259">
        <f t="shared" si="25"/>
        <v>0</v>
      </c>
      <c r="C259">
        <f t="shared" si="26"/>
        <v>0</v>
      </c>
      <c r="D259">
        <f t="shared" si="27"/>
        <v>185</v>
      </c>
      <c r="E259">
        <f t="shared" si="28"/>
        <v>0</v>
      </c>
      <c r="F259">
        <f t="shared" si="29"/>
        <v>0</v>
      </c>
      <c r="G259">
        <f t="shared" si="30"/>
        <v>20</v>
      </c>
      <c r="H259">
        <f t="shared" si="31"/>
        <v>20</v>
      </c>
      <c r="I259" t="str">
        <f t="shared" si="32"/>
        <v>SPRITE_ID_NEW_TRAIN</v>
      </c>
      <c r="U259"/>
      <c r="V259"/>
      <c r="W259"/>
    </row>
    <row r="260" spans="1:23">
      <c r="A260" s="2" t="s">
        <v>283</v>
      </c>
      <c r="B260">
        <f t="shared" ref="B260:B323" si="33">B259</f>
        <v>0</v>
      </c>
      <c r="C260">
        <f t="shared" ref="C260:C323" si="34">C259</f>
        <v>0</v>
      </c>
      <c r="D260">
        <f t="shared" ref="D260:D323" si="35">D259</f>
        <v>185</v>
      </c>
      <c r="E260">
        <f t="shared" ref="E260:E323" si="36">E259</f>
        <v>0</v>
      </c>
      <c r="F260">
        <f t="shared" ref="F260:F323" si="37">F259</f>
        <v>0</v>
      </c>
      <c r="G260">
        <f t="shared" ref="G260:G323" si="38">G259</f>
        <v>20</v>
      </c>
      <c r="H260">
        <f t="shared" ref="H260:H323" si="39">H259</f>
        <v>20</v>
      </c>
      <c r="I260" t="str">
        <f t="shared" ref="I260:I323" si="40">I259</f>
        <v>SPRITE_ID_NEW_TRAIN</v>
      </c>
      <c r="U260"/>
      <c r="V260"/>
      <c r="W260"/>
    </row>
    <row r="261" spans="1:23">
      <c r="A261" s="2" t="s">
        <v>284</v>
      </c>
      <c r="B261">
        <f t="shared" si="33"/>
        <v>0</v>
      </c>
      <c r="C261">
        <f t="shared" si="34"/>
        <v>0</v>
      </c>
      <c r="D261">
        <f t="shared" si="35"/>
        <v>185</v>
      </c>
      <c r="E261">
        <f t="shared" si="36"/>
        <v>0</v>
      </c>
      <c r="F261">
        <f t="shared" si="37"/>
        <v>0</v>
      </c>
      <c r="G261">
        <f t="shared" si="38"/>
        <v>20</v>
      </c>
      <c r="H261">
        <f t="shared" si="39"/>
        <v>20</v>
      </c>
      <c r="I261" t="str">
        <f t="shared" si="40"/>
        <v>SPRITE_ID_NEW_TRAIN</v>
      </c>
      <c r="U261"/>
      <c r="V261"/>
      <c r="W261"/>
    </row>
    <row r="262" spans="1:23">
      <c r="A262" s="2" t="s">
        <v>285</v>
      </c>
      <c r="B262">
        <f t="shared" si="33"/>
        <v>0</v>
      </c>
      <c r="C262">
        <f t="shared" si="34"/>
        <v>0</v>
      </c>
      <c r="D262">
        <f t="shared" si="35"/>
        <v>185</v>
      </c>
      <c r="E262">
        <f t="shared" si="36"/>
        <v>0</v>
      </c>
      <c r="F262">
        <f t="shared" si="37"/>
        <v>0</v>
      </c>
      <c r="G262">
        <f t="shared" si="38"/>
        <v>20</v>
      </c>
      <c r="H262">
        <f t="shared" si="39"/>
        <v>20</v>
      </c>
      <c r="I262" t="str">
        <f t="shared" si="40"/>
        <v>SPRITE_ID_NEW_TRAIN</v>
      </c>
      <c r="U262"/>
      <c r="V262"/>
      <c r="W262"/>
    </row>
    <row r="263" spans="1:23">
      <c r="A263" s="2" t="s">
        <v>286</v>
      </c>
      <c r="B263">
        <f t="shared" si="33"/>
        <v>0</v>
      </c>
      <c r="C263">
        <f t="shared" si="34"/>
        <v>0</v>
      </c>
      <c r="D263">
        <f t="shared" si="35"/>
        <v>185</v>
      </c>
      <c r="E263">
        <f t="shared" si="36"/>
        <v>0</v>
      </c>
      <c r="F263">
        <f t="shared" si="37"/>
        <v>0</v>
      </c>
      <c r="G263">
        <f t="shared" si="38"/>
        <v>20</v>
      </c>
      <c r="H263">
        <f t="shared" si="39"/>
        <v>20</v>
      </c>
      <c r="I263" t="str">
        <f t="shared" si="40"/>
        <v>SPRITE_ID_NEW_TRAIN</v>
      </c>
      <c r="U263"/>
      <c r="V263"/>
      <c r="W263"/>
    </row>
    <row r="264" spans="1:23">
      <c r="A264" s="2" t="s">
        <v>287</v>
      </c>
      <c r="B264">
        <f t="shared" si="33"/>
        <v>0</v>
      </c>
      <c r="C264">
        <f t="shared" si="34"/>
        <v>0</v>
      </c>
      <c r="D264">
        <f t="shared" si="35"/>
        <v>185</v>
      </c>
      <c r="E264">
        <f t="shared" si="36"/>
        <v>0</v>
      </c>
      <c r="F264">
        <f t="shared" si="37"/>
        <v>0</v>
      </c>
      <c r="G264">
        <f t="shared" si="38"/>
        <v>20</v>
      </c>
      <c r="H264">
        <f t="shared" si="39"/>
        <v>20</v>
      </c>
      <c r="I264" t="str">
        <f t="shared" si="40"/>
        <v>SPRITE_ID_NEW_TRAIN</v>
      </c>
      <c r="U264"/>
      <c r="V264"/>
      <c r="W264"/>
    </row>
    <row r="265" spans="1:23">
      <c r="A265" s="2" t="s">
        <v>288</v>
      </c>
      <c r="B265">
        <f t="shared" si="33"/>
        <v>0</v>
      </c>
      <c r="C265">
        <f t="shared" si="34"/>
        <v>0</v>
      </c>
      <c r="D265">
        <f t="shared" si="35"/>
        <v>185</v>
      </c>
      <c r="E265">
        <f t="shared" si="36"/>
        <v>0</v>
      </c>
      <c r="F265">
        <f t="shared" si="37"/>
        <v>0</v>
      </c>
      <c r="G265">
        <f t="shared" si="38"/>
        <v>20</v>
      </c>
      <c r="H265">
        <f t="shared" si="39"/>
        <v>20</v>
      </c>
      <c r="I265" t="str">
        <f t="shared" si="40"/>
        <v>SPRITE_ID_NEW_TRAIN</v>
      </c>
      <c r="U265"/>
      <c r="V265"/>
      <c r="W265"/>
    </row>
    <row r="266" spans="1:23">
      <c r="A266" s="2" t="s">
        <v>289</v>
      </c>
      <c r="B266">
        <f t="shared" si="33"/>
        <v>0</v>
      </c>
      <c r="C266">
        <f t="shared" si="34"/>
        <v>0</v>
      </c>
      <c r="D266">
        <f t="shared" si="35"/>
        <v>185</v>
      </c>
      <c r="E266">
        <f t="shared" si="36"/>
        <v>0</v>
      </c>
      <c r="F266">
        <f t="shared" si="37"/>
        <v>0</v>
      </c>
      <c r="G266">
        <f t="shared" si="38"/>
        <v>20</v>
      </c>
      <c r="H266">
        <f t="shared" si="39"/>
        <v>20</v>
      </c>
      <c r="I266" t="str">
        <f t="shared" si="40"/>
        <v>SPRITE_ID_NEW_TRAIN</v>
      </c>
      <c r="U266"/>
      <c r="V266"/>
      <c r="W266"/>
    </row>
    <row r="267" spans="1:23">
      <c r="A267" s="2" t="s">
        <v>290</v>
      </c>
      <c r="B267">
        <f t="shared" si="33"/>
        <v>0</v>
      </c>
      <c r="C267">
        <f t="shared" si="34"/>
        <v>0</v>
      </c>
      <c r="D267">
        <f t="shared" si="35"/>
        <v>185</v>
      </c>
      <c r="E267">
        <f t="shared" si="36"/>
        <v>0</v>
      </c>
      <c r="F267">
        <f t="shared" si="37"/>
        <v>0</v>
      </c>
      <c r="G267">
        <f t="shared" si="38"/>
        <v>20</v>
      </c>
      <c r="H267">
        <f t="shared" si="39"/>
        <v>20</v>
      </c>
      <c r="I267" t="str">
        <f t="shared" si="40"/>
        <v>SPRITE_ID_NEW_TRAIN</v>
      </c>
      <c r="U267"/>
      <c r="V267"/>
      <c r="W267"/>
    </row>
    <row r="268" spans="1:23">
      <c r="A268" s="2" t="s">
        <v>291</v>
      </c>
      <c r="B268">
        <f t="shared" si="33"/>
        <v>0</v>
      </c>
      <c r="C268">
        <f t="shared" si="34"/>
        <v>0</v>
      </c>
      <c r="D268">
        <f t="shared" si="35"/>
        <v>185</v>
      </c>
      <c r="E268">
        <f t="shared" si="36"/>
        <v>0</v>
      </c>
      <c r="F268">
        <f t="shared" si="37"/>
        <v>0</v>
      </c>
      <c r="G268">
        <f t="shared" si="38"/>
        <v>20</v>
      </c>
      <c r="H268">
        <f t="shared" si="39"/>
        <v>20</v>
      </c>
      <c r="I268" t="str">
        <f t="shared" si="40"/>
        <v>SPRITE_ID_NEW_TRAIN</v>
      </c>
      <c r="U268"/>
      <c r="V268"/>
      <c r="W268"/>
    </row>
    <row r="269" spans="1:23">
      <c r="A269" s="2" t="s">
        <v>292</v>
      </c>
      <c r="B269">
        <f t="shared" si="33"/>
        <v>0</v>
      </c>
      <c r="C269">
        <f t="shared" si="34"/>
        <v>0</v>
      </c>
      <c r="D269">
        <f t="shared" si="35"/>
        <v>185</v>
      </c>
      <c r="E269">
        <f t="shared" si="36"/>
        <v>0</v>
      </c>
      <c r="F269">
        <f t="shared" si="37"/>
        <v>0</v>
      </c>
      <c r="G269">
        <f t="shared" si="38"/>
        <v>20</v>
      </c>
      <c r="H269">
        <f t="shared" si="39"/>
        <v>20</v>
      </c>
      <c r="I269" t="str">
        <f t="shared" si="40"/>
        <v>SPRITE_ID_NEW_TRAIN</v>
      </c>
      <c r="U269"/>
      <c r="V269"/>
      <c r="W269"/>
    </row>
    <row r="270" spans="1:23">
      <c r="A270" s="2" t="s">
        <v>293</v>
      </c>
      <c r="B270">
        <f t="shared" si="33"/>
        <v>0</v>
      </c>
      <c r="C270">
        <f t="shared" si="34"/>
        <v>0</v>
      </c>
      <c r="D270">
        <f t="shared" si="35"/>
        <v>185</v>
      </c>
      <c r="E270">
        <f t="shared" si="36"/>
        <v>0</v>
      </c>
      <c r="F270">
        <f t="shared" si="37"/>
        <v>0</v>
      </c>
      <c r="G270">
        <f t="shared" si="38"/>
        <v>20</v>
      </c>
      <c r="H270">
        <f t="shared" si="39"/>
        <v>20</v>
      </c>
      <c r="I270" t="str">
        <f t="shared" si="40"/>
        <v>SPRITE_ID_NEW_TRAIN</v>
      </c>
      <c r="U270"/>
      <c r="V270"/>
      <c r="W270"/>
    </row>
    <row r="271" spans="1:23">
      <c r="A271" s="2" t="s">
        <v>294</v>
      </c>
      <c r="B271">
        <f t="shared" si="33"/>
        <v>0</v>
      </c>
      <c r="C271">
        <f t="shared" si="34"/>
        <v>0</v>
      </c>
      <c r="D271">
        <f t="shared" si="35"/>
        <v>185</v>
      </c>
      <c r="E271">
        <f t="shared" si="36"/>
        <v>0</v>
      </c>
      <c r="F271">
        <f t="shared" si="37"/>
        <v>0</v>
      </c>
      <c r="G271">
        <f t="shared" si="38"/>
        <v>20</v>
      </c>
      <c r="H271">
        <f t="shared" si="39"/>
        <v>20</v>
      </c>
      <c r="I271" t="str">
        <f t="shared" si="40"/>
        <v>SPRITE_ID_NEW_TRAIN</v>
      </c>
      <c r="U271"/>
      <c r="V271"/>
      <c r="W271"/>
    </row>
    <row r="272" spans="1:23">
      <c r="A272" s="2" t="s">
        <v>295</v>
      </c>
      <c r="B272">
        <f t="shared" si="33"/>
        <v>0</v>
      </c>
      <c r="C272">
        <f t="shared" si="34"/>
        <v>0</v>
      </c>
      <c r="D272">
        <f t="shared" si="35"/>
        <v>185</v>
      </c>
      <c r="E272">
        <f t="shared" si="36"/>
        <v>0</v>
      </c>
      <c r="F272">
        <f t="shared" si="37"/>
        <v>0</v>
      </c>
      <c r="G272">
        <f t="shared" si="38"/>
        <v>20</v>
      </c>
      <c r="H272">
        <f t="shared" si="39"/>
        <v>20</v>
      </c>
      <c r="I272" t="str">
        <f t="shared" si="40"/>
        <v>SPRITE_ID_NEW_TRAIN</v>
      </c>
      <c r="U272"/>
      <c r="V272"/>
      <c r="W272"/>
    </row>
    <row r="273" spans="1:23">
      <c r="A273" s="2" t="s">
        <v>296</v>
      </c>
      <c r="B273">
        <f t="shared" si="33"/>
        <v>0</v>
      </c>
      <c r="C273">
        <f t="shared" si="34"/>
        <v>0</v>
      </c>
      <c r="D273">
        <f t="shared" si="35"/>
        <v>185</v>
      </c>
      <c r="E273">
        <f t="shared" si="36"/>
        <v>0</v>
      </c>
      <c r="F273">
        <f t="shared" si="37"/>
        <v>0</v>
      </c>
      <c r="G273">
        <f t="shared" si="38"/>
        <v>20</v>
      </c>
      <c r="H273">
        <f t="shared" si="39"/>
        <v>20</v>
      </c>
      <c r="I273" t="str">
        <f t="shared" si="40"/>
        <v>SPRITE_ID_NEW_TRAIN</v>
      </c>
      <c r="U273"/>
      <c r="V273"/>
      <c r="W273"/>
    </row>
    <row r="274" spans="1:23">
      <c r="A274" s="2" t="s">
        <v>297</v>
      </c>
      <c r="B274">
        <f t="shared" si="33"/>
        <v>0</v>
      </c>
      <c r="C274">
        <f t="shared" si="34"/>
        <v>0</v>
      </c>
      <c r="D274">
        <f t="shared" si="35"/>
        <v>185</v>
      </c>
      <c r="E274">
        <f t="shared" si="36"/>
        <v>0</v>
      </c>
      <c r="F274">
        <f t="shared" si="37"/>
        <v>0</v>
      </c>
      <c r="G274">
        <f t="shared" si="38"/>
        <v>20</v>
      </c>
      <c r="H274">
        <f t="shared" si="39"/>
        <v>20</v>
      </c>
      <c r="I274" t="str">
        <f t="shared" si="40"/>
        <v>SPRITE_ID_NEW_TRAIN</v>
      </c>
      <c r="U274"/>
      <c r="V274"/>
      <c r="W274"/>
    </row>
    <row r="275" spans="1:23">
      <c r="A275" s="2" t="s">
        <v>298</v>
      </c>
      <c r="B275">
        <f t="shared" si="33"/>
        <v>0</v>
      </c>
      <c r="C275">
        <f t="shared" si="34"/>
        <v>0</v>
      </c>
      <c r="D275">
        <f t="shared" si="35"/>
        <v>185</v>
      </c>
      <c r="E275">
        <f t="shared" si="36"/>
        <v>0</v>
      </c>
      <c r="F275">
        <f t="shared" si="37"/>
        <v>0</v>
      </c>
      <c r="G275">
        <f t="shared" si="38"/>
        <v>20</v>
      </c>
      <c r="H275">
        <f t="shared" si="39"/>
        <v>20</v>
      </c>
      <c r="I275" t="str">
        <f t="shared" si="40"/>
        <v>SPRITE_ID_NEW_TRAIN</v>
      </c>
      <c r="U275"/>
      <c r="V275"/>
      <c r="W275"/>
    </row>
    <row r="276" spans="1:23">
      <c r="A276" s="2" t="s">
        <v>299</v>
      </c>
      <c r="B276">
        <f t="shared" si="33"/>
        <v>0</v>
      </c>
      <c r="C276">
        <f t="shared" si="34"/>
        <v>0</v>
      </c>
      <c r="D276">
        <f t="shared" si="35"/>
        <v>185</v>
      </c>
      <c r="E276">
        <f t="shared" si="36"/>
        <v>0</v>
      </c>
      <c r="F276">
        <f t="shared" si="37"/>
        <v>0</v>
      </c>
      <c r="G276">
        <f t="shared" si="38"/>
        <v>20</v>
      </c>
      <c r="H276">
        <f t="shared" si="39"/>
        <v>20</v>
      </c>
      <c r="I276" t="str">
        <f t="shared" si="40"/>
        <v>SPRITE_ID_NEW_TRAIN</v>
      </c>
      <c r="U276"/>
      <c r="V276"/>
      <c r="W276"/>
    </row>
    <row r="277" spans="1:23">
      <c r="A277" s="2" t="s">
        <v>300</v>
      </c>
      <c r="B277">
        <f t="shared" si="33"/>
        <v>0</v>
      </c>
      <c r="C277">
        <f t="shared" si="34"/>
        <v>0</v>
      </c>
      <c r="D277">
        <f t="shared" si="35"/>
        <v>185</v>
      </c>
      <c r="E277">
        <f t="shared" si="36"/>
        <v>0</v>
      </c>
      <c r="F277">
        <f t="shared" si="37"/>
        <v>0</v>
      </c>
      <c r="G277">
        <f t="shared" si="38"/>
        <v>20</v>
      </c>
      <c r="H277">
        <f t="shared" si="39"/>
        <v>20</v>
      </c>
      <c r="I277" t="str">
        <f t="shared" si="40"/>
        <v>SPRITE_ID_NEW_TRAIN</v>
      </c>
      <c r="U277"/>
      <c r="V277"/>
      <c r="W277"/>
    </row>
    <row r="278" spans="1:23">
      <c r="A278" s="2" t="s">
        <v>301</v>
      </c>
      <c r="B278">
        <f t="shared" si="33"/>
        <v>0</v>
      </c>
      <c r="C278">
        <f t="shared" si="34"/>
        <v>0</v>
      </c>
      <c r="D278">
        <f t="shared" si="35"/>
        <v>185</v>
      </c>
      <c r="E278">
        <f t="shared" si="36"/>
        <v>0</v>
      </c>
      <c r="F278">
        <f t="shared" si="37"/>
        <v>0</v>
      </c>
      <c r="G278">
        <f t="shared" si="38"/>
        <v>20</v>
      </c>
      <c r="H278">
        <f t="shared" si="39"/>
        <v>20</v>
      </c>
      <c r="I278" t="str">
        <f t="shared" si="40"/>
        <v>SPRITE_ID_NEW_TRAIN</v>
      </c>
      <c r="U278"/>
      <c r="V278"/>
      <c r="W278"/>
    </row>
    <row r="279" spans="1:23">
      <c r="A279" s="2" t="s">
        <v>302</v>
      </c>
      <c r="B279">
        <f t="shared" si="33"/>
        <v>0</v>
      </c>
      <c r="C279">
        <f t="shared" si="34"/>
        <v>0</v>
      </c>
      <c r="D279">
        <f t="shared" si="35"/>
        <v>185</v>
      </c>
      <c r="E279">
        <f t="shared" si="36"/>
        <v>0</v>
      </c>
      <c r="F279">
        <f t="shared" si="37"/>
        <v>0</v>
      </c>
      <c r="G279">
        <f t="shared" si="38"/>
        <v>20</v>
      </c>
      <c r="H279">
        <f t="shared" si="39"/>
        <v>20</v>
      </c>
      <c r="I279" t="str">
        <f t="shared" si="40"/>
        <v>SPRITE_ID_NEW_TRAIN</v>
      </c>
      <c r="U279"/>
      <c r="V279"/>
      <c r="W279"/>
    </row>
    <row r="280" spans="1:23">
      <c r="A280" s="2" t="s">
        <v>303</v>
      </c>
      <c r="B280">
        <f t="shared" si="33"/>
        <v>0</v>
      </c>
      <c r="C280">
        <f t="shared" si="34"/>
        <v>0</v>
      </c>
      <c r="D280">
        <f t="shared" si="35"/>
        <v>185</v>
      </c>
      <c r="E280">
        <f t="shared" si="36"/>
        <v>0</v>
      </c>
      <c r="F280">
        <f t="shared" si="37"/>
        <v>0</v>
      </c>
      <c r="G280">
        <f t="shared" si="38"/>
        <v>20</v>
      </c>
      <c r="H280">
        <f t="shared" si="39"/>
        <v>20</v>
      </c>
      <c r="I280" t="str">
        <f t="shared" si="40"/>
        <v>SPRITE_ID_NEW_TRAIN</v>
      </c>
      <c r="U280"/>
      <c r="V280"/>
      <c r="W280"/>
    </row>
    <row r="281" spans="1:23">
      <c r="A281" s="2" t="s">
        <v>304</v>
      </c>
      <c r="B281">
        <f t="shared" si="33"/>
        <v>0</v>
      </c>
      <c r="C281">
        <f t="shared" si="34"/>
        <v>0</v>
      </c>
      <c r="D281">
        <f t="shared" si="35"/>
        <v>185</v>
      </c>
      <c r="E281">
        <f t="shared" si="36"/>
        <v>0</v>
      </c>
      <c r="F281">
        <f t="shared" si="37"/>
        <v>0</v>
      </c>
      <c r="G281">
        <f t="shared" si="38"/>
        <v>20</v>
      </c>
      <c r="H281">
        <f t="shared" si="39"/>
        <v>20</v>
      </c>
      <c r="I281" t="str">
        <f t="shared" si="40"/>
        <v>SPRITE_ID_NEW_TRAIN</v>
      </c>
      <c r="U281"/>
      <c r="V281"/>
      <c r="W281"/>
    </row>
    <row r="282" spans="1:23">
      <c r="A282" s="2" t="s">
        <v>305</v>
      </c>
      <c r="B282">
        <f t="shared" si="33"/>
        <v>0</v>
      </c>
      <c r="C282">
        <f t="shared" si="34"/>
        <v>0</v>
      </c>
      <c r="D282">
        <f t="shared" si="35"/>
        <v>185</v>
      </c>
      <c r="E282">
        <f t="shared" si="36"/>
        <v>0</v>
      </c>
      <c r="F282">
        <f t="shared" si="37"/>
        <v>0</v>
      </c>
      <c r="G282">
        <f t="shared" si="38"/>
        <v>20</v>
      </c>
      <c r="H282">
        <f t="shared" si="39"/>
        <v>20</v>
      </c>
      <c r="I282" t="str">
        <f t="shared" si="40"/>
        <v>SPRITE_ID_NEW_TRAIN</v>
      </c>
      <c r="U282"/>
      <c r="V282"/>
      <c r="W282"/>
    </row>
    <row r="283" spans="1:23">
      <c r="A283" s="2" t="s">
        <v>306</v>
      </c>
      <c r="B283">
        <f t="shared" si="33"/>
        <v>0</v>
      </c>
      <c r="C283">
        <f t="shared" si="34"/>
        <v>0</v>
      </c>
      <c r="D283">
        <f t="shared" si="35"/>
        <v>185</v>
      </c>
      <c r="E283">
        <f t="shared" si="36"/>
        <v>0</v>
      </c>
      <c r="F283">
        <f t="shared" si="37"/>
        <v>0</v>
      </c>
      <c r="G283">
        <f t="shared" si="38"/>
        <v>20</v>
      </c>
      <c r="H283">
        <f t="shared" si="39"/>
        <v>20</v>
      </c>
      <c r="I283" t="str">
        <f t="shared" si="40"/>
        <v>SPRITE_ID_NEW_TRAIN</v>
      </c>
      <c r="U283"/>
      <c r="V283"/>
      <c r="W283"/>
    </row>
    <row r="284" spans="1:23">
      <c r="A284" s="2" t="s">
        <v>307</v>
      </c>
      <c r="B284">
        <f t="shared" si="33"/>
        <v>0</v>
      </c>
      <c r="C284">
        <f t="shared" si="34"/>
        <v>0</v>
      </c>
      <c r="D284">
        <f t="shared" si="35"/>
        <v>185</v>
      </c>
      <c r="E284">
        <f t="shared" si="36"/>
        <v>0</v>
      </c>
      <c r="F284">
        <f t="shared" si="37"/>
        <v>0</v>
      </c>
      <c r="G284">
        <f t="shared" si="38"/>
        <v>20</v>
      </c>
      <c r="H284">
        <f t="shared" si="39"/>
        <v>20</v>
      </c>
      <c r="I284" t="str">
        <f t="shared" si="40"/>
        <v>SPRITE_ID_NEW_TRAIN</v>
      </c>
      <c r="U284"/>
      <c r="V284"/>
      <c r="W284"/>
    </row>
    <row r="285" spans="1:23">
      <c r="A285" s="2" t="s">
        <v>308</v>
      </c>
      <c r="B285">
        <f t="shared" si="33"/>
        <v>0</v>
      </c>
      <c r="C285">
        <f t="shared" si="34"/>
        <v>0</v>
      </c>
      <c r="D285">
        <f t="shared" si="35"/>
        <v>185</v>
      </c>
      <c r="E285">
        <f t="shared" si="36"/>
        <v>0</v>
      </c>
      <c r="F285">
        <f t="shared" si="37"/>
        <v>0</v>
      </c>
      <c r="G285">
        <f t="shared" si="38"/>
        <v>20</v>
      </c>
      <c r="H285">
        <f t="shared" si="39"/>
        <v>20</v>
      </c>
      <c r="I285" t="str">
        <f t="shared" si="40"/>
        <v>SPRITE_ID_NEW_TRAIN</v>
      </c>
      <c r="U285"/>
      <c r="V285"/>
      <c r="W285"/>
    </row>
    <row r="286" spans="1:23">
      <c r="A286" s="2" t="s">
        <v>309</v>
      </c>
      <c r="B286">
        <f t="shared" si="33"/>
        <v>0</v>
      </c>
      <c r="C286">
        <f t="shared" si="34"/>
        <v>0</v>
      </c>
      <c r="D286">
        <f t="shared" si="35"/>
        <v>185</v>
      </c>
      <c r="E286">
        <f t="shared" si="36"/>
        <v>0</v>
      </c>
      <c r="F286">
        <f t="shared" si="37"/>
        <v>0</v>
      </c>
      <c r="G286">
        <f t="shared" si="38"/>
        <v>20</v>
      </c>
      <c r="H286">
        <f t="shared" si="39"/>
        <v>20</v>
      </c>
      <c r="I286" t="str">
        <f t="shared" si="40"/>
        <v>SPRITE_ID_NEW_TRAIN</v>
      </c>
      <c r="U286"/>
      <c r="V286"/>
      <c r="W286"/>
    </row>
    <row r="287" spans="1:23">
      <c r="A287" s="2" t="s">
        <v>310</v>
      </c>
      <c r="B287">
        <f t="shared" si="33"/>
        <v>0</v>
      </c>
      <c r="C287">
        <f t="shared" si="34"/>
        <v>0</v>
      </c>
      <c r="D287">
        <f t="shared" si="35"/>
        <v>185</v>
      </c>
      <c r="E287">
        <f t="shared" si="36"/>
        <v>0</v>
      </c>
      <c r="F287">
        <f t="shared" si="37"/>
        <v>0</v>
      </c>
      <c r="G287">
        <f t="shared" si="38"/>
        <v>20</v>
      </c>
      <c r="H287">
        <f t="shared" si="39"/>
        <v>20</v>
      </c>
      <c r="I287" t="str">
        <f t="shared" si="40"/>
        <v>SPRITE_ID_NEW_TRAIN</v>
      </c>
      <c r="U287"/>
      <c r="V287"/>
      <c r="W287"/>
    </row>
    <row r="288" spans="1:23">
      <c r="A288" s="2" t="s">
        <v>311</v>
      </c>
      <c r="B288">
        <f t="shared" si="33"/>
        <v>0</v>
      </c>
      <c r="C288">
        <f t="shared" si="34"/>
        <v>0</v>
      </c>
      <c r="D288">
        <f t="shared" si="35"/>
        <v>185</v>
      </c>
      <c r="E288">
        <f t="shared" si="36"/>
        <v>0</v>
      </c>
      <c r="F288">
        <f t="shared" si="37"/>
        <v>0</v>
      </c>
      <c r="G288">
        <f t="shared" si="38"/>
        <v>20</v>
      </c>
      <c r="H288">
        <f t="shared" si="39"/>
        <v>20</v>
      </c>
      <c r="I288" t="str">
        <f t="shared" si="40"/>
        <v>SPRITE_ID_NEW_TRAIN</v>
      </c>
      <c r="U288"/>
      <c r="V288"/>
      <c r="W288"/>
    </row>
    <row r="289" spans="1:23">
      <c r="A289" s="2" t="s">
        <v>312</v>
      </c>
      <c r="B289">
        <f t="shared" si="33"/>
        <v>0</v>
      </c>
      <c r="C289">
        <f t="shared" si="34"/>
        <v>0</v>
      </c>
      <c r="D289">
        <f t="shared" si="35"/>
        <v>185</v>
      </c>
      <c r="E289">
        <f t="shared" si="36"/>
        <v>0</v>
      </c>
      <c r="F289">
        <f t="shared" si="37"/>
        <v>0</v>
      </c>
      <c r="G289">
        <f t="shared" si="38"/>
        <v>20</v>
      </c>
      <c r="H289">
        <f t="shared" si="39"/>
        <v>20</v>
      </c>
      <c r="I289" t="str">
        <f t="shared" si="40"/>
        <v>SPRITE_ID_NEW_TRAIN</v>
      </c>
      <c r="U289"/>
      <c r="V289"/>
      <c r="W289"/>
    </row>
    <row r="290" spans="1:23">
      <c r="A290" s="2" t="s">
        <v>313</v>
      </c>
      <c r="B290">
        <f t="shared" si="33"/>
        <v>0</v>
      </c>
      <c r="C290">
        <f t="shared" si="34"/>
        <v>0</v>
      </c>
      <c r="D290">
        <f t="shared" si="35"/>
        <v>185</v>
      </c>
      <c r="E290">
        <f t="shared" si="36"/>
        <v>0</v>
      </c>
      <c r="F290">
        <f t="shared" si="37"/>
        <v>0</v>
      </c>
      <c r="G290">
        <f t="shared" si="38"/>
        <v>20</v>
      </c>
      <c r="H290">
        <f t="shared" si="39"/>
        <v>20</v>
      </c>
      <c r="I290" t="str">
        <f t="shared" si="40"/>
        <v>SPRITE_ID_NEW_TRAIN</v>
      </c>
      <c r="U290"/>
      <c r="V290"/>
      <c r="W290"/>
    </row>
    <row r="291" spans="1:23">
      <c r="A291" s="2" t="s">
        <v>314</v>
      </c>
      <c r="B291">
        <f t="shared" si="33"/>
        <v>0</v>
      </c>
      <c r="C291">
        <f t="shared" si="34"/>
        <v>0</v>
      </c>
      <c r="D291">
        <f t="shared" si="35"/>
        <v>185</v>
      </c>
      <c r="E291">
        <f t="shared" si="36"/>
        <v>0</v>
      </c>
      <c r="F291">
        <f t="shared" si="37"/>
        <v>0</v>
      </c>
      <c r="G291">
        <f t="shared" si="38"/>
        <v>20</v>
      </c>
      <c r="H291">
        <f t="shared" si="39"/>
        <v>20</v>
      </c>
      <c r="I291" t="str">
        <f t="shared" si="40"/>
        <v>SPRITE_ID_NEW_TRAIN</v>
      </c>
      <c r="U291"/>
      <c r="V291"/>
      <c r="W291"/>
    </row>
    <row r="292" spans="1:23">
      <c r="A292" s="2" t="s">
        <v>315</v>
      </c>
      <c r="B292">
        <f t="shared" si="33"/>
        <v>0</v>
      </c>
      <c r="C292">
        <f t="shared" si="34"/>
        <v>0</v>
      </c>
      <c r="D292">
        <f t="shared" si="35"/>
        <v>185</v>
      </c>
      <c r="E292">
        <f t="shared" si="36"/>
        <v>0</v>
      </c>
      <c r="F292">
        <f t="shared" si="37"/>
        <v>0</v>
      </c>
      <c r="G292">
        <f t="shared" si="38"/>
        <v>20</v>
      </c>
      <c r="H292">
        <f t="shared" si="39"/>
        <v>20</v>
      </c>
      <c r="I292" t="str">
        <f t="shared" si="40"/>
        <v>SPRITE_ID_NEW_TRAIN</v>
      </c>
      <c r="U292"/>
      <c r="V292"/>
      <c r="W292"/>
    </row>
    <row r="293" spans="1:23">
      <c r="A293" s="2" t="s">
        <v>316</v>
      </c>
      <c r="B293">
        <f t="shared" si="33"/>
        <v>0</v>
      </c>
      <c r="C293">
        <f t="shared" si="34"/>
        <v>0</v>
      </c>
      <c r="D293">
        <f t="shared" si="35"/>
        <v>185</v>
      </c>
      <c r="E293">
        <f t="shared" si="36"/>
        <v>0</v>
      </c>
      <c r="F293">
        <f t="shared" si="37"/>
        <v>0</v>
      </c>
      <c r="G293">
        <f t="shared" si="38"/>
        <v>20</v>
      </c>
      <c r="H293">
        <f t="shared" si="39"/>
        <v>20</v>
      </c>
      <c r="I293" t="str">
        <f t="shared" si="40"/>
        <v>SPRITE_ID_NEW_TRAIN</v>
      </c>
      <c r="U293"/>
      <c r="V293"/>
      <c r="W293"/>
    </row>
    <row r="294" spans="1:23">
      <c r="A294" s="2" t="s">
        <v>317</v>
      </c>
      <c r="B294">
        <f t="shared" si="33"/>
        <v>0</v>
      </c>
      <c r="C294">
        <f t="shared" si="34"/>
        <v>0</v>
      </c>
      <c r="D294">
        <f t="shared" si="35"/>
        <v>185</v>
      </c>
      <c r="E294">
        <f t="shared" si="36"/>
        <v>0</v>
      </c>
      <c r="F294">
        <f t="shared" si="37"/>
        <v>0</v>
      </c>
      <c r="G294">
        <f t="shared" si="38"/>
        <v>20</v>
      </c>
      <c r="H294">
        <f t="shared" si="39"/>
        <v>20</v>
      </c>
      <c r="I294" t="str">
        <f t="shared" si="40"/>
        <v>SPRITE_ID_NEW_TRAIN</v>
      </c>
      <c r="U294"/>
      <c r="V294"/>
      <c r="W294"/>
    </row>
    <row r="295" spans="1:23">
      <c r="A295" s="2" t="s">
        <v>318</v>
      </c>
      <c r="B295">
        <f t="shared" si="33"/>
        <v>0</v>
      </c>
      <c r="C295">
        <f t="shared" si="34"/>
        <v>0</v>
      </c>
      <c r="D295">
        <f t="shared" si="35"/>
        <v>185</v>
      </c>
      <c r="E295">
        <f t="shared" si="36"/>
        <v>0</v>
      </c>
      <c r="F295">
        <f t="shared" si="37"/>
        <v>0</v>
      </c>
      <c r="G295">
        <f t="shared" si="38"/>
        <v>20</v>
      </c>
      <c r="H295">
        <f t="shared" si="39"/>
        <v>20</v>
      </c>
      <c r="I295" t="str">
        <f t="shared" si="40"/>
        <v>SPRITE_ID_NEW_TRAIN</v>
      </c>
      <c r="U295"/>
      <c r="V295"/>
      <c r="W295"/>
    </row>
    <row r="296" spans="1:23">
      <c r="A296" s="2" t="s">
        <v>319</v>
      </c>
      <c r="B296">
        <f t="shared" si="33"/>
        <v>0</v>
      </c>
      <c r="C296">
        <f t="shared" si="34"/>
        <v>0</v>
      </c>
      <c r="D296">
        <f t="shared" si="35"/>
        <v>185</v>
      </c>
      <c r="E296">
        <f t="shared" si="36"/>
        <v>0</v>
      </c>
      <c r="F296">
        <f t="shared" si="37"/>
        <v>0</v>
      </c>
      <c r="G296">
        <f t="shared" si="38"/>
        <v>20</v>
      </c>
      <c r="H296">
        <f t="shared" si="39"/>
        <v>20</v>
      </c>
      <c r="I296" t="str">
        <f t="shared" si="40"/>
        <v>SPRITE_ID_NEW_TRAIN</v>
      </c>
      <c r="U296"/>
      <c r="V296"/>
      <c r="W296"/>
    </row>
    <row r="297" spans="1:23">
      <c r="A297" s="2" t="s">
        <v>320</v>
      </c>
      <c r="B297">
        <f t="shared" si="33"/>
        <v>0</v>
      </c>
      <c r="C297">
        <f t="shared" si="34"/>
        <v>0</v>
      </c>
      <c r="D297">
        <f t="shared" si="35"/>
        <v>185</v>
      </c>
      <c r="E297">
        <f t="shared" si="36"/>
        <v>0</v>
      </c>
      <c r="F297">
        <f t="shared" si="37"/>
        <v>0</v>
      </c>
      <c r="G297">
        <f t="shared" si="38"/>
        <v>20</v>
      </c>
      <c r="H297">
        <f t="shared" si="39"/>
        <v>20</v>
      </c>
      <c r="I297" t="str">
        <f t="shared" si="40"/>
        <v>SPRITE_ID_NEW_TRAIN</v>
      </c>
      <c r="U297"/>
      <c r="V297"/>
      <c r="W297"/>
    </row>
    <row r="298" spans="1:23">
      <c r="A298" s="2" t="s">
        <v>321</v>
      </c>
      <c r="B298">
        <f t="shared" si="33"/>
        <v>0</v>
      </c>
      <c r="C298">
        <f t="shared" si="34"/>
        <v>0</v>
      </c>
      <c r="D298">
        <f t="shared" si="35"/>
        <v>185</v>
      </c>
      <c r="E298">
        <f t="shared" si="36"/>
        <v>0</v>
      </c>
      <c r="F298">
        <f t="shared" si="37"/>
        <v>0</v>
      </c>
      <c r="G298">
        <f t="shared" si="38"/>
        <v>20</v>
      </c>
      <c r="H298">
        <f t="shared" si="39"/>
        <v>20</v>
      </c>
      <c r="I298" t="str">
        <f t="shared" si="40"/>
        <v>SPRITE_ID_NEW_TRAIN</v>
      </c>
      <c r="U298"/>
      <c r="V298"/>
      <c r="W298"/>
    </row>
    <row r="299" spans="1:23">
      <c r="A299" s="2" t="s">
        <v>322</v>
      </c>
      <c r="B299">
        <f t="shared" si="33"/>
        <v>0</v>
      </c>
      <c r="C299">
        <f t="shared" si="34"/>
        <v>0</v>
      </c>
      <c r="D299">
        <f t="shared" si="35"/>
        <v>185</v>
      </c>
      <c r="E299">
        <f t="shared" si="36"/>
        <v>0</v>
      </c>
      <c r="F299">
        <f t="shared" si="37"/>
        <v>0</v>
      </c>
      <c r="G299">
        <f t="shared" si="38"/>
        <v>20</v>
      </c>
      <c r="H299">
        <f t="shared" si="39"/>
        <v>20</v>
      </c>
      <c r="I299" t="str">
        <f t="shared" si="40"/>
        <v>SPRITE_ID_NEW_TRAIN</v>
      </c>
      <c r="U299"/>
      <c r="V299"/>
      <c r="W299"/>
    </row>
    <row r="300" spans="1:23">
      <c r="A300" s="2" t="s">
        <v>323</v>
      </c>
      <c r="B300">
        <f t="shared" si="33"/>
        <v>0</v>
      </c>
      <c r="C300">
        <f t="shared" si="34"/>
        <v>0</v>
      </c>
      <c r="D300">
        <f t="shared" si="35"/>
        <v>185</v>
      </c>
      <c r="E300">
        <f t="shared" si="36"/>
        <v>0</v>
      </c>
      <c r="F300">
        <f t="shared" si="37"/>
        <v>0</v>
      </c>
      <c r="G300">
        <f t="shared" si="38"/>
        <v>20</v>
      </c>
      <c r="H300">
        <f t="shared" si="39"/>
        <v>20</v>
      </c>
      <c r="I300" t="str">
        <f t="shared" si="40"/>
        <v>SPRITE_ID_NEW_TRAIN</v>
      </c>
      <c r="U300"/>
      <c r="V300"/>
      <c r="W300"/>
    </row>
    <row r="301" spans="1:23">
      <c r="A301" s="2" t="s">
        <v>324</v>
      </c>
      <c r="B301">
        <f t="shared" si="33"/>
        <v>0</v>
      </c>
      <c r="C301">
        <f t="shared" si="34"/>
        <v>0</v>
      </c>
      <c r="D301">
        <f t="shared" si="35"/>
        <v>185</v>
      </c>
      <c r="E301">
        <f t="shared" si="36"/>
        <v>0</v>
      </c>
      <c r="F301">
        <f t="shared" si="37"/>
        <v>0</v>
      </c>
      <c r="G301">
        <f t="shared" si="38"/>
        <v>20</v>
      </c>
      <c r="H301">
        <f t="shared" si="39"/>
        <v>20</v>
      </c>
      <c r="I301" t="str">
        <f t="shared" si="40"/>
        <v>SPRITE_ID_NEW_TRAIN</v>
      </c>
      <c r="U301"/>
      <c r="V301"/>
      <c r="W301"/>
    </row>
    <row r="302" spans="1:23">
      <c r="A302" s="2" t="s">
        <v>327</v>
      </c>
      <c r="B302">
        <f t="shared" si="33"/>
        <v>0</v>
      </c>
      <c r="C302">
        <f t="shared" si="34"/>
        <v>0</v>
      </c>
      <c r="D302">
        <f t="shared" si="35"/>
        <v>185</v>
      </c>
      <c r="E302">
        <f t="shared" si="36"/>
        <v>0</v>
      </c>
      <c r="F302">
        <f t="shared" si="37"/>
        <v>0</v>
      </c>
      <c r="G302">
        <f t="shared" si="38"/>
        <v>20</v>
      </c>
      <c r="H302">
        <f t="shared" si="39"/>
        <v>20</v>
      </c>
      <c r="I302" t="str">
        <f t="shared" si="40"/>
        <v>SPRITE_ID_NEW_TRAIN</v>
      </c>
      <c r="U302"/>
      <c r="V302"/>
      <c r="W302"/>
    </row>
    <row r="303" spans="1:23">
      <c r="A303" s="2" t="s">
        <v>328</v>
      </c>
      <c r="B303">
        <f t="shared" si="33"/>
        <v>0</v>
      </c>
      <c r="C303">
        <f t="shared" si="34"/>
        <v>0</v>
      </c>
      <c r="D303">
        <f t="shared" si="35"/>
        <v>185</v>
      </c>
      <c r="E303">
        <f t="shared" si="36"/>
        <v>0</v>
      </c>
      <c r="F303">
        <f t="shared" si="37"/>
        <v>0</v>
      </c>
      <c r="G303">
        <f t="shared" si="38"/>
        <v>20</v>
      </c>
      <c r="H303">
        <f t="shared" si="39"/>
        <v>20</v>
      </c>
      <c r="I303" t="str">
        <f t="shared" si="40"/>
        <v>SPRITE_ID_NEW_TRAIN</v>
      </c>
      <c r="U303"/>
      <c r="V303"/>
      <c r="W303"/>
    </row>
    <row r="304" spans="1:23">
      <c r="A304" s="2" t="s">
        <v>329</v>
      </c>
      <c r="B304">
        <f t="shared" si="33"/>
        <v>0</v>
      </c>
      <c r="C304">
        <f t="shared" si="34"/>
        <v>0</v>
      </c>
      <c r="D304">
        <f t="shared" si="35"/>
        <v>185</v>
      </c>
      <c r="E304">
        <f t="shared" si="36"/>
        <v>0</v>
      </c>
      <c r="F304">
        <f t="shared" si="37"/>
        <v>0</v>
      </c>
      <c r="G304">
        <f t="shared" si="38"/>
        <v>20</v>
      </c>
      <c r="H304">
        <f t="shared" si="39"/>
        <v>20</v>
      </c>
      <c r="I304" t="str">
        <f t="shared" si="40"/>
        <v>SPRITE_ID_NEW_TRAIN</v>
      </c>
      <c r="U304"/>
      <c r="V304"/>
      <c r="W304"/>
    </row>
    <row r="305" spans="1:23">
      <c r="A305" s="2" t="s">
        <v>330</v>
      </c>
      <c r="B305">
        <f t="shared" si="33"/>
        <v>0</v>
      </c>
      <c r="C305">
        <f t="shared" si="34"/>
        <v>0</v>
      </c>
      <c r="D305">
        <f t="shared" si="35"/>
        <v>185</v>
      </c>
      <c r="E305">
        <f t="shared" si="36"/>
        <v>0</v>
      </c>
      <c r="F305">
        <f t="shared" si="37"/>
        <v>0</v>
      </c>
      <c r="G305">
        <f t="shared" si="38"/>
        <v>20</v>
      </c>
      <c r="H305">
        <f t="shared" si="39"/>
        <v>20</v>
      </c>
      <c r="I305" t="str">
        <f t="shared" si="40"/>
        <v>SPRITE_ID_NEW_TRAIN</v>
      </c>
      <c r="U305"/>
      <c r="V305"/>
      <c r="W305"/>
    </row>
    <row r="306" spans="1:23">
      <c r="A306" s="2" t="s">
        <v>331</v>
      </c>
      <c r="B306">
        <f t="shared" si="33"/>
        <v>0</v>
      </c>
      <c r="C306">
        <f t="shared" si="34"/>
        <v>0</v>
      </c>
      <c r="D306">
        <f t="shared" si="35"/>
        <v>185</v>
      </c>
      <c r="E306">
        <f t="shared" si="36"/>
        <v>0</v>
      </c>
      <c r="F306">
        <f t="shared" si="37"/>
        <v>0</v>
      </c>
      <c r="G306">
        <f t="shared" si="38"/>
        <v>20</v>
      </c>
      <c r="H306">
        <f t="shared" si="39"/>
        <v>20</v>
      </c>
      <c r="I306" t="str">
        <f t="shared" si="40"/>
        <v>SPRITE_ID_NEW_TRAIN</v>
      </c>
      <c r="U306"/>
      <c r="V306"/>
      <c r="W306"/>
    </row>
    <row r="307" spans="1:23">
      <c r="A307" s="2" t="s">
        <v>332</v>
      </c>
      <c r="B307">
        <f t="shared" si="33"/>
        <v>0</v>
      </c>
      <c r="C307">
        <f t="shared" si="34"/>
        <v>0</v>
      </c>
      <c r="D307">
        <f t="shared" si="35"/>
        <v>185</v>
      </c>
      <c r="E307">
        <f t="shared" si="36"/>
        <v>0</v>
      </c>
      <c r="F307">
        <f t="shared" si="37"/>
        <v>0</v>
      </c>
      <c r="G307">
        <f t="shared" si="38"/>
        <v>20</v>
      </c>
      <c r="H307">
        <f t="shared" si="39"/>
        <v>20</v>
      </c>
      <c r="I307" t="str">
        <f t="shared" si="40"/>
        <v>SPRITE_ID_NEW_TRAIN</v>
      </c>
      <c r="U307"/>
      <c r="V307"/>
      <c r="W307"/>
    </row>
    <row r="308" spans="1:23">
      <c r="A308" s="2" t="s">
        <v>333</v>
      </c>
      <c r="B308">
        <f t="shared" si="33"/>
        <v>0</v>
      </c>
      <c r="C308">
        <f t="shared" si="34"/>
        <v>0</v>
      </c>
      <c r="D308">
        <f t="shared" si="35"/>
        <v>185</v>
      </c>
      <c r="E308">
        <f t="shared" si="36"/>
        <v>0</v>
      </c>
      <c r="F308">
        <f t="shared" si="37"/>
        <v>0</v>
      </c>
      <c r="G308">
        <f t="shared" si="38"/>
        <v>20</v>
      </c>
      <c r="H308">
        <f t="shared" si="39"/>
        <v>20</v>
      </c>
      <c r="I308" t="str">
        <f t="shared" si="40"/>
        <v>SPRITE_ID_NEW_TRAIN</v>
      </c>
      <c r="U308"/>
      <c r="V308"/>
      <c r="W308"/>
    </row>
    <row r="309" spans="1:23">
      <c r="A309" s="2" t="s">
        <v>334</v>
      </c>
      <c r="B309">
        <f t="shared" si="33"/>
        <v>0</v>
      </c>
      <c r="C309">
        <f t="shared" si="34"/>
        <v>0</v>
      </c>
      <c r="D309">
        <f t="shared" si="35"/>
        <v>185</v>
      </c>
      <c r="E309">
        <f t="shared" si="36"/>
        <v>0</v>
      </c>
      <c r="F309">
        <f t="shared" si="37"/>
        <v>0</v>
      </c>
      <c r="G309">
        <f t="shared" si="38"/>
        <v>20</v>
      </c>
      <c r="H309">
        <f t="shared" si="39"/>
        <v>20</v>
      </c>
      <c r="I309" t="str">
        <f t="shared" si="40"/>
        <v>SPRITE_ID_NEW_TRAIN</v>
      </c>
      <c r="U309"/>
      <c r="V309"/>
      <c r="W309"/>
    </row>
    <row r="310" spans="1:23">
      <c r="A310" s="2" t="s">
        <v>335</v>
      </c>
      <c r="B310">
        <f t="shared" si="33"/>
        <v>0</v>
      </c>
      <c r="C310">
        <f t="shared" si="34"/>
        <v>0</v>
      </c>
      <c r="D310">
        <f t="shared" si="35"/>
        <v>185</v>
      </c>
      <c r="E310">
        <f t="shared" si="36"/>
        <v>0</v>
      </c>
      <c r="F310">
        <f t="shared" si="37"/>
        <v>0</v>
      </c>
      <c r="G310">
        <f t="shared" si="38"/>
        <v>20</v>
      </c>
      <c r="H310">
        <f t="shared" si="39"/>
        <v>20</v>
      </c>
      <c r="I310" t="str">
        <f t="shared" si="40"/>
        <v>SPRITE_ID_NEW_TRAIN</v>
      </c>
      <c r="U310"/>
      <c r="V310"/>
      <c r="W310"/>
    </row>
    <row r="311" spans="1:23">
      <c r="A311" s="2" t="s">
        <v>336</v>
      </c>
      <c r="B311">
        <f t="shared" si="33"/>
        <v>0</v>
      </c>
      <c r="C311">
        <f t="shared" si="34"/>
        <v>0</v>
      </c>
      <c r="D311">
        <f t="shared" si="35"/>
        <v>185</v>
      </c>
      <c r="E311">
        <f t="shared" si="36"/>
        <v>0</v>
      </c>
      <c r="F311">
        <f t="shared" si="37"/>
        <v>0</v>
      </c>
      <c r="G311">
        <f t="shared" si="38"/>
        <v>20</v>
      </c>
      <c r="H311">
        <f t="shared" si="39"/>
        <v>20</v>
      </c>
      <c r="I311" t="str">
        <f t="shared" si="40"/>
        <v>SPRITE_ID_NEW_TRAIN</v>
      </c>
      <c r="U311"/>
      <c r="V311"/>
      <c r="W311"/>
    </row>
    <row r="312" spans="1:23">
      <c r="A312" s="2" t="s">
        <v>337</v>
      </c>
      <c r="B312">
        <f t="shared" si="33"/>
        <v>0</v>
      </c>
      <c r="C312">
        <f t="shared" si="34"/>
        <v>0</v>
      </c>
      <c r="D312">
        <f t="shared" si="35"/>
        <v>185</v>
      </c>
      <c r="E312">
        <f t="shared" si="36"/>
        <v>0</v>
      </c>
      <c r="F312">
        <f t="shared" si="37"/>
        <v>0</v>
      </c>
      <c r="G312">
        <f t="shared" si="38"/>
        <v>20</v>
      </c>
      <c r="H312">
        <f t="shared" si="39"/>
        <v>20</v>
      </c>
      <c r="I312" t="str">
        <f t="shared" si="40"/>
        <v>SPRITE_ID_NEW_TRAIN</v>
      </c>
      <c r="U312"/>
      <c r="V312"/>
      <c r="W312"/>
    </row>
    <row r="313" spans="1:23">
      <c r="A313" s="2" t="s">
        <v>338</v>
      </c>
      <c r="B313">
        <f t="shared" si="33"/>
        <v>0</v>
      </c>
      <c r="C313">
        <f t="shared" si="34"/>
        <v>0</v>
      </c>
      <c r="D313">
        <f t="shared" si="35"/>
        <v>185</v>
      </c>
      <c r="E313">
        <f t="shared" si="36"/>
        <v>0</v>
      </c>
      <c r="F313">
        <f t="shared" si="37"/>
        <v>0</v>
      </c>
      <c r="G313">
        <f t="shared" si="38"/>
        <v>20</v>
      </c>
      <c r="H313">
        <f t="shared" si="39"/>
        <v>20</v>
      </c>
      <c r="I313" t="str">
        <f t="shared" si="40"/>
        <v>SPRITE_ID_NEW_TRAIN</v>
      </c>
      <c r="U313"/>
      <c r="V313"/>
      <c r="W313"/>
    </row>
    <row r="314" spans="1:23">
      <c r="A314" s="2" t="s">
        <v>339</v>
      </c>
      <c r="B314">
        <f t="shared" si="33"/>
        <v>0</v>
      </c>
      <c r="C314">
        <f t="shared" si="34"/>
        <v>0</v>
      </c>
      <c r="D314">
        <f t="shared" si="35"/>
        <v>185</v>
      </c>
      <c r="E314">
        <f t="shared" si="36"/>
        <v>0</v>
      </c>
      <c r="F314">
        <f t="shared" si="37"/>
        <v>0</v>
      </c>
      <c r="G314">
        <f t="shared" si="38"/>
        <v>20</v>
      </c>
      <c r="H314">
        <f t="shared" si="39"/>
        <v>20</v>
      </c>
      <c r="I314" t="str">
        <f t="shared" si="40"/>
        <v>SPRITE_ID_NEW_TRAIN</v>
      </c>
      <c r="U314"/>
      <c r="V314"/>
      <c r="W314"/>
    </row>
    <row r="315" spans="1:23">
      <c r="A315" s="2" t="s">
        <v>340</v>
      </c>
      <c r="B315">
        <f t="shared" si="33"/>
        <v>0</v>
      </c>
      <c r="C315">
        <f t="shared" si="34"/>
        <v>0</v>
      </c>
      <c r="D315">
        <f t="shared" si="35"/>
        <v>185</v>
      </c>
      <c r="E315">
        <f t="shared" si="36"/>
        <v>0</v>
      </c>
      <c r="F315">
        <f t="shared" si="37"/>
        <v>0</v>
      </c>
      <c r="G315">
        <f t="shared" si="38"/>
        <v>20</v>
      </c>
      <c r="H315">
        <f t="shared" si="39"/>
        <v>20</v>
      </c>
      <c r="I315" t="str">
        <f t="shared" si="40"/>
        <v>SPRITE_ID_NEW_TRAIN</v>
      </c>
      <c r="U315"/>
      <c r="V315"/>
      <c r="W315"/>
    </row>
    <row r="316" spans="1:23">
      <c r="A316" s="2" t="s">
        <v>341</v>
      </c>
      <c r="B316">
        <f t="shared" si="33"/>
        <v>0</v>
      </c>
      <c r="C316">
        <f t="shared" si="34"/>
        <v>0</v>
      </c>
      <c r="D316">
        <f t="shared" si="35"/>
        <v>185</v>
      </c>
      <c r="E316">
        <f t="shared" si="36"/>
        <v>0</v>
      </c>
      <c r="F316">
        <f t="shared" si="37"/>
        <v>0</v>
      </c>
      <c r="G316">
        <f t="shared" si="38"/>
        <v>20</v>
      </c>
      <c r="H316">
        <f t="shared" si="39"/>
        <v>20</v>
      </c>
      <c r="I316" t="str">
        <f t="shared" si="40"/>
        <v>SPRITE_ID_NEW_TRAIN</v>
      </c>
      <c r="U316"/>
      <c r="V316"/>
      <c r="W316"/>
    </row>
    <row r="317" spans="1:23">
      <c r="A317" s="2" t="s">
        <v>342</v>
      </c>
      <c r="B317">
        <f t="shared" si="33"/>
        <v>0</v>
      </c>
      <c r="C317">
        <f t="shared" si="34"/>
        <v>0</v>
      </c>
      <c r="D317">
        <f t="shared" si="35"/>
        <v>185</v>
      </c>
      <c r="E317">
        <f t="shared" si="36"/>
        <v>0</v>
      </c>
      <c r="F317">
        <f t="shared" si="37"/>
        <v>0</v>
      </c>
      <c r="G317">
        <f t="shared" si="38"/>
        <v>20</v>
      </c>
      <c r="H317">
        <f t="shared" si="39"/>
        <v>20</v>
      </c>
      <c r="I317" t="str">
        <f t="shared" si="40"/>
        <v>SPRITE_ID_NEW_TRAIN</v>
      </c>
      <c r="U317"/>
      <c r="V317"/>
      <c r="W317"/>
    </row>
    <row r="318" spans="1:23">
      <c r="A318" s="2" t="s">
        <v>343</v>
      </c>
      <c r="B318">
        <f t="shared" si="33"/>
        <v>0</v>
      </c>
      <c r="C318">
        <f t="shared" si="34"/>
        <v>0</v>
      </c>
      <c r="D318">
        <f t="shared" si="35"/>
        <v>185</v>
      </c>
      <c r="E318">
        <f t="shared" si="36"/>
        <v>0</v>
      </c>
      <c r="F318">
        <f t="shared" si="37"/>
        <v>0</v>
      </c>
      <c r="G318">
        <f t="shared" si="38"/>
        <v>20</v>
      </c>
      <c r="H318">
        <f t="shared" si="39"/>
        <v>20</v>
      </c>
      <c r="I318" t="str">
        <f t="shared" si="40"/>
        <v>SPRITE_ID_NEW_TRAIN</v>
      </c>
      <c r="U318"/>
      <c r="V318"/>
      <c r="W318"/>
    </row>
    <row r="319" spans="1:23">
      <c r="A319" s="2" t="s">
        <v>344</v>
      </c>
      <c r="B319">
        <f t="shared" si="33"/>
        <v>0</v>
      </c>
      <c r="C319">
        <f t="shared" si="34"/>
        <v>0</v>
      </c>
      <c r="D319">
        <f t="shared" si="35"/>
        <v>185</v>
      </c>
      <c r="E319">
        <f t="shared" si="36"/>
        <v>0</v>
      </c>
      <c r="F319">
        <f t="shared" si="37"/>
        <v>0</v>
      </c>
      <c r="G319">
        <f t="shared" si="38"/>
        <v>20</v>
      </c>
      <c r="H319">
        <f t="shared" si="39"/>
        <v>20</v>
      </c>
      <c r="I319" t="str">
        <f t="shared" si="40"/>
        <v>SPRITE_ID_NEW_TRAIN</v>
      </c>
      <c r="U319"/>
      <c r="V319"/>
      <c r="W319"/>
    </row>
    <row r="320" spans="1:23">
      <c r="A320" s="2" t="s">
        <v>345</v>
      </c>
      <c r="B320">
        <f t="shared" si="33"/>
        <v>0</v>
      </c>
      <c r="C320">
        <f t="shared" si="34"/>
        <v>0</v>
      </c>
      <c r="D320">
        <f t="shared" si="35"/>
        <v>185</v>
      </c>
      <c r="E320">
        <f t="shared" si="36"/>
        <v>0</v>
      </c>
      <c r="F320">
        <f t="shared" si="37"/>
        <v>0</v>
      </c>
      <c r="G320">
        <f t="shared" si="38"/>
        <v>20</v>
      </c>
      <c r="H320">
        <f t="shared" si="39"/>
        <v>20</v>
      </c>
      <c r="I320" t="str">
        <f t="shared" si="40"/>
        <v>SPRITE_ID_NEW_TRAIN</v>
      </c>
      <c r="U320"/>
      <c r="V320"/>
      <c r="W320"/>
    </row>
    <row r="321" spans="1:23">
      <c r="A321" s="2" t="s">
        <v>346</v>
      </c>
      <c r="B321">
        <f t="shared" si="33"/>
        <v>0</v>
      </c>
      <c r="C321">
        <f t="shared" si="34"/>
        <v>0</v>
      </c>
      <c r="D321">
        <f t="shared" si="35"/>
        <v>185</v>
      </c>
      <c r="E321">
        <f t="shared" si="36"/>
        <v>0</v>
      </c>
      <c r="F321">
        <f t="shared" si="37"/>
        <v>0</v>
      </c>
      <c r="G321">
        <f t="shared" si="38"/>
        <v>20</v>
      </c>
      <c r="H321">
        <f t="shared" si="39"/>
        <v>20</v>
      </c>
      <c r="I321" t="str">
        <f t="shared" si="40"/>
        <v>SPRITE_ID_NEW_TRAIN</v>
      </c>
      <c r="U321"/>
      <c r="V321"/>
      <c r="W321"/>
    </row>
    <row r="322" spans="1:23">
      <c r="A322" s="2" t="s">
        <v>347</v>
      </c>
      <c r="B322">
        <f t="shared" si="33"/>
        <v>0</v>
      </c>
      <c r="C322">
        <f t="shared" si="34"/>
        <v>0</v>
      </c>
      <c r="D322">
        <f t="shared" si="35"/>
        <v>185</v>
      </c>
      <c r="E322">
        <f t="shared" si="36"/>
        <v>0</v>
      </c>
      <c r="F322">
        <f t="shared" si="37"/>
        <v>0</v>
      </c>
      <c r="G322">
        <f t="shared" si="38"/>
        <v>20</v>
      </c>
      <c r="H322">
        <f t="shared" si="39"/>
        <v>20</v>
      </c>
      <c r="I322" t="str">
        <f t="shared" si="40"/>
        <v>SPRITE_ID_NEW_TRAIN</v>
      </c>
      <c r="U322"/>
      <c r="V322"/>
      <c r="W322"/>
    </row>
    <row r="323" spans="1:23">
      <c r="A323" s="2" t="s">
        <v>348</v>
      </c>
      <c r="B323">
        <f t="shared" si="33"/>
        <v>0</v>
      </c>
      <c r="C323">
        <f t="shared" si="34"/>
        <v>0</v>
      </c>
      <c r="D323">
        <f t="shared" si="35"/>
        <v>185</v>
      </c>
      <c r="E323">
        <f t="shared" si="36"/>
        <v>0</v>
      </c>
      <c r="F323">
        <f t="shared" si="37"/>
        <v>0</v>
      </c>
      <c r="G323">
        <f t="shared" si="38"/>
        <v>20</v>
      </c>
      <c r="H323">
        <f t="shared" si="39"/>
        <v>20</v>
      </c>
      <c r="I323" t="str">
        <f t="shared" si="40"/>
        <v>SPRITE_ID_NEW_TRAIN</v>
      </c>
      <c r="U323"/>
      <c r="V323"/>
      <c r="W323"/>
    </row>
    <row r="324" spans="1:23">
      <c r="A324" s="2" t="s">
        <v>349</v>
      </c>
      <c r="B324">
        <f t="shared" ref="B324:B387" si="41">B323</f>
        <v>0</v>
      </c>
      <c r="C324">
        <f t="shared" ref="C324:C387" si="42">C323</f>
        <v>0</v>
      </c>
      <c r="D324">
        <f t="shared" ref="D324:D387" si="43">D323</f>
        <v>185</v>
      </c>
      <c r="E324">
        <f t="shared" ref="E324:E387" si="44">E323</f>
        <v>0</v>
      </c>
      <c r="F324">
        <f t="shared" ref="F324:F387" si="45">F323</f>
        <v>0</v>
      </c>
      <c r="G324">
        <f t="shared" ref="G324:G387" si="46">G323</f>
        <v>20</v>
      </c>
      <c r="H324">
        <f t="shared" ref="H324:H387" si="47">H323</f>
        <v>20</v>
      </c>
      <c r="I324" t="str">
        <f t="shared" ref="I324:I387" si="48">I323</f>
        <v>SPRITE_ID_NEW_TRAIN</v>
      </c>
      <c r="U324"/>
      <c r="V324"/>
      <c r="W324"/>
    </row>
    <row r="325" spans="1:23">
      <c r="A325" s="2" t="s">
        <v>350</v>
      </c>
      <c r="B325">
        <f t="shared" si="41"/>
        <v>0</v>
      </c>
      <c r="C325">
        <f t="shared" si="42"/>
        <v>0</v>
      </c>
      <c r="D325">
        <f t="shared" si="43"/>
        <v>185</v>
      </c>
      <c r="E325">
        <f t="shared" si="44"/>
        <v>0</v>
      </c>
      <c r="F325">
        <f t="shared" si="45"/>
        <v>0</v>
      </c>
      <c r="G325">
        <f t="shared" si="46"/>
        <v>20</v>
      </c>
      <c r="H325">
        <f t="shared" si="47"/>
        <v>20</v>
      </c>
      <c r="I325" t="str">
        <f t="shared" si="48"/>
        <v>SPRITE_ID_NEW_TRAIN</v>
      </c>
      <c r="U325"/>
      <c r="V325"/>
      <c r="W325"/>
    </row>
    <row r="326" spans="1:23">
      <c r="A326" s="2" t="s">
        <v>351</v>
      </c>
      <c r="B326">
        <f t="shared" si="41"/>
        <v>0</v>
      </c>
      <c r="C326">
        <f t="shared" si="42"/>
        <v>0</v>
      </c>
      <c r="D326">
        <f t="shared" si="43"/>
        <v>185</v>
      </c>
      <c r="E326">
        <f t="shared" si="44"/>
        <v>0</v>
      </c>
      <c r="F326">
        <f t="shared" si="45"/>
        <v>0</v>
      </c>
      <c r="G326">
        <f t="shared" si="46"/>
        <v>20</v>
      </c>
      <c r="H326">
        <f t="shared" si="47"/>
        <v>20</v>
      </c>
      <c r="I326" t="str">
        <f t="shared" si="48"/>
        <v>SPRITE_ID_NEW_TRAIN</v>
      </c>
      <c r="U326"/>
      <c r="V326"/>
      <c r="W326"/>
    </row>
    <row r="327" spans="1:23">
      <c r="A327" s="2" t="s">
        <v>352</v>
      </c>
      <c r="B327">
        <f t="shared" si="41"/>
        <v>0</v>
      </c>
      <c r="C327">
        <f t="shared" si="42"/>
        <v>0</v>
      </c>
      <c r="D327">
        <f t="shared" si="43"/>
        <v>185</v>
      </c>
      <c r="E327">
        <f t="shared" si="44"/>
        <v>0</v>
      </c>
      <c r="F327">
        <f t="shared" si="45"/>
        <v>0</v>
      </c>
      <c r="G327">
        <f t="shared" si="46"/>
        <v>20</v>
      </c>
      <c r="H327">
        <f t="shared" si="47"/>
        <v>20</v>
      </c>
      <c r="I327" t="str">
        <f t="shared" si="48"/>
        <v>SPRITE_ID_NEW_TRAIN</v>
      </c>
      <c r="U327"/>
      <c r="V327"/>
      <c r="W327"/>
    </row>
    <row r="328" spans="1:23">
      <c r="A328" s="2" t="s">
        <v>353</v>
      </c>
      <c r="B328">
        <f t="shared" si="41"/>
        <v>0</v>
      </c>
      <c r="C328">
        <f t="shared" si="42"/>
        <v>0</v>
      </c>
      <c r="D328">
        <f t="shared" si="43"/>
        <v>185</v>
      </c>
      <c r="E328">
        <f t="shared" si="44"/>
        <v>0</v>
      </c>
      <c r="F328">
        <f t="shared" si="45"/>
        <v>0</v>
      </c>
      <c r="G328">
        <f t="shared" si="46"/>
        <v>20</v>
      </c>
      <c r="H328">
        <f t="shared" si="47"/>
        <v>20</v>
      </c>
      <c r="I328" t="str">
        <f t="shared" si="48"/>
        <v>SPRITE_ID_NEW_TRAIN</v>
      </c>
      <c r="U328"/>
      <c r="V328"/>
      <c r="W328"/>
    </row>
    <row r="329" spans="1:23">
      <c r="A329" s="2" t="s">
        <v>354</v>
      </c>
      <c r="B329">
        <f t="shared" si="41"/>
        <v>0</v>
      </c>
      <c r="C329">
        <f t="shared" si="42"/>
        <v>0</v>
      </c>
      <c r="D329">
        <f t="shared" si="43"/>
        <v>185</v>
      </c>
      <c r="E329">
        <f t="shared" si="44"/>
        <v>0</v>
      </c>
      <c r="F329">
        <f t="shared" si="45"/>
        <v>0</v>
      </c>
      <c r="G329">
        <f t="shared" si="46"/>
        <v>20</v>
      </c>
      <c r="H329">
        <f t="shared" si="47"/>
        <v>20</v>
      </c>
      <c r="I329" t="str">
        <f t="shared" si="48"/>
        <v>SPRITE_ID_NEW_TRAIN</v>
      </c>
      <c r="U329"/>
      <c r="V329"/>
      <c r="W329"/>
    </row>
    <row r="330" spans="1:23">
      <c r="A330" s="2" t="s">
        <v>355</v>
      </c>
      <c r="B330">
        <f t="shared" si="41"/>
        <v>0</v>
      </c>
      <c r="C330">
        <f t="shared" si="42"/>
        <v>0</v>
      </c>
      <c r="D330">
        <f t="shared" si="43"/>
        <v>185</v>
      </c>
      <c r="E330">
        <f t="shared" si="44"/>
        <v>0</v>
      </c>
      <c r="F330">
        <f t="shared" si="45"/>
        <v>0</v>
      </c>
      <c r="G330">
        <f t="shared" si="46"/>
        <v>20</v>
      </c>
      <c r="H330">
        <f t="shared" si="47"/>
        <v>20</v>
      </c>
      <c r="I330" t="str">
        <f t="shared" si="48"/>
        <v>SPRITE_ID_NEW_TRAIN</v>
      </c>
      <c r="U330"/>
      <c r="V330"/>
      <c r="W330"/>
    </row>
    <row r="331" spans="1:23">
      <c r="A331" s="2" t="s">
        <v>356</v>
      </c>
      <c r="B331">
        <f t="shared" si="41"/>
        <v>0</v>
      </c>
      <c r="C331">
        <f t="shared" si="42"/>
        <v>0</v>
      </c>
      <c r="D331">
        <f t="shared" si="43"/>
        <v>185</v>
      </c>
      <c r="E331">
        <f t="shared" si="44"/>
        <v>0</v>
      </c>
      <c r="F331">
        <f t="shared" si="45"/>
        <v>0</v>
      </c>
      <c r="G331">
        <f t="shared" si="46"/>
        <v>20</v>
      </c>
      <c r="H331">
        <f t="shared" si="47"/>
        <v>20</v>
      </c>
      <c r="I331" t="str">
        <f t="shared" si="48"/>
        <v>SPRITE_ID_NEW_TRAIN</v>
      </c>
      <c r="U331"/>
      <c r="V331"/>
      <c r="W331"/>
    </row>
    <row r="332" spans="1:23">
      <c r="A332" s="2" t="s">
        <v>357</v>
      </c>
      <c r="B332">
        <f t="shared" si="41"/>
        <v>0</v>
      </c>
      <c r="C332">
        <f t="shared" si="42"/>
        <v>0</v>
      </c>
      <c r="D332">
        <f t="shared" si="43"/>
        <v>185</v>
      </c>
      <c r="E332">
        <f t="shared" si="44"/>
        <v>0</v>
      </c>
      <c r="F332">
        <f t="shared" si="45"/>
        <v>0</v>
      </c>
      <c r="G332">
        <f t="shared" si="46"/>
        <v>20</v>
      </c>
      <c r="H332">
        <f t="shared" si="47"/>
        <v>20</v>
      </c>
      <c r="I332" t="str">
        <f t="shared" si="48"/>
        <v>SPRITE_ID_NEW_TRAIN</v>
      </c>
      <c r="U332"/>
      <c r="V332"/>
      <c r="W332"/>
    </row>
    <row r="333" spans="1:23">
      <c r="A333" s="2" t="s">
        <v>358</v>
      </c>
      <c r="B333">
        <f t="shared" si="41"/>
        <v>0</v>
      </c>
      <c r="C333">
        <f t="shared" si="42"/>
        <v>0</v>
      </c>
      <c r="D333">
        <f t="shared" si="43"/>
        <v>185</v>
      </c>
      <c r="E333">
        <f t="shared" si="44"/>
        <v>0</v>
      </c>
      <c r="F333">
        <f t="shared" si="45"/>
        <v>0</v>
      </c>
      <c r="G333">
        <f t="shared" si="46"/>
        <v>20</v>
      </c>
      <c r="H333">
        <f t="shared" si="47"/>
        <v>20</v>
      </c>
      <c r="I333" t="str">
        <f t="shared" si="48"/>
        <v>SPRITE_ID_NEW_TRAIN</v>
      </c>
      <c r="U333"/>
      <c r="V333"/>
      <c r="W333"/>
    </row>
    <row r="334" spans="1:23">
      <c r="A334" s="2" t="s">
        <v>359</v>
      </c>
      <c r="B334">
        <f t="shared" si="41"/>
        <v>0</v>
      </c>
      <c r="C334">
        <f t="shared" si="42"/>
        <v>0</v>
      </c>
      <c r="D334">
        <f t="shared" si="43"/>
        <v>185</v>
      </c>
      <c r="E334">
        <f t="shared" si="44"/>
        <v>0</v>
      </c>
      <c r="F334">
        <f t="shared" si="45"/>
        <v>0</v>
      </c>
      <c r="G334">
        <f t="shared" si="46"/>
        <v>20</v>
      </c>
      <c r="H334">
        <f t="shared" si="47"/>
        <v>20</v>
      </c>
      <c r="I334" t="str">
        <f t="shared" si="48"/>
        <v>SPRITE_ID_NEW_TRAIN</v>
      </c>
      <c r="U334"/>
      <c r="V334"/>
      <c r="W334"/>
    </row>
    <row r="335" spans="1:23">
      <c r="A335" s="2" t="s">
        <v>360</v>
      </c>
      <c r="B335">
        <f t="shared" si="41"/>
        <v>0</v>
      </c>
      <c r="C335">
        <f t="shared" si="42"/>
        <v>0</v>
      </c>
      <c r="D335">
        <f t="shared" si="43"/>
        <v>185</v>
      </c>
      <c r="E335">
        <f t="shared" si="44"/>
        <v>0</v>
      </c>
      <c r="F335">
        <f t="shared" si="45"/>
        <v>0</v>
      </c>
      <c r="G335">
        <f t="shared" si="46"/>
        <v>20</v>
      </c>
      <c r="H335">
        <f t="shared" si="47"/>
        <v>20</v>
      </c>
      <c r="I335" t="str">
        <f t="shared" si="48"/>
        <v>SPRITE_ID_NEW_TRAIN</v>
      </c>
      <c r="U335"/>
      <c r="V335"/>
      <c r="W335"/>
    </row>
    <row r="336" spans="1:23">
      <c r="A336" s="2" t="s">
        <v>361</v>
      </c>
      <c r="B336">
        <f t="shared" si="41"/>
        <v>0</v>
      </c>
      <c r="C336">
        <f t="shared" si="42"/>
        <v>0</v>
      </c>
      <c r="D336">
        <f t="shared" si="43"/>
        <v>185</v>
      </c>
      <c r="E336">
        <f t="shared" si="44"/>
        <v>0</v>
      </c>
      <c r="F336">
        <f t="shared" si="45"/>
        <v>0</v>
      </c>
      <c r="G336">
        <f t="shared" si="46"/>
        <v>20</v>
      </c>
      <c r="H336">
        <f t="shared" si="47"/>
        <v>20</v>
      </c>
      <c r="I336" t="str">
        <f t="shared" si="48"/>
        <v>SPRITE_ID_NEW_TRAIN</v>
      </c>
      <c r="U336"/>
      <c r="V336"/>
      <c r="W336"/>
    </row>
    <row r="337" spans="1:23">
      <c r="A337" s="2" t="s">
        <v>362</v>
      </c>
      <c r="B337">
        <f t="shared" si="41"/>
        <v>0</v>
      </c>
      <c r="C337">
        <f t="shared" si="42"/>
        <v>0</v>
      </c>
      <c r="D337">
        <f t="shared" si="43"/>
        <v>185</v>
      </c>
      <c r="E337">
        <f t="shared" si="44"/>
        <v>0</v>
      </c>
      <c r="F337">
        <f t="shared" si="45"/>
        <v>0</v>
      </c>
      <c r="G337">
        <f t="shared" si="46"/>
        <v>20</v>
      </c>
      <c r="H337">
        <f t="shared" si="47"/>
        <v>20</v>
      </c>
      <c r="I337" t="str">
        <f t="shared" si="48"/>
        <v>SPRITE_ID_NEW_TRAIN</v>
      </c>
      <c r="U337"/>
      <c r="V337"/>
      <c r="W337"/>
    </row>
    <row r="338" spans="1:23">
      <c r="A338" s="2" t="s">
        <v>363</v>
      </c>
      <c r="B338">
        <f t="shared" si="41"/>
        <v>0</v>
      </c>
      <c r="C338">
        <f t="shared" si="42"/>
        <v>0</v>
      </c>
      <c r="D338">
        <f t="shared" si="43"/>
        <v>185</v>
      </c>
      <c r="E338">
        <f t="shared" si="44"/>
        <v>0</v>
      </c>
      <c r="F338">
        <f t="shared" si="45"/>
        <v>0</v>
      </c>
      <c r="G338">
        <f t="shared" si="46"/>
        <v>20</v>
      </c>
      <c r="H338">
        <f t="shared" si="47"/>
        <v>20</v>
      </c>
      <c r="I338" t="str">
        <f t="shared" si="48"/>
        <v>SPRITE_ID_NEW_TRAIN</v>
      </c>
      <c r="U338"/>
      <c r="V338"/>
      <c r="W338"/>
    </row>
    <row r="339" spans="1:23">
      <c r="A339" s="2" t="s">
        <v>364</v>
      </c>
      <c r="B339">
        <f t="shared" si="41"/>
        <v>0</v>
      </c>
      <c r="C339">
        <f t="shared" si="42"/>
        <v>0</v>
      </c>
      <c r="D339">
        <f t="shared" si="43"/>
        <v>185</v>
      </c>
      <c r="E339">
        <f t="shared" si="44"/>
        <v>0</v>
      </c>
      <c r="F339">
        <f t="shared" si="45"/>
        <v>0</v>
      </c>
      <c r="G339">
        <f t="shared" si="46"/>
        <v>20</v>
      </c>
      <c r="H339">
        <f t="shared" si="47"/>
        <v>20</v>
      </c>
      <c r="I339" t="str">
        <f t="shared" si="48"/>
        <v>SPRITE_ID_NEW_TRAIN</v>
      </c>
      <c r="U339"/>
      <c r="V339"/>
      <c r="W339"/>
    </row>
    <row r="340" spans="1:23">
      <c r="A340" s="2" t="s">
        <v>365</v>
      </c>
      <c r="B340">
        <f t="shared" si="41"/>
        <v>0</v>
      </c>
      <c r="C340">
        <f t="shared" si="42"/>
        <v>0</v>
      </c>
      <c r="D340">
        <f t="shared" si="43"/>
        <v>185</v>
      </c>
      <c r="E340">
        <f t="shared" si="44"/>
        <v>0</v>
      </c>
      <c r="F340">
        <f t="shared" si="45"/>
        <v>0</v>
      </c>
      <c r="G340">
        <f t="shared" si="46"/>
        <v>20</v>
      </c>
      <c r="H340">
        <f t="shared" si="47"/>
        <v>20</v>
      </c>
      <c r="I340" t="str">
        <f t="shared" si="48"/>
        <v>SPRITE_ID_NEW_TRAIN</v>
      </c>
      <c r="U340"/>
      <c r="V340"/>
      <c r="W340"/>
    </row>
    <row r="341" spans="1:23">
      <c r="A341" s="2" t="s">
        <v>366</v>
      </c>
      <c r="B341">
        <f t="shared" si="41"/>
        <v>0</v>
      </c>
      <c r="C341">
        <f t="shared" si="42"/>
        <v>0</v>
      </c>
      <c r="D341">
        <f t="shared" si="43"/>
        <v>185</v>
      </c>
      <c r="E341">
        <f t="shared" si="44"/>
        <v>0</v>
      </c>
      <c r="F341">
        <f t="shared" si="45"/>
        <v>0</v>
      </c>
      <c r="G341">
        <f t="shared" si="46"/>
        <v>20</v>
      </c>
      <c r="H341">
        <f t="shared" si="47"/>
        <v>20</v>
      </c>
      <c r="I341" t="str">
        <f t="shared" si="48"/>
        <v>SPRITE_ID_NEW_TRAIN</v>
      </c>
      <c r="U341"/>
      <c r="V341"/>
      <c r="W341"/>
    </row>
    <row r="342" spans="1:23">
      <c r="A342" s="2" t="s">
        <v>367</v>
      </c>
      <c r="B342">
        <f t="shared" si="41"/>
        <v>0</v>
      </c>
      <c r="C342">
        <f t="shared" si="42"/>
        <v>0</v>
      </c>
      <c r="D342">
        <f t="shared" si="43"/>
        <v>185</v>
      </c>
      <c r="E342">
        <f t="shared" si="44"/>
        <v>0</v>
      </c>
      <c r="F342">
        <f t="shared" si="45"/>
        <v>0</v>
      </c>
      <c r="G342">
        <f t="shared" si="46"/>
        <v>20</v>
      </c>
      <c r="H342">
        <f t="shared" si="47"/>
        <v>20</v>
      </c>
      <c r="I342" t="str">
        <f t="shared" si="48"/>
        <v>SPRITE_ID_NEW_TRAIN</v>
      </c>
      <c r="U342"/>
      <c r="V342"/>
      <c r="W342"/>
    </row>
    <row r="343" spans="1:23">
      <c r="A343" s="2" t="s">
        <v>368</v>
      </c>
      <c r="B343">
        <f t="shared" si="41"/>
        <v>0</v>
      </c>
      <c r="C343">
        <f t="shared" si="42"/>
        <v>0</v>
      </c>
      <c r="D343">
        <f t="shared" si="43"/>
        <v>185</v>
      </c>
      <c r="E343">
        <f t="shared" si="44"/>
        <v>0</v>
      </c>
      <c r="F343">
        <f t="shared" si="45"/>
        <v>0</v>
      </c>
      <c r="G343">
        <f t="shared" si="46"/>
        <v>20</v>
      </c>
      <c r="H343">
        <f t="shared" si="47"/>
        <v>20</v>
      </c>
      <c r="I343" t="str">
        <f t="shared" si="48"/>
        <v>SPRITE_ID_NEW_TRAIN</v>
      </c>
      <c r="U343"/>
      <c r="V343"/>
      <c r="W343"/>
    </row>
    <row r="344" spans="1:23">
      <c r="A344" s="2" t="s">
        <v>369</v>
      </c>
      <c r="B344">
        <f t="shared" si="41"/>
        <v>0</v>
      </c>
      <c r="C344">
        <f t="shared" si="42"/>
        <v>0</v>
      </c>
      <c r="D344">
        <f t="shared" si="43"/>
        <v>185</v>
      </c>
      <c r="E344">
        <f t="shared" si="44"/>
        <v>0</v>
      </c>
      <c r="F344">
        <f t="shared" si="45"/>
        <v>0</v>
      </c>
      <c r="G344">
        <f t="shared" si="46"/>
        <v>20</v>
      </c>
      <c r="H344">
        <f t="shared" si="47"/>
        <v>20</v>
      </c>
      <c r="I344" t="str">
        <f t="shared" si="48"/>
        <v>SPRITE_ID_NEW_TRAIN</v>
      </c>
      <c r="U344"/>
      <c r="V344"/>
      <c r="W344"/>
    </row>
    <row r="345" spans="1:23">
      <c r="A345" s="2" t="s">
        <v>370</v>
      </c>
      <c r="B345">
        <f t="shared" si="41"/>
        <v>0</v>
      </c>
      <c r="C345">
        <f t="shared" si="42"/>
        <v>0</v>
      </c>
      <c r="D345">
        <f t="shared" si="43"/>
        <v>185</v>
      </c>
      <c r="E345">
        <f t="shared" si="44"/>
        <v>0</v>
      </c>
      <c r="F345">
        <f t="shared" si="45"/>
        <v>0</v>
      </c>
      <c r="G345">
        <f t="shared" si="46"/>
        <v>20</v>
      </c>
      <c r="H345">
        <f t="shared" si="47"/>
        <v>20</v>
      </c>
      <c r="I345" t="str">
        <f t="shared" si="48"/>
        <v>SPRITE_ID_NEW_TRAIN</v>
      </c>
      <c r="U345"/>
      <c r="V345"/>
      <c r="W345"/>
    </row>
    <row r="346" spans="1:23">
      <c r="A346" s="2" t="s">
        <v>371</v>
      </c>
      <c r="B346">
        <f t="shared" si="41"/>
        <v>0</v>
      </c>
      <c r="C346">
        <f t="shared" si="42"/>
        <v>0</v>
      </c>
      <c r="D346">
        <f t="shared" si="43"/>
        <v>185</v>
      </c>
      <c r="E346">
        <f t="shared" si="44"/>
        <v>0</v>
      </c>
      <c r="F346">
        <f t="shared" si="45"/>
        <v>0</v>
      </c>
      <c r="G346">
        <f t="shared" si="46"/>
        <v>20</v>
      </c>
      <c r="H346">
        <f t="shared" si="47"/>
        <v>20</v>
      </c>
      <c r="I346" t="str">
        <f t="shared" si="48"/>
        <v>SPRITE_ID_NEW_TRAIN</v>
      </c>
      <c r="U346"/>
      <c r="V346"/>
      <c r="W346"/>
    </row>
    <row r="347" spans="1:23">
      <c r="A347" s="2" t="s">
        <v>372</v>
      </c>
      <c r="B347">
        <f t="shared" si="41"/>
        <v>0</v>
      </c>
      <c r="C347">
        <f t="shared" si="42"/>
        <v>0</v>
      </c>
      <c r="D347">
        <f t="shared" si="43"/>
        <v>185</v>
      </c>
      <c r="E347">
        <f t="shared" si="44"/>
        <v>0</v>
      </c>
      <c r="F347">
        <f t="shared" si="45"/>
        <v>0</v>
      </c>
      <c r="G347">
        <f t="shared" si="46"/>
        <v>20</v>
      </c>
      <c r="H347">
        <f t="shared" si="47"/>
        <v>20</v>
      </c>
      <c r="I347" t="str">
        <f t="shared" si="48"/>
        <v>SPRITE_ID_NEW_TRAIN</v>
      </c>
      <c r="U347"/>
      <c r="V347"/>
      <c r="W347"/>
    </row>
    <row r="348" spans="1:23">
      <c r="A348" s="2" t="s">
        <v>373</v>
      </c>
      <c r="B348">
        <f t="shared" si="41"/>
        <v>0</v>
      </c>
      <c r="C348">
        <f t="shared" si="42"/>
        <v>0</v>
      </c>
      <c r="D348">
        <f t="shared" si="43"/>
        <v>185</v>
      </c>
      <c r="E348">
        <f t="shared" si="44"/>
        <v>0</v>
      </c>
      <c r="F348">
        <f t="shared" si="45"/>
        <v>0</v>
      </c>
      <c r="G348">
        <f t="shared" si="46"/>
        <v>20</v>
      </c>
      <c r="H348">
        <f t="shared" si="47"/>
        <v>20</v>
      </c>
      <c r="I348" t="str">
        <f t="shared" si="48"/>
        <v>SPRITE_ID_NEW_TRAIN</v>
      </c>
      <c r="U348"/>
      <c r="V348"/>
      <c r="W348"/>
    </row>
    <row r="349" spans="1:23">
      <c r="A349" s="2" t="s">
        <v>374</v>
      </c>
      <c r="B349">
        <f t="shared" si="41"/>
        <v>0</v>
      </c>
      <c r="C349">
        <f t="shared" si="42"/>
        <v>0</v>
      </c>
      <c r="D349">
        <f t="shared" si="43"/>
        <v>185</v>
      </c>
      <c r="E349">
        <f t="shared" si="44"/>
        <v>0</v>
      </c>
      <c r="F349">
        <f t="shared" si="45"/>
        <v>0</v>
      </c>
      <c r="G349">
        <f t="shared" si="46"/>
        <v>20</v>
      </c>
      <c r="H349">
        <f t="shared" si="47"/>
        <v>20</v>
      </c>
      <c r="I349" t="str">
        <f t="shared" si="48"/>
        <v>SPRITE_ID_NEW_TRAIN</v>
      </c>
      <c r="U349"/>
      <c r="V349"/>
      <c r="W349"/>
    </row>
    <row r="350" spans="1:23">
      <c r="A350" s="2" t="s">
        <v>375</v>
      </c>
      <c r="B350">
        <f t="shared" si="41"/>
        <v>0</v>
      </c>
      <c r="C350">
        <f t="shared" si="42"/>
        <v>0</v>
      </c>
      <c r="D350">
        <f t="shared" si="43"/>
        <v>185</v>
      </c>
      <c r="E350">
        <f t="shared" si="44"/>
        <v>0</v>
      </c>
      <c r="F350">
        <f t="shared" si="45"/>
        <v>0</v>
      </c>
      <c r="G350">
        <f t="shared" si="46"/>
        <v>20</v>
      </c>
      <c r="H350">
        <f t="shared" si="47"/>
        <v>20</v>
      </c>
      <c r="I350" t="str">
        <f t="shared" si="48"/>
        <v>SPRITE_ID_NEW_TRAIN</v>
      </c>
      <c r="U350"/>
      <c r="V350"/>
      <c r="W350"/>
    </row>
    <row r="351" spans="1:23">
      <c r="A351" s="2" t="s">
        <v>376</v>
      </c>
      <c r="B351">
        <f t="shared" si="41"/>
        <v>0</v>
      </c>
      <c r="C351">
        <f t="shared" si="42"/>
        <v>0</v>
      </c>
      <c r="D351">
        <f t="shared" si="43"/>
        <v>185</v>
      </c>
      <c r="E351">
        <f t="shared" si="44"/>
        <v>0</v>
      </c>
      <c r="F351">
        <f t="shared" si="45"/>
        <v>0</v>
      </c>
      <c r="G351">
        <f t="shared" si="46"/>
        <v>20</v>
      </c>
      <c r="H351">
        <f t="shared" si="47"/>
        <v>20</v>
      </c>
      <c r="I351" t="str">
        <f t="shared" si="48"/>
        <v>SPRITE_ID_NEW_TRAIN</v>
      </c>
      <c r="U351"/>
      <c r="V351"/>
      <c r="W351"/>
    </row>
    <row r="352" spans="1:23">
      <c r="A352" s="2" t="s">
        <v>377</v>
      </c>
      <c r="B352">
        <f t="shared" si="41"/>
        <v>0</v>
      </c>
      <c r="C352">
        <f t="shared" si="42"/>
        <v>0</v>
      </c>
      <c r="D352">
        <f t="shared" si="43"/>
        <v>185</v>
      </c>
      <c r="E352">
        <f t="shared" si="44"/>
        <v>0</v>
      </c>
      <c r="F352">
        <f t="shared" si="45"/>
        <v>0</v>
      </c>
      <c r="G352">
        <f t="shared" si="46"/>
        <v>20</v>
      </c>
      <c r="H352">
        <f t="shared" si="47"/>
        <v>20</v>
      </c>
      <c r="I352" t="str">
        <f t="shared" si="48"/>
        <v>SPRITE_ID_NEW_TRAIN</v>
      </c>
      <c r="U352"/>
      <c r="V352"/>
      <c r="W352"/>
    </row>
    <row r="353" spans="1:23">
      <c r="A353" s="2" t="s">
        <v>378</v>
      </c>
      <c r="B353">
        <f t="shared" si="41"/>
        <v>0</v>
      </c>
      <c r="C353">
        <f t="shared" si="42"/>
        <v>0</v>
      </c>
      <c r="D353">
        <f t="shared" si="43"/>
        <v>185</v>
      </c>
      <c r="E353">
        <f t="shared" si="44"/>
        <v>0</v>
      </c>
      <c r="F353">
        <f t="shared" si="45"/>
        <v>0</v>
      </c>
      <c r="G353">
        <f t="shared" si="46"/>
        <v>20</v>
      </c>
      <c r="H353">
        <f t="shared" si="47"/>
        <v>20</v>
      </c>
      <c r="I353" t="str">
        <f t="shared" si="48"/>
        <v>SPRITE_ID_NEW_TRAIN</v>
      </c>
      <c r="U353"/>
      <c r="V353"/>
      <c r="W353"/>
    </row>
    <row r="354" spans="1:23">
      <c r="A354" s="2" t="s">
        <v>379</v>
      </c>
      <c r="B354">
        <f t="shared" si="41"/>
        <v>0</v>
      </c>
      <c r="C354">
        <f t="shared" si="42"/>
        <v>0</v>
      </c>
      <c r="D354">
        <f t="shared" si="43"/>
        <v>185</v>
      </c>
      <c r="E354">
        <f t="shared" si="44"/>
        <v>0</v>
      </c>
      <c r="F354">
        <f t="shared" si="45"/>
        <v>0</v>
      </c>
      <c r="G354">
        <f t="shared" si="46"/>
        <v>20</v>
      </c>
      <c r="H354">
        <f t="shared" si="47"/>
        <v>20</v>
      </c>
      <c r="I354" t="str">
        <f t="shared" si="48"/>
        <v>SPRITE_ID_NEW_TRAIN</v>
      </c>
      <c r="U354"/>
      <c r="V354"/>
      <c r="W354"/>
    </row>
    <row r="355" spans="1:23">
      <c r="A355" s="2" t="s">
        <v>380</v>
      </c>
      <c r="B355">
        <f t="shared" si="41"/>
        <v>0</v>
      </c>
      <c r="C355">
        <f t="shared" si="42"/>
        <v>0</v>
      </c>
      <c r="D355">
        <f t="shared" si="43"/>
        <v>185</v>
      </c>
      <c r="E355">
        <f t="shared" si="44"/>
        <v>0</v>
      </c>
      <c r="F355">
        <f t="shared" si="45"/>
        <v>0</v>
      </c>
      <c r="G355">
        <f t="shared" si="46"/>
        <v>20</v>
      </c>
      <c r="H355">
        <f t="shared" si="47"/>
        <v>20</v>
      </c>
      <c r="I355" t="str">
        <f t="shared" si="48"/>
        <v>SPRITE_ID_NEW_TRAIN</v>
      </c>
      <c r="U355"/>
      <c r="V355"/>
      <c r="W355"/>
    </row>
    <row r="356" spans="1:23">
      <c r="A356" s="2" t="s">
        <v>381</v>
      </c>
      <c r="B356">
        <f t="shared" si="41"/>
        <v>0</v>
      </c>
      <c r="C356">
        <f t="shared" si="42"/>
        <v>0</v>
      </c>
      <c r="D356">
        <f t="shared" si="43"/>
        <v>185</v>
      </c>
      <c r="E356">
        <f t="shared" si="44"/>
        <v>0</v>
      </c>
      <c r="F356">
        <f t="shared" si="45"/>
        <v>0</v>
      </c>
      <c r="G356">
        <f t="shared" si="46"/>
        <v>20</v>
      </c>
      <c r="H356">
        <f t="shared" si="47"/>
        <v>20</v>
      </c>
      <c r="I356" t="str">
        <f t="shared" si="48"/>
        <v>SPRITE_ID_NEW_TRAIN</v>
      </c>
      <c r="U356"/>
      <c r="V356"/>
      <c r="W356"/>
    </row>
    <row r="357" spans="1:23">
      <c r="A357" s="2" t="s">
        <v>382</v>
      </c>
      <c r="B357">
        <f t="shared" si="41"/>
        <v>0</v>
      </c>
      <c r="C357">
        <f t="shared" si="42"/>
        <v>0</v>
      </c>
      <c r="D357">
        <f t="shared" si="43"/>
        <v>185</v>
      </c>
      <c r="E357">
        <f t="shared" si="44"/>
        <v>0</v>
      </c>
      <c r="F357">
        <f t="shared" si="45"/>
        <v>0</v>
      </c>
      <c r="G357">
        <f t="shared" si="46"/>
        <v>20</v>
      </c>
      <c r="H357">
        <f t="shared" si="47"/>
        <v>20</v>
      </c>
      <c r="I357" t="str">
        <f t="shared" si="48"/>
        <v>SPRITE_ID_NEW_TRAIN</v>
      </c>
      <c r="U357"/>
      <c r="V357"/>
      <c r="W357"/>
    </row>
    <row r="358" spans="1:23">
      <c r="A358" s="2" t="s">
        <v>383</v>
      </c>
      <c r="B358">
        <f t="shared" si="41"/>
        <v>0</v>
      </c>
      <c r="C358">
        <f t="shared" si="42"/>
        <v>0</v>
      </c>
      <c r="D358">
        <f t="shared" si="43"/>
        <v>185</v>
      </c>
      <c r="E358">
        <f t="shared" si="44"/>
        <v>0</v>
      </c>
      <c r="F358">
        <f t="shared" si="45"/>
        <v>0</v>
      </c>
      <c r="G358">
        <f t="shared" si="46"/>
        <v>20</v>
      </c>
      <c r="H358">
        <f t="shared" si="47"/>
        <v>20</v>
      </c>
      <c r="I358" t="str">
        <f t="shared" si="48"/>
        <v>SPRITE_ID_NEW_TRAIN</v>
      </c>
      <c r="U358"/>
      <c r="V358"/>
      <c r="W358"/>
    </row>
    <row r="359" spans="1:23">
      <c r="A359" s="2" t="s">
        <v>384</v>
      </c>
      <c r="B359">
        <f t="shared" si="41"/>
        <v>0</v>
      </c>
      <c r="C359">
        <f t="shared" si="42"/>
        <v>0</v>
      </c>
      <c r="D359">
        <f t="shared" si="43"/>
        <v>185</v>
      </c>
      <c r="E359">
        <f t="shared" si="44"/>
        <v>0</v>
      </c>
      <c r="F359">
        <f t="shared" si="45"/>
        <v>0</v>
      </c>
      <c r="G359">
        <f t="shared" si="46"/>
        <v>20</v>
      </c>
      <c r="H359">
        <f t="shared" si="47"/>
        <v>20</v>
      </c>
      <c r="I359" t="str">
        <f t="shared" si="48"/>
        <v>SPRITE_ID_NEW_TRAIN</v>
      </c>
      <c r="U359"/>
      <c r="V359"/>
      <c r="W359"/>
    </row>
    <row r="360" spans="1:23">
      <c r="A360" s="2" t="s">
        <v>385</v>
      </c>
      <c r="B360">
        <f t="shared" si="41"/>
        <v>0</v>
      </c>
      <c r="C360">
        <f t="shared" si="42"/>
        <v>0</v>
      </c>
      <c r="D360">
        <f t="shared" si="43"/>
        <v>185</v>
      </c>
      <c r="E360">
        <f t="shared" si="44"/>
        <v>0</v>
      </c>
      <c r="F360">
        <f t="shared" si="45"/>
        <v>0</v>
      </c>
      <c r="G360">
        <f t="shared" si="46"/>
        <v>20</v>
      </c>
      <c r="H360">
        <f t="shared" si="47"/>
        <v>20</v>
      </c>
      <c r="I360" t="str">
        <f t="shared" si="48"/>
        <v>SPRITE_ID_NEW_TRAIN</v>
      </c>
      <c r="U360"/>
      <c r="V360"/>
      <c r="W360"/>
    </row>
    <row r="361" spans="1:23">
      <c r="A361" s="2" t="s">
        <v>386</v>
      </c>
      <c r="B361">
        <f t="shared" si="41"/>
        <v>0</v>
      </c>
      <c r="C361">
        <f t="shared" si="42"/>
        <v>0</v>
      </c>
      <c r="D361">
        <f t="shared" si="43"/>
        <v>185</v>
      </c>
      <c r="E361">
        <f t="shared" si="44"/>
        <v>0</v>
      </c>
      <c r="F361">
        <f t="shared" si="45"/>
        <v>0</v>
      </c>
      <c r="G361">
        <f t="shared" si="46"/>
        <v>20</v>
      </c>
      <c r="H361">
        <f t="shared" si="47"/>
        <v>20</v>
      </c>
      <c r="I361" t="str">
        <f t="shared" si="48"/>
        <v>SPRITE_ID_NEW_TRAIN</v>
      </c>
      <c r="U361"/>
      <c r="V361"/>
      <c r="W361"/>
    </row>
    <row r="362" spans="1:23">
      <c r="A362" s="2" t="s">
        <v>387</v>
      </c>
      <c r="B362">
        <f t="shared" si="41"/>
        <v>0</v>
      </c>
      <c r="C362">
        <f t="shared" si="42"/>
        <v>0</v>
      </c>
      <c r="D362">
        <f t="shared" si="43"/>
        <v>185</v>
      </c>
      <c r="E362">
        <f t="shared" si="44"/>
        <v>0</v>
      </c>
      <c r="F362">
        <f t="shared" si="45"/>
        <v>0</v>
      </c>
      <c r="G362">
        <f t="shared" si="46"/>
        <v>20</v>
      </c>
      <c r="H362">
        <f t="shared" si="47"/>
        <v>20</v>
      </c>
      <c r="I362" t="str">
        <f t="shared" si="48"/>
        <v>SPRITE_ID_NEW_TRAIN</v>
      </c>
      <c r="U362"/>
      <c r="V362"/>
      <c r="W362"/>
    </row>
    <row r="363" spans="1:23">
      <c r="A363" s="2" t="s">
        <v>388</v>
      </c>
      <c r="B363">
        <f t="shared" si="41"/>
        <v>0</v>
      </c>
      <c r="C363">
        <f t="shared" si="42"/>
        <v>0</v>
      </c>
      <c r="D363">
        <f t="shared" si="43"/>
        <v>185</v>
      </c>
      <c r="E363">
        <f t="shared" si="44"/>
        <v>0</v>
      </c>
      <c r="F363">
        <f t="shared" si="45"/>
        <v>0</v>
      </c>
      <c r="G363">
        <f t="shared" si="46"/>
        <v>20</v>
      </c>
      <c r="H363">
        <f t="shared" si="47"/>
        <v>20</v>
      </c>
      <c r="I363" t="str">
        <f t="shared" si="48"/>
        <v>SPRITE_ID_NEW_TRAIN</v>
      </c>
      <c r="U363"/>
      <c r="V363"/>
      <c r="W363"/>
    </row>
    <row r="364" spans="1:23">
      <c r="A364" s="2" t="s">
        <v>389</v>
      </c>
      <c r="B364">
        <f t="shared" si="41"/>
        <v>0</v>
      </c>
      <c r="C364">
        <f t="shared" si="42"/>
        <v>0</v>
      </c>
      <c r="D364">
        <f t="shared" si="43"/>
        <v>185</v>
      </c>
      <c r="E364">
        <f t="shared" si="44"/>
        <v>0</v>
      </c>
      <c r="F364">
        <f t="shared" si="45"/>
        <v>0</v>
      </c>
      <c r="G364">
        <f t="shared" si="46"/>
        <v>20</v>
      </c>
      <c r="H364">
        <f t="shared" si="47"/>
        <v>20</v>
      </c>
      <c r="I364" t="str">
        <f t="shared" si="48"/>
        <v>SPRITE_ID_NEW_TRAIN</v>
      </c>
      <c r="U364"/>
      <c r="V364"/>
      <c r="W364"/>
    </row>
    <row r="365" spans="1:23">
      <c r="A365" s="2" t="s">
        <v>390</v>
      </c>
      <c r="B365">
        <f t="shared" si="41"/>
        <v>0</v>
      </c>
      <c r="C365">
        <f t="shared" si="42"/>
        <v>0</v>
      </c>
      <c r="D365">
        <f t="shared" si="43"/>
        <v>185</v>
      </c>
      <c r="E365">
        <f t="shared" si="44"/>
        <v>0</v>
      </c>
      <c r="F365">
        <f t="shared" si="45"/>
        <v>0</v>
      </c>
      <c r="G365">
        <f t="shared" si="46"/>
        <v>20</v>
      </c>
      <c r="H365">
        <f t="shared" si="47"/>
        <v>20</v>
      </c>
      <c r="I365" t="str">
        <f t="shared" si="48"/>
        <v>SPRITE_ID_NEW_TRAIN</v>
      </c>
      <c r="U365"/>
      <c r="V365"/>
      <c r="W365"/>
    </row>
    <row r="366" spans="1:23">
      <c r="A366" s="2" t="s">
        <v>391</v>
      </c>
      <c r="B366">
        <f t="shared" si="41"/>
        <v>0</v>
      </c>
      <c r="C366">
        <f t="shared" si="42"/>
        <v>0</v>
      </c>
      <c r="D366">
        <f t="shared" si="43"/>
        <v>185</v>
      </c>
      <c r="E366">
        <f t="shared" si="44"/>
        <v>0</v>
      </c>
      <c r="F366">
        <f t="shared" si="45"/>
        <v>0</v>
      </c>
      <c r="G366">
        <f t="shared" si="46"/>
        <v>20</v>
      </c>
      <c r="H366">
        <f t="shared" si="47"/>
        <v>20</v>
      </c>
      <c r="I366" t="str">
        <f t="shared" si="48"/>
        <v>SPRITE_ID_NEW_TRAIN</v>
      </c>
      <c r="U366"/>
      <c r="V366"/>
      <c r="W366"/>
    </row>
    <row r="367" spans="1:23">
      <c r="A367" s="2" t="s">
        <v>392</v>
      </c>
      <c r="B367">
        <f t="shared" si="41"/>
        <v>0</v>
      </c>
      <c r="C367">
        <f t="shared" si="42"/>
        <v>0</v>
      </c>
      <c r="D367">
        <f t="shared" si="43"/>
        <v>185</v>
      </c>
      <c r="E367">
        <f t="shared" si="44"/>
        <v>0</v>
      </c>
      <c r="F367">
        <f t="shared" si="45"/>
        <v>0</v>
      </c>
      <c r="G367">
        <f t="shared" si="46"/>
        <v>20</v>
      </c>
      <c r="H367">
        <f t="shared" si="47"/>
        <v>20</v>
      </c>
      <c r="I367" t="str">
        <f t="shared" si="48"/>
        <v>SPRITE_ID_NEW_TRAIN</v>
      </c>
      <c r="U367"/>
      <c r="V367"/>
      <c r="W367"/>
    </row>
    <row r="368" spans="1:23">
      <c r="A368" s="2" t="s">
        <v>393</v>
      </c>
      <c r="B368">
        <f t="shared" si="41"/>
        <v>0</v>
      </c>
      <c r="C368">
        <f t="shared" si="42"/>
        <v>0</v>
      </c>
      <c r="D368">
        <f t="shared" si="43"/>
        <v>185</v>
      </c>
      <c r="E368">
        <f t="shared" si="44"/>
        <v>0</v>
      </c>
      <c r="F368">
        <f t="shared" si="45"/>
        <v>0</v>
      </c>
      <c r="G368">
        <f t="shared" si="46"/>
        <v>20</v>
      </c>
      <c r="H368">
        <f t="shared" si="47"/>
        <v>20</v>
      </c>
      <c r="I368" t="str">
        <f t="shared" si="48"/>
        <v>SPRITE_ID_NEW_TRAIN</v>
      </c>
      <c r="U368"/>
      <c r="V368"/>
      <c r="W368"/>
    </row>
    <row r="369" spans="1:23">
      <c r="A369" s="2" t="s">
        <v>394</v>
      </c>
      <c r="B369">
        <f t="shared" si="41"/>
        <v>0</v>
      </c>
      <c r="C369">
        <f t="shared" si="42"/>
        <v>0</v>
      </c>
      <c r="D369">
        <f t="shared" si="43"/>
        <v>185</v>
      </c>
      <c r="E369">
        <f t="shared" si="44"/>
        <v>0</v>
      </c>
      <c r="F369">
        <f t="shared" si="45"/>
        <v>0</v>
      </c>
      <c r="G369">
        <f t="shared" si="46"/>
        <v>20</v>
      </c>
      <c r="H369">
        <f t="shared" si="47"/>
        <v>20</v>
      </c>
      <c r="I369" t="str">
        <f t="shared" si="48"/>
        <v>SPRITE_ID_NEW_TRAIN</v>
      </c>
      <c r="U369"/>
      <c r="V369"/>
      <c r="W369"/>
    </row>
    <row r="370" spans="1:23">
      <c r="A370" s="2" t="s">
        <v>395</v>
      </c>
      <c r="B370">
        <f t="shared" si="41"/>
        <v>0</v>
      </c>
      <c r="C370">
        <f t="shared" si="42"/>
        <v>0</v>
      </c>
      <c r="D370">
        <f t="shared" si="43"/>
        <v>185</v>
      </c>
      <c r="E370">
        <f t="shared" si="44"/>
        <v>0</v>
      </c>
      <c r="F370">
        <f t="shared" si="45"/>
        <v>0</v>
      </c>
      <c r="G370">
        <f t="shared" si="46"/>
        <v>20</v>
      </c>
      <c r="H370">
        <f t="shared" si="47"/>
        <v>20</v>
      </c>
      <c r="I370" t="str">
        <f t="shared" si="48"/>
        <v>SPRITE_ID_NEW_TRAIN</v>
      </c>
      <c r="U370"/>
      <c r="V370"/>
      <c r="W370"/>
    </row>
    <row r="371" spans="1:23">
      <c r="A371" s="2" t="s">
        <v>396</v>
      </c>
      <c r="B371">
        <f t="shared" si="41"/>
        <v>0</v>
      </c>
      <c r="C371">
        <f t="shared" si="42"/>
        <v>0</v>
      </c>
      <c r="D371">
        <f t="shared" si="43"/>
        <v>185</v>
      </c>
      <c r="E371">
        <f t="shared" si="44"/>
        <v>0</v>
      </c>
      <c r="F371">
        <f t="shared" si="45"/>
        <v>0</v>
      </c>
      <c r="G371">
        <f t="shared" si="46"/>
        <v>20</v>
      </c>
      <c r="H371">
        <f t="shared" si="47"/>
        <v>20</v>
      </c>
      <c r="I371" t="str">
        <f t="shared" si="48"/>
        <v>SPRITE_ID_NEW_TRAIN</v>
      </c>
      <c r="U371"/>
      <c r="V371"/>
      <c r="W371"/>
    </row>
    <row r="372" spans="1:23">
      <c r="A372" s="2" t="s">
        <v>397</v>
      </c>
      <c r="B372">
        <f t="shared" si="41"/>
        <v>0</v>
      </c>
      <c r="C372">
        <f t="shared" si="42"/>
        <v>0</v>
      </c>
      <c r="D372">
        <f t="shared" si="43"/>
        <v>185</v>
      </c>
      <c r="E372">
        <f t="shared" si="44"/>
        <v>0</v>
      </c>
      <c r="F372">
        <f t="shared" si="45"/>
        <v>0</v>
      </c>
      <c r="G372">
        <f t="shared" si="46"/>
        <v>20</v>
      </c>
      <c r="H372">
        <f t="shared" si="47"/>
        <v>20</v>
      </c>
      <c r="I372" t="str">
        <f t="shared" si="48"/>
        <v>SPRITE_ID_NEW_TRAIN</v>
      </c>
      <c r="U372"/>
      <c r="V372"/>
      <c r="W372"/>
    </row>
    <row r="373" spans="1:23">
      <c r="A373" s="2" t="s">
        <v>398</v>
      </c>
      <c r="B373">
        <f t="shared" si="41"/>
        <v>0</v>
      </c>
      <c r="C373">
        <f t="shared" si="42"/>
        <v>0</v>
      </c>
      <c r="D373">
        <f t="shared" si="43"/>
        <v>185</v>
      </c>
      <c r="E373">
        <f t="shared" si="44"/>
        <v>0</v>
      </c>
      <c r="F373">
        <f t="shared" si="45"/>
        <v>0</v>
      </c>
      <c r="G373">
        <f t="shared" si="46"/>
        <v>20</v>
      </c>
      <c r="H373">
        <f t="shared" si="47"/>
        <v>20</v>
      </c>
      <c r="I373" t="str">
        <f t="shared" si="48"/>
        <v>SPRITE_ID_NEW_TRAIN</v>
      </c>
      <c r="U373"/>
      <c r="V373"/>
      <c r="W373"/>
    </row>
    <row r="374" spans="1:23">
      <c r="A374" s="2" t="s">
        <v>399</v>
      </c>
      <c r="B374">
        <f t="shared" si="41"/>
        <v>0</v>
      </c>
      <c r="C374">
        <f t="shared" si="42"/>
        <v>0</v>
      </c>
      <c r="D374">
        <f t="shared" si="43"/>
        <v>185</v>
      </c>
      <c r="E374">
        <f t="shared" si="44"/>
        <v>0</v>
      </c>
      <c r="F374">
        <f t="shared" si="45"/>
        <v>0</v>
      </c>
      <c r="G374">
        <f t="shared" si="46"/>
        <v>20</v>
      </c>
      <c r="H374">
        <f t="shared" si="47"/>
        <v>20</v>
      </c>
      <c r="I374" t="str">
        <f t="shared" si="48"/>
        <v>SPRITE_ID_NEW_TRAIN</v>
      </c>
      <c r="U374"/>
      <c r="V374"/>
      <c r="W374"/>
    </row>
    <row r="375" spans="1:23">
      <c r="A375" s="2" t="s">
        <v>400</v>
      </c>
      <c r="B375">
        <f t="shared" si="41"/>
        <v>0</v>
      </c>
      <c r="C375">
        <f t="shared" si="42"/>
        <v>0</v>
      </c>
      <c r="D375">
        <f t="shared" si="43"/>
        <v>185</v>
      </c>
      <c r="E375">
        <f t="shared" si="44"/>
        <v>0</v>
      </c>
      <c r="F375">
        <f t="shared" si="45"/>
        <v>0</v>
      </c>
      <c r="G375">
        <f t="shared" si="46"/>
        <v>20</v>
      </c>
      <c r="H375">
        <f t="shared" si="47"/>
        <v>20</v>
      </c>
      <c r="I375" t="str">
        <f t="shared" si="48"/>
        <v>SPRITE_ID_NEW_TRAIN</v>
      </c>
      <c r="U375"/>
      <c r="V375"/>
      <c r="W375"/>
    </row>
    <row r="376" spans="1:23">
      <c r="A376" s="2" t="s">
        <v>401</v>
      </c>
      <c r="B376">
        <f t="shared" si="41"/>
        <v>0</v>
      </c>
      <c r="C376">
        <f t="shared" si="42"/>
        <v>0</v>
      </c>
      <c r="D376">
        <f t="shared" si="43"/>
        <v>185</v>
      </c>
      <c r="E376">
        <f t="shared" si="44"/>
        <v>0</v>
      </c>
      <c r="F376">
        <f t="shared" si="45"/>
        <v>0</v>
      </c>
      <c r="G376">
        <f t="shared" si="46"/>
        <v>20</v>
      </c>
      <c r="H376">
        <f t="shared" si="47"/>
        <v>20</v>
      </c>
      <c r="I376" t="str">
        <f t="shared" si="48"/>
        <v>SPRITE_ID_NEW_TRAIN</v>
      </c>
      <c r="U376"/>
      <c r="V376"/>
      <c r="W376"/>
    </row>
    <row r="377" spans="1:23">
      <c r="A377" s="2" t="s">
        <v>402</v>
      </c>
      <c r="B377">
        <f t="shared" si="41"/>
        <v>0</v>
      </c>
      <c r="C377">
        <f t="shared" si="42"/>
        <v>0</v>
      </c>
      <c r="D377">
        <f t="shared" si="43"/>
        <v>185</v>
      </c>
      <c r="E377">
        <f t="shared" si="44"/>
        <v>0</v>
      </c>
      <c r="F377">
        <f t="shared" si="45"/>
        <v>0</v>
      </c>
      <c r="G377">
        <f t="shared" si="46"/>
        <v>20</v>
      </c>
      <c r="H377">
        <f t="shared" si="47"/>
        <v>20</v>
      </c>
      <c r="I377" t="str">
        <f t="shared" si="48"/>
        <v>SPRITE_ID_NEW_TRAIN</v>
      </c>
      <c r="U377"/>
      <c r="V377"/>
      <c r="W377"/>
    </row>
    <row r="378" spans="1:23">
      <c r="A378" s="2" t="s">
        <v>403</v>
      </c>
      <c r="B378">
        <f t="shared" si="41"/>
        <v>0</v>
      </c>
      <c r="C378">
        <f t="shared" si="42"/>
        <v>0</v>
      </c>
      <c r="D378">
        <f t="shared" si="43"/>
        <v>185</v>
      </c>
      <c r="E378">
        <f t="shared" si="44"/>
        <v>0</v>
      </c>
      <c r="F378">
        <f t="shared" si="45"/>
        <v>0</v>
      </c>
      <c r="G378">
        <f t="shared" si="46"/>
        <v>20</v>
      </c>
      <c r="H378">
        <f t="shared" si="47"/>
        <v>20</v>
      </c>
      <c r="I378" t="str">
        <f t="shared" si="48"/>
        <v>SPRITE_ID_NEW_TRAIN</v>
      </c>
      <c r="U378"/>
      <c r="V378"/>
      <c r="W378"/>
    </row>
    <row r="379" spans="1:23">
      <c r="A379" s="2" t="s">
        <v>404</v>
      </c>
      <c r="B379">
        <f t="shared" si="41"/>
        <v>0</v>
      </c>
      <c r="C379">
        <f t="shared" si="42"/>
        <v>0</v>
      </c>
      <c r="D379">
        <f t="shared" si="43"/>
        <v>185</v>
      </c>
      <c r="E379">
        <f t="shared" si="44"/>
        <v>0</v>
      </c>
      <c r="F379">
        <f t="shared" si="45"/>
        <v>0</v>
      </c>
      <c r="G379">
        <f t="shared" si="46"/>
        <v>20</v>
      </c>
      <c r="H379">
        <f t="shared" si="47"/>
        <v>20</v>
      </c>
      <c r="I379" t="str">
        <f t="shared" si="48"/>
        <v>SPRITE_ID_NEW_TRAIN</v>
      </c>
      <c r="U379"/>
      <c r="V379"/>
      <c r="W379"/>
    </row>
    <row r="380" spans="1:23">
      <c r="A380" s="2" t="s">
        <v>405</v>
      </c>
      <c r="B380">
        <f t="shared" si="41"/>
        <v>0</v>
      </c>
      <c r="C380">
        <f t="shared" si="42"/>
        <v>0</v>
      </c>
      <c r="D380">
        <f t="shared" si="43"/>
        <v>185</v>
      </c>
      <c r="E380">
        <f t="shared" si="44"/>
        <v>0</v>
      </c>
      <c r="F380">
        <f t="shared" si="45"/>
        <v>0</v>
      </c>
      <c r="G380">
        <f t="shared" si="46"/>
        <v>20</v>
      </c>
      <c r="H380">
        <f t="shared" si="47"/>
        <v>20</v>
      </c>
      <c r="I380" t="str">
        <f t="shared" si="48"/>
        <v>SPRITE_ID_NEW_TRAIN</v>
      </c>
      <c r="U380"/>
      <c r="V380"/>
      <c r="W380"/>
    </row>
    <row r="381" spans="1:23">
      <c r="A381" s="2" t="s">
        <v>406</v>
      </c>
      <c r="B381">
        <f t="shared" si="41"/>
        <v>0</v>
      </c>
      <c r="C381">
        <f t="shared" si="42"/>
        <v>0</v>
      </c>
      <c r="D381">
        <f t="shared" si="43"/>
        <v>185</v>
      </c>
      <c r="E381">
        <f t="shared" si="44"/>
        <v>0</v>
      </c>
      <c r="F381">
        <f t="shared" si="45"/>
        <v>0</v>
      </c>
      <c r="G381">
        <f t="shared" si="46"/>
        <v>20</v>
      </c>
      <c r="H381">
        <f t="shared" si="47"/>
        <v>20</v>
      </c>
      <c r="I381" t="str">
        <f t="shared" si="48"/>
        <v>SPRITE_ID_NEW_TRAIN</v>
      </c>
      <c r="U381"/>
      <c r="V381"/>
      <c r="W381"/>
    </row>
    <row r="382" spans="1:23">
      <c r="A382" s="2" t="s">
        <v>407</v>
      </c>
      <c r="B382">
        <f t="shared" si="41"/>
        <v>0</v>
      </c>
      <c r="C382">
        <f t="shared" si="42"/>
        <v>0</v>
      </c>
      <c r="D382">
        <f t="shared" si="43"/>
        <v>185</v>
      </c>
      <c r="E382">
        <f t="shared" si="44"/>
        <v>0</v>
      </c>
      <c r="F382">
        <f t="shared" si="45"/>
        <v>0</v>
      </c>
      <c r="G382">
        <f t="shared" si="46"/>
        <v>20</v>
      </c>
      <c r="H382">
        <f t="shared" si="47"/>
        <v>20</v>
      </c>
      <c r="I382" t="str">
        <f t="shared" si="48"/>
        <v>SPRITE_ID_NEW_TRAIN</v>
      </c>
      <c r="U382"/>
      <c r="V382"/>
      <c r="W382"/>
    </row>
    <row r="383" spans="1:23">
      <c r="A383" s="2" t="s">
        <v>408</v>
      </c>
      <c r="B383">
        <f t="shared" si="41"/>
        <v>0</v>
      </c>
      <c r="C383">
        <f t="shared" si="42"/>
        <v>0</v>
      </c>
      <c r="D383">
        <f t="shared" si="43"/>
        <v>185</v>
      </c>
      <c r="E383">
        <f t="shared" si="44"/>
        <v>0</v>
      </c>
      <c r="F383">
        <f t="shared" si="45"/>
        <v>0</v>
      </c>
      <c r="G383">
        <f t="shared" si="46"/>
        <v>20</v>
      </c>
      <c r="H383">
        <f t="shared" si="47"/>
        <v>20</v>
      </c>
      <c r="I383" t="str">
        <f t="shared" si="48"/>
        <v>SPRITE_ID_NEW_TRAIN</v>
      </c>
      <c r="U383"/>
      <c r="V383"/>
      <c r="W383"/>
    </row>
    <row r="384" spans="1:23">
      <c r="A384" s="2" t="s">
        <v>409</v>
      </c>
      <c r="B384">
        <f t="shared" si="41"/>
        <v>0</v>
      </c>
      <c r="C384">
        <f t="shared" si="42"/>
        <v>0</v>
      </c>
      <c r="D384">
        <f t="shared" si="43"/>
        <v>185</v>
      </c>
      <c r="E384">
        <f t="shared" si="44"/>
        <v>0</v>
      </c>
      <c r="F384">
        <f t="shared" si="45"/>
        <v>0</v>
      </c>
      <c r="G384">
        <f t="shared" si="46"/>
        <v>20</v>
      </c>
      <c r="H384">
        <f t="shared" si="47"/>
        <v>20</v>
      </c>
      <c r="I384" t="str">
        <f t="shared" si="48"/>
        <v>SPRITE_ID_NEW_TRAIN</v>
      </c>
      <c r="U384"/>
      <c r="V384"/>
      <c r="W384"/>
    </row>
    <row r="385" spans="1:23">
      <c r="A385" s="2" t="s">
        <v>410</v>
      </c>
      <c r="B385">
        <f t="shared" si="41"/>
        <v>0</v>
      </c>
      <c r="C385">
        <f t="shared" si="42"/>
        <v>0</v>
      </c>
      <c r="D385">
        <f t="shared" si="43"/>
        <v>185</v>
      </c>
      <c r="E385">
        <f t="shared" si="44"/>
        <v>0</v>
      </c>
      <c r="F385">
        <f t="shared" si="45"/>
        <v>0</v>
      </c>
      <c r="G385">
        <f t="shared" si="46"/>
        <v>20</v>
      </c>
      <c r="H385">
        <f t="shared" si="47"/>
        <v>20</v>
      </c>
      <c r="I385" t="str">
        <f t="shared" si="48"/>
        <v>SPRITE_ID_NEW_TRAIN</v>
      </c>
      <c r="U385"/>
      <c r="V385"/>
      <c r="W385"/>
    </row>
    <row r="386" spans="1:23">
      <c r="A386" s="2" t="s">
        <v>411</v>
      </c>
      <c r="B386">
        <f t="shared" si="41"/>
        <v>0</v>
      </c>
      <c r="C386">
        <f t="shared" si="42"/>
        <v>0</v>
      </c>
      <c r="D386">
        <f t="shared" si="43"/>
        <v>185</v>
      </c>
      <c r="E386">
        <f t="shared" si="44"/>
        <v>0</v>
      </c>
      <c r="F386">
        <f t="shared" si="45"/>
        <v>0</v>
      </c>
      <c r="G386">
        <f t="shared" si="46"/>
        <v>20</v>
      </c>
      <c r="H386">
        <f t="shared" si="47"/>
        <v>20</v>
      </c>
      <c r="I386" t="str">
        <f t="shared" si="48"/>
        <v>SPRITE_ID_NEW_TRAIN</v>
      </c>
      <c r="U386"/>
      <c r="V386"/>
      <c r="W386"/>
    </row>
    <row r="387" spans="1:23">
      <c r="A387" s="2" t="s">
        <v>412</v>
      </c>
      <c r="B387">
        <f t="shared" si="41"/>
        <v>0</v>
      </c>
      <c r="C387">
        <f t="shared" si="42"/>
        <v>0</v>
      </c>
      <c r="D387">
        <f t="shared" si="43"/>
        <v>185</v>
      </c>
      <c r="E387">
        <f t="shared" si="44"/>
        <v>0</v>
      </c>
      <c r="F387">
        <f t="shared" si="45"/>
        <v>0</v>
      </c>
      <c r="G387">
        <f t="shared" si="46"/>
        <v>20</v>
      </c>
      <c r="H387">
        <f t="shared" si="47"/>
        <v>20</v>
      </c>
      <c r="I387" t="str">
        <f t="shared" si="48"/>
        <v>SPRITE_ID_NEW_TRAIN</v>
      </c>
      <c r="U387"/>
      <c r="V387"/>
      <c r="W387"/>
    </row>
    <row r="388" spans="1:23">
      <c r="A388" s="2" t="s">
        <v>413</v>
      </c>
      <c r="B388">
        <f t="shared" ref="B388:B451" si="49">B387</f>
        <v>0</v>
      </c>
      <c r="C388">
        <f t="shared" ref="C388:C451" si="50">C387</f>
        <v>0</v>
      </c>
      <c r="D388">
        <f t="shared" ref="D388:D451" si="51">D387</f>
        <v>185</v>
      </c>
      <c r="E388">
        <f t="shared" ref="E388:E451" si="52">E387</f>
        <v>0</v>
      </c>
      <c r="F388">
        <f t="shared" ref="F388:F451" si="53">F387</f>
        <v>0</v>
      </c>
      <c r="G388">
        <f t="shared" ref="G388:G451" si="54">G387</f>
        <v>20</v>
      </c>
      <c r="H388">
        <f t="shared" ref="H388:H451" si="55">H387</f>
        <v>20</v>
      </c>
      <c r="I388" t="str">
        <f t="shared" ref="I388:I451" si="56">I387</f>
        <v>SPRITE_ID_NEW_TRAIN</v>
      </c>
      <c r="U388"/>
      <c r="V388"/>
      <c r="W388"/>
    </row>
    <row r="389" spans="1:23">
      <c r="A389" s="2" t="s">
        <v>414</v>
      </c>
      <c r="B389">
        <f t="shared" si="49"/>
        <v>0</v>
      </c>
      <c r="C389">
        <f t="shared" si="50"/>
        <v>0</v>
      </c>
      <c r="D389">
        <f t="shared" si="51"/>
        <v>185</v>
      </c>
      <c r="E389">
        <f t="shared" si="52"/>
        <v>0</v>
      </c>
      <c r="F389">
        <f t="shared" si="53"/>
        <v>0</v>
      </c>
      <c r="G389">
        <f t="shared" si="54"/>
        <v>20</v>
      </c>
      <c r="H389">
        <f t="shared" si="55"/>
        <v>20</v>
      </c>
      <c r="I389" t="str">
        <f t="shared" si="56"/>
        <v>SPRITE_ID_NEW_TRAIN</v>
      </c>
      <c r="U389"/>
      <c r="V389"/>
      <c r="W389"/>
    </row>
    <row r="390" spans="1:23">
      <c r="A390" s="2" t="s">
        <v>415</v>
      </c>
      <c r="B390">
        <f t="shared" si="49"/>
        <v>0</v>
      </c>
      <c r="C390">
        <f t="shared" si="50"/>
        <v>0</v>
      </c>
      <c r="D390">
        <f t="shared" si="51"/>
        <v>185</v>
      </c>
      <c r="E390">
        <f t="shared" si="52"/>
        <v>0</v>
      </c>
      <c r="F390">
        <f t="shared" si="53"/>
        <v>0</v>
      </c>
      <c r="G390">
        <f t="shared" si="54"/>
        <v>20</v>
      </c>
      <c r="H390">
        <f t="shared" si="55"/>
        <v>20</v>
      </c>
      <c r="I390" t="str">
        <f t="shared" si="56"/>
        <v>SPRITE_ID_NEW_TRAIN</v>
      </c>
      <c r="U390"/>
      <c r="V390"/>
      <c r="W390"/>
    </row>
    <row r="391" spans="1:23">
      <c r="A391" s="2" t="s">
        <v>416</v>
      </c>
      <c r="B391">
        <f t="shared" si="49"/>
        <v>0</v>
      </c>
      <c r="C391">
        <f t="shared" si="50"/>
        <v>0</v>
      </c>
      <c r="D391">
        <f t="shared" si="51"/>
        <v>185</v>
      </c>
      <c r="E391">
        <f t="shared" si="52"/>
        <v>0</v>
      </c>
      <c r="F391">
        <f t="shared" si="53"/>
        <v>0</v>
      </c>
      <c r="G391">
        <f t="shared" si="54"/>
        <v>20</v>
      </c>
      <c r="H391">
        <f t="shared" si="55"/>
        <v>20</v>
      </c>
      <c r="I391" t="str">
        <f t="shared" si="56"/>
        <v>SPRITE_ID_NEW_TRAIN</v>
      </c>
      <c r="U391"/>
      <c r="V391"/>
      <c r="W391"/>
    </row>
    <row r="392" spans="1:23">
      <c r="A392" s="2" t="s">
        <v>417</v>
      </c>
      <c r="B392">
        <f t="shared" si="49"/>
        <v>0</v>
      </c>
      <c r="C392">
        <f t="shared" si="50"/>
        <v>0</v>
      </c>
      <c r="D392">
        <f t="shared" si="51"/>
        <v>185</v>
      </c>
      <c r="E392">
        <f t="shared" si="52"/>
        <v>0</v>
      </c>
      <c r="F392">
        <f t="shared" si="53"/>
        <v>0</v>
      </c>
      <c r="G392">
        <f t="shared" si="54"/>
        <v>20</v>
      </c>
      <c r="H392">
        <f t="shared" si="55"/>
        <v>20</v>
      </c>
      <c r="I392" t="str">
        <f t="shared" si="56"/>
        <v>SPRITE_ID_NEW_TRAIN</v>
      </c>
      <c r="U392"/>
      <c r="V392"/>
      <c r="W392"/>
    </row>
    <row r="393" spans="1:23">
      <c r="A393" s="2" t="s">
        <v>418</v>
      </c>
      <c r="B393">
        <f t="shared" si="49"/>
        <v>0</v>
      </c>
      <c r="C393">
        <f t="shared" si="50"/>
        <v>0</v>
      </c>
      <c r="D393">
        <f t="shared" si="51"/>
        <v>185</v>
      </c>
      <c r="E393">
        <f t="shared" si="52"/>
        <v>0</v>
      </c>
      <c r="F393">
        <f t="shared" si="53"/>
        <v>0</v>
      </c>
      <c r="G393">
        <f t="shared" si="54"/>
        <v>20</v>
      </c>
      <c r="H393">
        <f t="shared" si="55"/>
        <v>20</v>
      </c>
      <c r="I393" t="str">
        <f t="shared" si="56"/>
        <v>SPRITE_ID_NEW_TRAIN</v>
      </c>
      <c r="U393"/>
      <c r="V393"/>
      <c r="W393"/>
    </row>
    <row r="394" spans="1:23">
      <c r="A394" s="2" t="s">
        <v>419</v>
      </c>
      <c r="B394">
        <f t="shared" si="49"/>
        <v>0</v>
      </c>
      <c r="C394">
        <f t="shared" si="50"/>
        <v>0</v>
      </c>
      <c r="D394">
        <f t="shared" si="51"/>
        <v>185</v>
      </c>
      <c r="E394">
        <f t="shared" si="52"/>
        <v>0</v>
      </c>
      <c r="F394">
        <f t="shared" si="53"/>
        <v>0</v>
      </c>
      <c r="G394">
        <f t="shared" si="54"/>
        <v>20</v>
      </c>
      <c r="H394">
        <f t="shared" si="55"/>
        <v>20</v>
      </c>
      <c r="I394" t="str">
        <f t="shared" si="56"/>
        <v>SPRITE_ID_NEW_TRAIN</v>
      </c>
      <c r="U394"/>
      <c r="V394"/>
      <c r="W394"/>
    </row>
    <row r="395" spans="1:23">
      <c r="A395" s="2" t="s">
        <v>420</v>
      </c>
      <c r="B395">
        <f t="shared" si="49"/>
        <v>0</v>
      </c>
      <c r="C395">
        <f t="shared" si="50"/>
        <v>0</v>
      </c>
      <c r="D395">
        <f t="shared" si="51"/>
        <v>185</v>
      </c>
      <c r="E395">
        <f t="shared" si="52"/>
        <v>0</v>
      </c>
      <c r="F395">
        <f t="shared" si="53"/>
        <v>0</v>
      </c>
      <c r="G395">
        <f t="shared" si="54"/>
        <v>20</v>
      </c>
      <c r="H395">
        <f t="shared" si="55"/>
        <v>20</v>
      </c>
      <c r="I395" t="str">
        <f t="shared" si="56"/>
        <v>SPRITE_ID_NEW_TRAIN</v>
      </c>
      <c r="U395"/>
      <c r="V395"/>
      <c r="W395"/>
    </row>
    <row r="396" spans="1:23">
      <c r="A396" s="2" t="s">
        <v>421</v>
      </c>
      <c r="B396">
        <f t="shared" si="49"/>
        <v>0</v>
      </c>
      <c r="C396">
        <f t="shared" si="50"/>
        <v>0</v>
      </c>
      <c r="D396">
        <f t="shared" si="51"/>
        <v>185</v>
      </c>
      <c r="E396">
        <f t="shared" si="52"/>
        <v>0</v>
      </c>
      <c r="F396">
        <f t="shared" si="53"/>
        <v>0</v>
      </c>
      <c r="G396">
        <f t="shared" si="54"/>
        <v>20</v>
      </c>
      <c r="H396">
        <f t="shared" si="55"/>
        <v>20</v>
      </c>
      <c r="I396" t="str">
        <f t="shared" si="56"/>
        <v>SPRITE_ID_NEW_TRAIN</v>
      </c>
      <c r="U396"/>
      <c r="V396"/>
      <c r="W396"/>
    </row>
    <row r="397" spans="1:23">
      <c r="A397" s="2" t="s">
        <v>422</v>
      </c>
      <c r="B397">
        <f t="shared" si="49"/>
        <v>0</v>
      </c>
      <c r="C397">
        <f t="shared" si="50"/>
        <v>0</v>
      </c>
      <c r="D397">
        <f t="shared" si="51"/>
        <v>185</v>
      </c>
      <c r="E397">
        <f t="shared" si="52"/>
        <v>0</v>
      </c>
      <c r="F397">
        <f t="shared" si="53"/>
        <v>0</v>
      </c>
      <c r="G397">
        <f t="shared" si="54"/>
        <v>20</v>
      </c>
      <c r="H397">
        <f t="shared" si="55"/>
        <v>20</v>
      </c>
      <c r="I397" t="str">
        <f t="shared" si="56"/>
        <v>SPRITE_ID_NEW_TRAIN</v>
      </c>
      <c r="U397"/>
      <c r="V397"/>
      <c r="W397"/>
    </row>
    <row r="398" spans="1:23">
      <c r="A398" s="2" t="s">
        <v>423</v>
      </c>
      <c r="B398">
        <f t="shared" si="49"/>
        <v>0</v>
      </c>
      <c r="C398">
        <f t="shared" si="50"/>
        <v>0</v>
      </c>
      <c r="D398">
        <f t="shared" si="51"/>
        <v>185</v>
      </c>
      <c r="E398">
        <f t="shared" si="52"/>
        <v>0</v>
      </c>
      <c r="F398">
        <f t="shared" si="53"/>
        <v>0</v>
      </c>
      <c r="G398">
        <f t="shared" si="54"/>
        <v>20</v>
      </c>
      <c r="H398">
        <f t="shared" si="55"/>
        <v>20</v>
      </c>
      <c r="I398" t="str">
        <f t="shared" si="56"/>
        <v>SPRITE_ID_NEW_TRAIN</v>
      </c>
      <c r="U398"/>
      <c r="V398"/>
      <c r="W398"/>
    </row>
    <row r="399" spans="1:23">
      <c r="A399" s="2" t="s">
        <v>424</v>
      </c>
      <c r="B399">
        <f t="shared" si="49"/>
        <v>0</v>
      </c>
      <c r="C399">
        <f t="shared" si="50"/>
        <v>0</v>
      </c>
      <c r="D399">
        <f t="shared" si="51"/>
        <v>185</v>
      </c>
      <c r="E399">
        <f t="shared" si="52"/>
        <v>0</v>
      </c>
      <c r="F399">
        <f t="shared" si="53"/>
        <v>0</v>
      </c>
      <c r="G399">
        <f t="shared" si="54"/>
        <v>20</v>
      </c>
      <c r="H399">
        <f t="shared" si="55"/>
        <v>20</v>
      </c>
      <c r="I399" t="str">
        <f t="shared" si="56"/>
        <v>SPRITE_ID_NEW_TRAIN</v>
      </c>
      <c r="U399"/>
      <c r="V399"/>
      <c r="W399"/>
    </row>
    <row r="400" spans="1:23">
      <c r="A400" s="2" t="s">
        <v>425</v>
      </c>
      <c r="B400">
        <f t="shared" si="49"/>
        <v>0</v>
      </c>
      <c r="C400">
        <f t="shared" si="50"/>
        <v>0</v>
      </c>
      <c r="D400">
        <f t="shared" si="51"/>
        <v>185</v>
      </c>
      <c r="E400">
        <f t="shared" si="52"/>
        <v>0</v>
      </c>
      <c r="F400">
        <f t="shared" si="53"/>
        <v>0</v>
      </c>
      <c r="G400">
        <f t="shared" si="54"/>
        <v>20</v>
      </c>
      <c r="H400">
        <f t="shared" si="55"/>
        <v>20</v>
      </c>
      <c r="I400" t="str">
        <f t="shared" si="56"/>
        <v>SPRITE_ID_NEW_TRAIN</v>
      </c>
      <c r="U400"/>
      <c r="V400"/>
      <c r="W400"/>
    </row>
    <row r="401" spans="1:23">
      <c r="A401" s="2" t="s">
        <v>426</v>
      </c>
      <c r="B401">
        <f t="shared" si="49"/>
        <v>0</v>
      </c>
      <c r="C401">
        <f t="shared" si="50"/>
        <v>0</v>
      </c>
      <c r="D401">
        <f t="shared" si="51"/>
        <v>185</v>
      </c>
      <c r="E401">
        <f t="shared" si="52"/>
        <v>0</v>
      </c>
      <c r="F401">
        <f t="shared" si="53"/>
        <v>0</v>
      </c>
      <c r="G401">
        <f t="shared" si="54"/>
        <v>20</v>
      </c>
      <c r="H401">
        <f t="shared" si="55"/>
        <v>20</v>
      </c>
      <c r="I401" t="str">
        <f t="shared" si="56"/>
        <v>SPRITE_ID_NEW_TRAIN</v>
      </c>
      <c r="U401"/>
      <c r="V401"/>
      <c r="W401"/>
    </row>
    <row r="402" spans="1:23">
      <c r="A402" s="2" t="s">
        <v>427</v>
      </c>
      <c r="B402">
        <f t="shared" si="49"/>
        <v>0</v>
      </c>
      <c r="C402">
        <f t="shared" si="50"/>
        <v>0</v>
      </c>
      <c r="D402">
        <f t="shared" si="51"/>
        <v>185</v>
      </c>
      <c r="E402">
        <f t="shared" si="52"/>
        <v>0</v>
      </c>
      <c r="F402">
        <f t="shared" si="53"/>
        <v>0</v>
      </c>
      <c r="G402">
        <f t="shared" si="54"/>
        <v>20</v>
      </c>
      <c r="H402">
        <f t="shared" si="55"/>
        <v>20</v>
      </c>
      <c r="I402" t="str">
        <f t="shared" si="56"/>
        <v>SPRITE_ID_NEW_TRAIN</v>
      </c>
      <c r="U402"/>
      <c r="V402"/>
      <c r="W402"/>
    </row>
    <row r="403" spans="1:23">
      <c r="A403" s="2" t="s">
        <v>428</v>
      </c>
      <c r="B403">
        <f t="shared" si="49"/>
        <v>0</v>
      </c>
      <c r="C403">
        <f t="shared" si="50"/>
        <v>0</v>
      </c>
      <c r="D403">
        <f t="shared" si="51"/>
        <v>185</v>
      </c>
      <c r="E403">
        <f t="shared" si="52"/>
        <v>0</v>
      </c>
      <c r="F403">
        <f t="shared" si="53"/>
        <v>0</v>
      </c>
      <c r="G403">
        <f t="shared" si="54"/>
        <v>20</v>
      </c>
      <c r="H403">
        <f t="shared" si="55"/>
        <v>20</v>
      </c>
      <c r="I403" t="str">
        <f t="shared" si="56"/>
        <v>SPRITE_ID_NEW_TRAIN</v>
      </c>
      <c r="U403"/>
      <c r="V403"/>
      <c r="W403"/>
    </row>
    <row r="404" spans="1:23">
      <c r="A404" s="2" t="s">
        <v>429</v>
      </c>
      <c r="B404">
        <f t="shared" si="49"/>
        <v>0</v>
      </c>
      <c r="C404">
        <f t="shared" si="50"/>
        <v>0</v>
      </c>
      <c r="D404">
        <f t="shared" si="51"/>
        <v>185</v>
      </c>
      <c r="E404">
        <f t="shared" si="52"/>
        <v>0</v>
      </c>
      <c r="F404">
        <f t="shared" si="53"/>
        <v>0</v>
      </c>
      <c r="G404">
        <f t="shared" si="54"/>
        <v>20</v>
      </c>
      <c r="H404">
        <f t="shared" si="55"/>
        <v>20</v>
      </c>
      <c r="I404" t="str">
        <f t="shared" si="56"/>
        <v>SPRITE_ID_NEW_TRAIN</v>
      </c>
      <c r="U404"/>
      <c r="V404"/>
      <c r="W404"/>
    </row>
    <row r="405" spans="1:23">
      <c r="A405" s="2" t="s">
        <v>430</v>
      </c>
      <c r="B405">
        <f t="shared" si="49"/>
        <v>0</v>
      </c>
      <c r="C405">
        <f t="shared" si="50"/>
        <v>0</v>
      </c>
      <c r="D405">
        <f t="shared" si="51"/>
        <v>185</v>
      </c>
      <c r="E405">
        <f t="shared" si="52"/>
        <v>0</v>
      </c>
      <c r="F405">
        <f t="shared" si="53"/>
        <v>0</v>
      </c>
      <c r="G405">
        <f t="shared" si="54"/>
        <v>20</v>
      </c>
      <c r="H405">
        <f t="shared" si="55"/>
        <v>20</v>
      </c>
      <c r="I405" t="str">
        <f t="shared" si="56"/>
        <v>SPRITE_ID_NEW_TRAIN</v>
      </c>
      <c r="U405"/>
      <c r="V405"/>
      <c r="W405"/>
    </row>
    <row r="406" spans="1:23">
      <c r="A406" s="2" t="s">
        <v>431</v>
      </c>
      <c r="B406">
        <f t="shared" si="49"/>
        <v>0</v>
      </c>
      <c r="C406">
        <f t="shared" si="50"/>
        <v>0</v>
      </c>
      <c r="D406">
        <f t="shared" si="51"/>
        <v>185</v>
      </c>
      <c r="E406">
        <f t="shared" si="52"/>
        <v>0</v>
      </c>
      <c r="F406">
        <f t="shared" si="53"/>
        <v>0</v>
      </c>
      <c r="G406">
        <f t="shared" si="54"/>
        <v>20</v>
      </c>
      <c r="H406">
        <f t="shared" si="55"/>
        <v>20</v>
      </c>
      <c r="I406" t="str">
        <f t="shared" si="56"/>
        <v>SPRITE_ID_NEW_TRAIN</v>
      </c>
      <c r="U406"/>
      <c r="V406"/>
      <c r="W406"/>
    </row>
    <row r="407" spans="1:23">
      <c r="A407" s="2" t="s">
        <v>432</v>
      </c>
      <c r="B407">
        <f t="shared" si="49"/>
        <v>0</v>
      </c>
      <c r="C407">
        <f t="shared" si="50"/>
        <v>0</v>
      </c>
      <c r="D407">
        <f t="shared" si="51"/>
        <v>185</v>
      </c>
      <c r="E407">
        <f t="shared" si="52"/>
        <v>0</v>
      </c>
      <c r="F407">
        <f t="shared" si="53"/>
        <v>0</v>
      </c>
      <c r="G407">
        <f t="shared" si="54"/>
        <v>20</v>
      </c>
      <c r="H407">
        <f t="shared" si="55"/>
        <v>20</v>
      </c>
      <c r="I407" t="str">
        <f t="shared" si="56"/>
        <v>SPRITE_ID_NEW_TRAIN</v>
      </c>
      <c r="U407"/>
      <c r="V407"/>
      <c r="W407"/>
    </row>
    <row r="408" spans="1:23">
      <c r="A408" s="2" t="s">
        <v>433</v>
      </c>
      <c r="B408">
        <f t="shared" si="49"/>
        <v>0</v>
      </c>
      <c r="C408">
        <f t="shared" si="50"/>
        <v>0</v>
      </c>
      <c r="D408">
        <f t="shared" si="51"/>
        <v>185</v>
      </c>
      <c r="E408">
        <f t="shared" si="52"/>
        <v>0</v>
      </c>
      <c r="F408">
        <f t="shared" si="53"/>
        <v>0</v>
      </c>
      <c r="G408">
        <f t="shared" si="54"/>
        <v>20</v>
      </c>
      <c r="H408">
        <f t="shared" si="55"/>
        <v>20</v>
      </c>
      <c r="I408" t="str">
        <f t="shared" si="56"/>
        <v>SPRITE_ID_NEW_TRAIN</v>
      </c>
      <c r="U408"/>
      <c r="V408"/>
      <c r="W408"/>
    </row>
    <row r="409" spans="1:23">
      <c r="A409" s="2" t="s">
        <v>434</v>
      </c>
      <c r="B409">
        <f t="shared" si="49"/>
        <v>0</v>
      </c>
      <c r="C409">
        <f t="shared" si="50"/>
        <v>0</v>
      </c>
      <c r="D409">
        <f t="shared" si="51"/>
        <v>185</v>
      </c>
      <c r="E409">
        <f t="shared" si="52"/>
        <v>0</v>
      </c>
      <c r="F409">
        <f t="shared" si="53"/>
        <v>0</v>
      </c>
      <c r="G409">
        <f t="shared" si="54"/>
        <v>20</v>
      </c>
      <c r="H409">
        <f t="shared" si="55"/>
        <v>20</v>
      </c>
      <c r="I409" t="str">
        <f t="shared" si="56"/>
        <v>SPRITE_ID_NEW_TRAIN</v>
      </c>
      <c r="U409"/>
      <c r="V409"/>
      <c r="W409"/>
    </row>
    <row r="410" spans="1:23">
      <c r="A410" s="2" t="s">
        <v>435</v>
      </c>
      <c r="B410">
        <f t="shared" si="49"/>
        <v>0</v>
      </c>
      <c r="C410">
        <f t="shared" si="50"/>
        <v>0</v>
      </c>
      <c r="D410">
        <f t="shared" si="51"/>
        <v>185</v>
      </c>
      <c r="E410">
        <f t="shared" si="52"/>
        <v>0</v>
      </c>
      <c r="F410">
        <f t="shared" si="53"/>
        <v>0</v>
      </c>
      <c r="G410">
        <f t="shared" si="54"/>
        <v>20</v>
      </c>
      <c r="H410">
        <f t="shared" si="55"/>
        <v>20</v>
      </c>
      <c r="I410" t="str">
        <f t="shared" si="56"/>
        <v>SPRITE_ID_NEW_TRAIN</v>
      </c>
      <c r="U410"/>
      <c r="V410"/>
      <c r="W410"/>
    </row>
    <row r="411" spans="1:23">
      <c r="A411" s="2" t="s">
        <v>436</v>
      </c>
      <c r="B411">
        <f t="shared" si="49"/>
        <v>0</v>
      </c>
      <c r="C411">
        <f t="shared" si="50"/>
        <v>0</v>
      </c>
      <c r="D411">
        <f t="shared" si="51"/>
        <v>185</v>
      </c>
      <c r="E411">
        <f t="shared" si="52"/>
        <v>0</v>
      </c>
      <c r="F411">
        <f t="shared" si="53"/>
        <v>0</v>
      </c>
      <c r="G411">
        <f t="shared" si="54"/>
        <v>20</v>
      </c>
      <c r="H411">
        <f t="shared" si="55"/>
        <v>20</v>
      </c>
      <c r="I411" t="str">
        <f t="shared" si="56"/>
        <v>SPRITE_ID_NEW_TRAIN</v>
      </c>
      <c r="U411"/>
      <c r="V411"/>
      <c r="W411"/>
    </row>
    <row r="412" spans="1:23">
      <c r="A412" s="2" t="s">
        <v>437</v>
      </c>
      <c r="B412">
        <f t="shared" si="49"/>
        <v>0</v>
      </c>
      <c r="C412">
        <f t="shared" si="50"/>
        <v>0</v>
      </c>
      <c r="D412">
        <f t="shared" si="51"/>
        <v>185</v>
      </c>
      <c r="E412">
        <f t="shared" si="52"/>
        <v>0</v>
      </c>
      <c r="F412">
        <f t="shared" si="53"/>
        <v>0</v>
      </c>
      <c r="G412">
        <f t="shared" si="54"/>
        <v>20</v>
      </c>
      <c r="H412">
        <f t="shared" si="55"/>
        <v>20</v>
      </c>
      <c r="I412" t="str">
        <f t="shared" si="56"/>
        <v>SPRITE_ID_NEW_TRAIN</v>
      </c>
      <c r="U412"/>
      <c r="V412"/>
      <c r="W412"/>
    </row>
    <row r="413" spans="1:23">
      <c r="A413" s="2" t="s">
        <v>438</v>
      </c>
      <c r="B413">
        <f t="shared" si="49"/>
        <v>0</v>
      </c>
      <c r="C413">
        <f t="shared" si="50"/>
        <v>0</v>
      </c>
      <c r="D413">
        <f t="shared" si="51"/>
        <v>185</v>
      </c>
      <c r="E413">
        <f t="shared" si="52"/>
        <v>0</v>
      </c>
      <c r="F413">
        <f t="shared" si="53"/>
        <v>0</v>
      </c>
      <c r="G413">
        <f t="shared" si="54"/>
        <v>20</v>
      </c>
      <c r="H413">
        <f t="shared" si="55"/>
        <v>20</v>
      </c>
      <c r="I413" t="str">
        <f t="shared" si="56"/>
        <v>SPRITE_ID_NEW_TRAIN</v>
      </c>
      <c r="U413"/>
      <c r="V413"/>
      <c r="W413"/>
    </row>
    <row r="414" spans="1:23">
      <c r="A414" s="2" t="s">
        <v>439</v>
      </c>
      <c r="B414">
        <f t="shared" si="49"/>
        <v>0</v>
      </c>
      <c r="C414">
        <f t="shared" si="50"/>
        <v>0</v>
      </c>
      <c r="D414">
        <f t="shared" si="51"/>
        <v>185</v>
      </c>
      <c r="E414">
        <f t="shared" si="52"/>
        <v>0</v>
      </c>
      <c r="F414">
        <f t="shared" si="53"/>
        <v>0</v>
      </c>
      <c r="G414">
        <f t="shared" si="54"/>
        <v>20</v>
      </c>
      <c r="H414">
        <f t="shared" si="55"/>
        <v>20</v>
      </c>
      <c r="I414" t="str">
        <f t="shared" si="56"/>
        <v>SPRITE_ID_NEW_TRAIN</v>
      </c>
      <c r="U414"/>
      <c r="V414"/>
      <c r="W414"/>
    </row>
    <row r="415" spans="1:23">
      <c r="A415" s="2" t="s">
        <v>440</v>
      </c>
      <c r="B415">
        <f t="shared" si="49"/>
        <v>0</v>
      </c>
      <c r="C415">
        <f t="shared" si="50"/>
        <v>0</v>
      </c>
      <c r="D415">
        <f t="shared" si="51"/>
        <v>185</v>
      </c>
      <c r="E415">
        <f t="shared" si="52"/>
        <v>0</v>
      </c>
      <c r="F415">
        <f t="shared" si="53"/>
        <v>0</v>
      </c>
      <c r="G415">
        <f t="shared" si="54"/>
        <v>20</v>
      </c>
      <c r="H415">
        <f t="shared" si="55"/>
        <v>20</v>
      </c>
      <c r="I415" t="str">
        <f t="shared" si="56"/>
        <v>SPRITE_ID_NEW_TRAIN</v>
      </c>
      <c r="U415"/>
      <c r="V415"/>
      <c r="W415"/>
    </row>
    <row r="416" spans="1:23">
      <c r="A416" s="2" t="s">
        <v>441</v>
      </c>
      <c r="B416">
        <f t="shared" si="49"/>
        <v>0</v>
      </c>
      <c r="C416">
        <f t="shared" si="50"/>
        <v>0</v>
      </c>
      <c r="D416">
        <f t="shared" si="51"/>
        <v>185</v>
      </c>
      <c r="E416">
        <f t="shared" si="52"/>
        <v>0</v>
      </c>
      <c r="F416">
        <f t="shared" si="53"/>
        <v>0</v>
      </c>
      <c r="G416">
        <f t="shared" si="54"/>
        <v>20</v>
      </c>
      <c r="H416">
        <f t="shared" si="55"/>
        <v>20</v>
      </c>
      <c r="I416" t="str">
        <f t="shared" si="56"/>
        <v>SPRITE_ID_NEW_TRAIN</v>
      </c>
      <c r="U416"/>
      <c r="V416"/>
      <c r="W416"/>
    </row>
    <row r="417" spans="1:23">
      <c r="A417" s="2" t="s">
        <v>442</v>
      </c>
      <c r="B417">
        <f t="shared" si="49"/>
        <v>0</v>
      </c>
      <c r="C417">
        <f t="shared" si="50"/>
        <v>0</v>
      </c>
      <c r="D417">
        <f t="shared" si="51"/>
        <v>185</v>
      </c>
      <c r="E417">
        <f t="shared" si="52"/>
        <v>0</v>
      </c>
      <c r="F417">
        <f t="shared" si="53"/>
        <v>0</v>
      </c>
      <c r="G417">
        <f t="shared" si="54"/>
        <v>20</v>
      </c>
      <c r="H417">
        <f t="shared" si="55"/>
        <v>20</v>
      </c>
      <c r="I417" t="str">
        <f t="shared" si="56"/>
        <v>SPRITE_ID_NEW_TRAIN</v>
      </c>
      <c r="U417"/>
      <c r="V417"/>
      <c r="W417"/>
    </row>
    <row r="418" spans="1:23">
      <c r="A418" s="2" t="s">
        <v>443</v>
      </c>
      <c r="B418">
        <f t="shared" si="49"/>
        <v>0</v>
      </c>
      <c r="C418">
        <f t="shared" si="50"/>
        <v>0</v>
      </c>
      <c r="D418">
        <f t="shared" si="51"/>
        <v>185</v>
      </c>
      <c r="E418">
        <f t="shared" si="52"/>
        <v>0</v>
      </c>
      <c r="F418">
        <f t="shared" si="53"/>
        <v>0</v>
      </c>
      <c r="G418">
        <f t="shared" si="54"/>
        <v>20</v>
      </c>
      <c r="H418">
        <f t="shared" si="55"/>
        <v>20</v>
      </c>
      <c r="I418" t="str">
        <f t="shared" si="56"/>
        <v>SPRITE_ID_NEW_TRAIN</v>
      </c>
      <c r="U418"/>
      <c r="V418"/>
      <c r="W418"/>
    </row>
    <row r="419" spans="1:23">
      <c r="A419" s="2" t="s">
        <v>444</v>
      </c>
      <c r="B419">
        <f t="shared" si="49"/>
        <v>0</v>
      </c>
      <c r="C419">
        <f t="shared" si="50"/>
        <v>0</v>
      </c>
      <c r="D419">
        <f t="shared" si="51"/>
        <v>185</v>
      </c>
      <c r="E419">
        <f t="shared" si="52"/>
        <v>0</v>
      </c>
      <c r="F419">
        <f t="shared" si="53"/>
        <v>0</v>
      </c>
      <c r="G419">
        <f t="shared" si="54"/>
        <v>20</v>
      </c>
      <c r="H419">
        <f t="shared" si="55"/>
        <v>20</v>
      </c>
      <c r="I419" t="str">
        <f t="shared" si="56"/>
        <v>SPRITE_ID_NEW_TRAIN</v>
      </c>
      <c r="U419"/>
      <c r="V419"/>
      <c r="W419"/>
    </row>
    <row r="420" spans="1:23">
      <c r="A420" s="2" t="s">
        <v>445</v>
      </c>
      <c r="B420">
        <f t="shared" si="49"/>
        <v>0</v>
      </c>
      <c r="C420">
        <f t="shared" si="50"/>
        <v>0</v>
      </c>
      <c r="D420">
        <f t="shared" si="51"/>
        <v>185</v>
      </c>
      <c r="E420">
        <f t="shared" si="52"/>
        <v>0</v>
      </c>
      <c r="F420">
        <f t="shared" si="53"/>
        <v>0</v>
      </c>
      <c r="G420">
        <f t="shared" si="54"/>
        <v>20</v>
      </c>
      <c r="H420">
        <f t="shared" si="55"/>
        <v>20</v>
      </c>
      <c r="I420" t="str">
        <f t="shared" si="56"/>
        <v>SPRITE_ID_NEW_TRAIN</v>
      </c>
      <c r="U420"/>
      <c r="V420"/>
      <c r="W420"/>
    </row>
    <row r="421" spans="1:23">
      <c r="A421" s="2" t="s">
        <v>446</v>
      </c>
      <c r="B421">
        <f t="shared" si="49"/>
        <v>0</v>
      </c>
      <c r="C421">
        <f t="shared" si="50"/>
        <v>0</v>
      </c>
      <c r="D421">
        <f t="shared" si="51"/>
        <v>185</v>
      </c>
      <c r="E421">
        <f t="shared" si="52"/>
        <v>0</v>
      </c>
      <c r="F421">
        <f t="shared" si="53"/>
        <v>0</v>
      </c>
      <c r="G421">
        <f t="shared" si="54"/>
        <v>20</v>
      </c>
      <c r="H421">
        <f t="shared" si="55"/>
        <v>20</v>
      </c>
      <c r="I421" t="str">
        <f t="shared" si="56"/>
        <v>SPRITE_ID_NEW_TRAIN</v>
      </c>
      <c r="U421"/>
      <c r="V421"/>
      <c r="W421"/>
    </row>
    <row r="422" spans="1:23">
      <c r="A422" s="2" t="s">
        <v>447</v>
      </c>
      <c r="B422">
        <f t="shared" si="49"/>
        <v>0</v>
      </c>
      <c r="C422">
        <f t="shared" si="50"/>
        <v>0</v>
      </c>
      <c r="D422">
        <f t="shared" si="51"/>
        <v>185</v>
      </c>
      <c r="E422">
        <f t="shared" si="52"/>
        <v>0</v>
      </c>
      <c r="F422">
        <f t="shared" si="53"/>
        <v>0</v>
      </c>
      <c r="G422">
        <f t="shared" si="54"/>
        <v>20</v>
      </c>
      <c r="H422">
        <f t="shared" si="55"/>
        <v>20</v>
      </c>
      <c r="I422" t="str">
        <f t="shared" si="56"/>
        <v>SPRITE_ID_NEW_TRAIN</v>
      </c>
      <c r="U422"/>
      <c r="V422"/>
      <c r="W422"/>
    </row>
    <row r="423" spans="1:23">
      <c r="A423" s="2" t="s">
        <v>448</v>
      </c>
      <c r="B423">
        <f t="shared" si="49"/>
        <v>0</v>
      </c>
      <c r="C423">
        <f t="shared" si="50"/>
        <v>0</v>
      </c>
      <c r="D423">
        <f t="shared" si="51"/>
        <v>185</v>
      </c>
      <c r="E423">
        <f t="shared" si="52"/>
        <v>0</v>
      </c>
      <c r="F423">
        <f t="shared" si="53"/>
        <v>0</v>
      </c>
      <c r="G423">
        <f t="shared" si="54"/>
        <v>20</v>
      </c>
      <c r="H423">
        <f t="shared" si="55"/>
        <v>20</v>
      </c>
      <c r="I423" t="str">
        <f t="shared" si="56"/>
        <v>SPRITE_ID_NEW_TRAIN</v>
      </c>
      <c r="U423"/>
      <c r="V423"/>
      <c r="W423"/>
    </row>
    <row r="424" spans="1:23">
      <c r="A424" s="2" t="s">
        <v>449</v>
      </c>
      <c r="B424">
        <f t="shared" si="49"/>
        <v>0</v>
      </c>
      <c r="C424">
        <f t="shared" si="50"/>
        <v>0</v>
      </c>
      <c r="D424">
        <f t="shared" si="51"/>
        <v>185</v>
      </c>
      <c r="E424">
        <f t="shared" si="52"/>
        <v>0</v>
      </c>
      <c r="F424">
        <f t="shared" si="53"/>
        <v>0</v>
      </c>
      <c r="G424">
        <f t="shared" si="54"/>
        <v>20</v>
      </c>
      <c r="H424">
        <f t="shared" si="55"/>
        <v>20</v>
      </c>
      <c r="I424" t="str">
        <f t="shared" si="56"/>
        <v>SPRITE_ID_NEW_TRAIN</v>
      </c>
      <c r="U424"/>
      <c r="V424"/>
      <c r="W424"/>
    </row>
    <row r="425" spans="1:23">
      <c r="A425" s="2" t="s">
        <v>450</v>
      </c>
      <c r="B425">
        <f t="shared" si="49"/>
        <v>0</v>
      </c>
      <c r="C425">
        <f t="shared" si="50"/>
        <v>0</v>
      </c>
      <c r="D425">
        <f t="shared" si="51"/>
        <v>185</v>
      </c>
      <c r="E425">
        <f t="shared" si="52"/>
        <v>0</v>
      </c>
      <c r="F425">
        <f t="shared" si="53"/>
        <v>0</v>
      </c>
      <c r="G425">
        <f t="shared" si="54"/>
        <v>20</v>
      </c>
      <c r="H425">
        <f t="shared" si="55"/>
        <v>20</v>
      </c>
      <c r="I425" t="str">
        <f t="shared" si="56"/>
        <v>SPRITE_ID_NEW_TRAIN</v>
      </c>
      <c r="U425"/>
      <c r="V425"/>
      <c r="W425"/>
    </row>
    <row r="426" spans="1:23">
      <c r="A426" s="2" t="s">
        <v>451</v>
      </c>
      <c r="B426">
        <f t="shared" si="49"/>
        <v>0</v>
      </c>
      <c r="C426">
        <f t="shared" si="50"/>
        <v>0</v>
      </c>
      <c r="D426">
        <f t="shared" si="51"/>
        <v>185</v>
      </c>
      <c r="E426">
        <f t="shared" si="52"/>
        <v>0</v>
      </c>
      <c r="F426">
        <f t="shared" si="53"/>
        <v>0</v>
      </c>
      <c r="G426">
        <f t="shared" si="54"/>
        <v>20</v>
      </c>
      <c r="H426">
        <f t="shared" si="55"/>
        <v>20</v>
      </c>
      <c r="I426" t="str">
        <f t="shared" si="56"/>
        <v>SPRITE_ID_NEW_TRAIN</v>
      </c>
      <c r="U426"/>
      <c r="V426"/>
      <c r="W426"/>
    </row>
    <row r="427" spans="1:23">
      <c r="A427" s="2" t="s">
        <v>452</v>
      </c>
      <c r="B427">
        <f t="shared" si="49"/>
        <v>0</v>
      </c>
      <c r="C427">
        <f t="shared" si="50"/>
        <v>0</v>
      </c>
      <c r="D427">
        <f t="shared" si="51"/>
        <v>185</v>
      </c>
      <c r="E427">
        <f t="shared" si="52"/>
        <v>0</v>
      </c>
      <c r="F427">
        <f t="shared" si="53"/>
        <v>0</v>
      </c>
      <c r="G427">
        <f t="shared" si="54"/>
        <v>20</v>
      </c>
      <c r="H427">
        <f t="shared" si="55"/>
        <v>20</v>
      </c>
      <c r="I427" t="str">
        <f t="shared" si="56"/>
        <v>SPRITE_ID_NEW_TRAIN</v>
      </c>
      <c r="U427"/>
      <c r="V427"/>
      <c r="W427"/>
    </row>
    <row r="428" spans="1:23">
      <c r="A428" s="2" t="s">
        <v>453</v>
      </c>
      <c r="B428">
        <f t="shared" si="49"/>
        <v>0</v>
      </c>
      <c r="C428">
        <f t="shared" si="50"/>
        <v>0</v>
      </c>
      <c r="D428">
        <f t="shared" si="51"/>
        <v>185</v>
      </c>
      <c r="E428">
        <f t="shared" si="52"/>
        <v>0</v>
      </c>
      <c r="F428">
        <f t="shared" si="53"/>
        <v>0</v>
      </c>
      <c r="G428">
        <f t="shared" si="54"/>
        <v>20</v>
      </c>
      <c r="H428">
        <f t="shared" si="55"/>
        <v>20</v>
      </c>
      <c r="I428" t="str">
        <f t="shared" si="56"/>
        <v>SPRITE_ID_NEW_TRAIN</v>
      </c>
      <c r="U428"/>
      <c r="V428"/>
      <c r="W428"/>
    </row>
    <row r="429" spans="1:23">
      <c r="A429" s="2" t="s">
        <v>454</v>
      </c>
      <c r="B429">
        <f t="shared" si="49"/>
        <v>0</v>
      </c>
      <c r="C429">
        <f t="shared" si="50"/>
        <v>0</v>
      </c>
      <c r="D429">
        <f t="shared" si="51"/>
        <v>185</v>
      </c>
      <c r="E429">
        <f t="shared" si="52"/>
        <v>0</v>
      </c>
      <c r="F429">
        <f t="shared" si="53"/>
        <v>0</v>
      </c>
      <c r="G429">
        <f t="shared" si="54"/>
        <v>20</v>
      </c>
      <c r="H429">
        <f t="shared" si="55"/>
        <v>20</v>
      </c>
      <c r="I429" t="str">
        <f t="shared" si="56"/>
        <v>SPRITE_ID_NEW_TRAIN</v>
      </c>
      <c r="U429"/>
      <c r="V429"/>
      <c r="W429"/>
    </row>
    <row r="430" spans="1:23">
      <c r="A430" s="2" t="s">
        <v>455</v>
      </c>
      <c r="B430">
        <f t="shared" si="49"/>
        <v>0</v>
      </c>
      <c r="C430">
        <f t="shared" si="50"/>
        <v>0</v>
      </c>
      <c r="D430">
        <f t="shared" si="51"/>
        <v>185</v>
      </c>
      <c r="E430">
        <f t="shared" si="52"/>
        <v>0</v>
      </c>
      <c r="F430">
        <f t="shared" si="53"/>
        <v>0</v>
      </c>
      <c r="G430">
        <f t="shared" si="54"/>
        <v>20</v>
      </c>
      <c r="H430">
        <f t="shared" si="55"/>
        <v>20</v>
      </c>
      <c r="I430" t="str">
        <f t="shared" si="56"/>
        <v>SPRITE_ID_NEW_TRAIN</v>
      </c>
      <c r="U430"/>
      <c r="V430"/>
      <c r="W430"/>
    </row>
    <row r="431" spans="1:23">
      <c r="A431" s="2" t="s">
        <v>456</v>
      </c>
      <c r="B431">
        <f t="shared" si="49"/>
        <v>0</v>
      </c>
      <c r="C431">
        <f t="shared" si="50"/>
        <v>0</v>
      </c>
      <c r="D431">
        <f t="shared" si="51"/>
        <v>185</v>
      </c>
      <c r="E431">
        <f t="shared" si="52"/>
        <v>0</v>
      </c>
      <c r="F431">
        <f t="shared" si="53"/>
        <v>0</v>
      </c>
      <c r="G431">
        <f t="shared" si="54"/>
        <v>20</v>
      </c>
      <c r="H431">
        <f t="shared" si="55"/>
        <v>20</v>
      </c>
      <c r="I431" t="str">
        <f t="shared" si="56"/>
        <v>SPRITE_ID_NEW_TRAIN</v>
      </c>
      <c r="U431"/>
      <c r="V431"/>
      <c r="W431"/>
    </row>
    <row r="432" spans="1:23">
      <c r="A432" s="2" t="s">
        <v>457</v>
      </c>
      <c r="B432">
        <f t="shared" si="49"/>
        <v>0</v>
      </c>
      <c r="C432">
        <f t="shared" si="50"/>
        <v>0</v>
      </c>
      <c r="D432">
        <f t="shared" si="51"/>
        <v>185</v>
      </c>
      <c r="E432">
        <f t="shared" si="52"/>
        <v>0</v>
      </c>
      <c r="F432">
        <f t="shared" si="53"/>
        <v>0</v>
      </c>
      <c r="G432">
        <f t="shared" si="54"/>
        <v>20</v>
      </c>
      <c r="H432">
        <f t="shared" si="55"/>
        <v>20</v>
      </c>
      <c r="I432" t="str">
        <f t="shared" si="56"/>
        <v>SPRITE_ID_NEW_TRAIN</v>
      </c>
      <c r="U432"/>
      <c r="V432"/>
      <c r="W432"/>
    </row>
    <row r="433" spans="1:23">
      <c r="A433" s="2" t="s">
        <v>458</v>
      </c>
      <c r="B433">
        <f t="shared" si="49"/>
        <v>0</v>
      </c>
      <c r="C433">
        <f t="shared" si="50"/>
        <v>0</v>
      </c>
      <c r="D433">
        <f t="shared" si="51"/>
        <v>185</v>
      </c>
      <c r="E433">
        <f t="shared" si="52"/>
        <v>0</v>
      </c>
      <c r="F433">
        <f t="shared" si="53"/>
        <v>0</v>
      </c>
      <c r="G433">
        <f t="shared" si="54"/>
        <v>20</v>
      </c>
      <c r="H433">
        <f t="shared" si="55"/>
        <v>20</v>
      </c>
      <c r="I433" t="str">
        <f t="shared" si="56"/>
        <v>SPRITE_ID_NEW_TRAIN</v>
      </c>
      <c r="U433"/>
      <c r="V433"/>
      <c r="W433"/>
    </row>
    <row r="434" spans="1:23">
      <c r="A434" s="2" t="s">
        <v>459</v>
      </c>
      <c r="B434">
        <f t="shared" si="49"/>
        <v>0</v>
      </c>
      <c r="C434">
        <f t="shared" si="50"/>
        <v>0</v>
      </c>
      <c r="D434">
        <f t="shared" si="51"/>
        <v>185</v>
      </c>
      <c r="E434">
        <f t="shared" si="52"/>
        <v>0</v>
      </c>
      <c r="F434">
        <f t="shared" si="53"/>
        <v>0</v>
      </c>
      <c r="G434">
        <f t="shared" si="54"/>
        <v>20</v>
      </c>
      <c r="H434">
        <f t="shared" si="55"/>
        <v>20</v>
      </c>
      <c r="I434" t="str">
        <f t="shared" si="56"/>
        <v>SPRITE_ID_NEW_TRAIN</v>
      </c>
      <c r="U434"/>
      <c r="V434"/>
      <c r="W434"/>
    </row>
    <row r="435" spans="1:23">
      <c r="A435" s="2" t="s">
        <v>460</v>
      </c>
      <c r="B435">
        <f t="shared" si="49"/>
        <v>0</v>
      </c>
      <c r="C435">
        <f t="shared" si="50"/>
        <v>0</v>
      </c>
      <c r="D435">
        <f t="shared" si="51"/>
        <v>185</v>
      </c>
      <c r="E435">
        <f t="shared" si="52"/>
        <v>0</v>
      </c>
      <c r="F435">
        <f t="shared" si="53"/>
        <v>0</v>
      </c>
      <c r="G435">
        <f t="shared" si="54"/>
        <v>20</v>
      </c>
      <c r="H435">
        <f t="shared" si="55"/>
        <v>20</v>
      </c>
      <c r="I435" t="str">
        <f t="shared" si="56"/>
        <v>SPRITE_ID_NEW_TRAIN</v>
      </c>
      <c r="U435"/>
      <c r="V435"/>
      <c r="W435"/>
    </row>
    <row r="436" spans="1:23">
      <c r="A436" s="2" t="s">
        <v>461</v>
      </c>
      <c r="B436">
        <f t="shared" si="49"/>
        <v>0</v>
      </c>
      <c r="C436">
        <f t="shared" si="50"/>
        <v>0</v>
      </c>
      <c r="D436">
        <f t="shared" si="51"/>
        <v>185</v>
      </c>
      <c r="E436">
        <f t="shared" si="52"/>
        <v>0</v>
      </c>
      <c r="F436">
        <f t="shared" si="53"/>
        <v>0</v>
      </c>
      <c r="G436">
        <f t="shared" si="54"/>
        <v>20</v>
      </c>
      <c r="H436">
        <f t="shared" si="55"/>
        <v>20</v>
      </c>
      <c r="I436" t="str">
        <f t="shared" si="56"/>
        <v>SPRITE_ID_NEW_TRAIN</v>
      </c>
      <c r="U436"/>
      <c r="V436"/>
      <c r="W436"/>
    </row>
    <row r="437" spans="1:23">
      <c r="A437" s="2" t="s">
        <v>462</v>
      </c>
      <c r="B437">
        <f t="shared" si="49"/>
        <v>0</v>
      </c>
      <c r="C437">
        <f t="shared" si="50"/>
        <v>0</v>
      </c>
      <c r="D437">
        <f t="shared" si="51"/>
        <v>185</v>
      </c>
      <c r="E437">
        <f t="shared" si="52"/>
        <v>0</v>
      </c>
      <c r="F437">
        <f t="shared" si="53"/>
        <v>0</v>
      </c>
      <c r="G437">
        <f t="shared" si="54"/>
        <v>20</v>
      </c>
      <c r="H437">
        <f t="shared" si="55"/>
        <v>20</v>
      </c>
      <c r="I437" t="str">
        <f t="shared" si="56"/>
        <v>SPRITE_ID_NEW_TRAIN</v>
      </c>
      <c r="U437"/>
      <c r="V437"/>
      <c r="W437"/>
    </row>
    <row r="438" spans="1:23">
      <c r="A438" s="2" t="s">
        <v>463</v>
      </c>
      <c r="B438">
        <f t="shared" si="49"/>
        <v>0</v>
      </c>
      <c r="C438">
        <f t="shared" si="50"/>
        <v>0</v>
      </c>
      <c r="D438">
        <f t="shared" si="51"/>
        <v>185</v>
      </c>
      <c r="E438">
        <f t="shared" si="52"/>
        <v>0</v>
      </c>
      <c r="F438">
        <f t="shared" si="53"/>
        <v>0</v>
      </c>
      <c r="G438">
        <f t="shared" si="54"/>
        <v>20</v>
      </c>
      <c r="H438">
        <f t="shared" si="55"/>
        <v>20</v>
      </c>
      <c r="I438" t="str">
        <f t="shared" si="56"/>
        <v>SPRITE_ID_NEW_TRAIN</v>
      </c>
      <c r="U438"/>
      <c r="V438"/>
      <c r="W438"/>
    </row>
    <row r="439" spans="1:23">
      <c r="A439" s="2" t="s">
        <v>464</v>
      </c>
      <c r="B439">
        <f t="shared" si="49"/>
        <v>0</v>
      </c>
      <c r="C439">
        <f t="shared" si="50"/>
        <v>0</v>
      </c>
      <c r="D439">
        <f t="shared" si="51"/>
        <v>185</v>
      </c>
      <c r="E439">
        <f t="shared" si="52"/>
        <v>0</v>
      </c>
      <c r="F439">
        <f t="shared" si="53"/>
        <v>0</v>
      </c>
      <c r="G439">
        <f t="shared" si="54"/>
        <v>20</v>
      </c>
      <c r="H439">
        <f t="shared" si="55"/>
        <v>20</v>
      </c>
      <c r="I439" t="str">
        <f t="shared" si="56"/>
        <v>SPRITE_ID_NEW_TRAIN</v>
      </c>
      <c r="U439"/>
      <c r="V439"/>
      <c r="W439"/>
    </row>
    <row r="440" spans="1:23">
      <c r="A440" s="2" t="s">
        <v>465</v>
      </c>
      <c r="B440">
        <f t="shared" si="49"/>
        <v>0</v>
      </c>
      <c r="C440">
        <f t="shared" si="50"/>
        <v>0</v>
      </c>
      <c r="D440">
        <f t="shared" si="51"/>
        <v>185</v>
      </c>
      <c r="E440">
        <f t="shared" si="52"/>
        <v>0</v>
      </c>
      <c r="F440">
        <f t="shared" si="53"/>
        <v>0</v>
      </c>
      <c r="G440">
        <f t="shared" si="54"/>
        <v>20</v>
      </c>
      <c r="H440">
        <f t="shared" si="55"/>
        <v>20</v>
      </c>
      <c r="I440" t="str">
        <f t="shared" si="56"/>
        <v>SPRITE_ID_NEW_TRAIN</v>
      </c>
      <c r="U440"/>
      <c r="V440"/>
      <c r="W440"/>
    </row>
    <row r="441" spans="1:23">
      <c r="A441" s="2" t="s">
        <v>466</v>
      </c>
      <c r="B441">
        <f t="shared" si="49"/>
        <v>0</v>
      </c>
      <c r="C441">
        <f t="shared" si="50"/>
        <v>0</v>
      </c>
      <c r="D441">
        <f t="shared" si="51"/>
        <v>185</v>
      </c>
      <c r="E441">
        <f t="shared" si="52"/>
        <v>0</v>
      </c>
      <c r="F441">
        <f t="shared" si="53"/>
        <v>0</v>
      </c>
      <c r="G441">
        <f t="shared" si="54"/>
        <v>20</v>
      </c>
      <c r="H441">
        <f t="shared" si="55"/>
        <v>20</v>
      </c>
      <c r="I441" t="str">
        <f t="shared" si="56"/>
        <v>SPRITE_ID_NEW_TRAIN</v>
      </c>
      <c r="U441"/>
      <c r="V441"/>
      <c r="W441"/>
    </row>
    <row r="442" spans="1:23">
      <c r="A442" s="2" t="s">
        <v>467</v>
      </c>
      <c r="B442">
        <f t="shared" si="49"/>
        <v>0</v>
      </c>
      <c r="C442">
        <f t="shared" si="50"/>
        <v>0</v>
      </c>
      <c r="D442">
        <f t="shared" si="51"/>
        <v>185</v>
      </c>
      <c r="E442">
        <f t="shared" si="52"/>
        <v>0</v>
      </c>
      <c r="F442">
        <f t="shared" si="53"/>
        <v>0</v>
      </c>
      <c r="G442">
        <f t="shared" si="54"/>
        <v>20</v>
      </c>
      <c r="H442">
        <f t="shared" si="55"/>
        <v>20</v>
      </c>
      <c r="I442" t="str">
        <f t="shared" si="56"/>
        <v>SPRITE_ID_NEW_TRAIN</v>
      </c>
      <c r="U442"/>
      <c r="V442"/>
      <c r="W442"/>
    </row>
    <row r="443" spans="1:23">
      <c r="A443" s="2" t="s">
        <v>468</v>
      </c>
      <c r="B443">
        <f t="shared" si="49"/>
        <v>0</v>
      </c>
      <c r="C443">
        <f t="shared" si="50"/>
        <v>0</v>
      </c>
      <c r="D443">
        <f t="shared" si="51"/>
        <v>185</v>
      </c>
      <c r="E443">
        <f t="shared" si="52"/>
        <v>0</v>
      </c>
      <c r="F443">
        <f t="shared" si="53"/>
        <v>0</v>
      </c>
      <c r="G443">
        <f t="shared" si="54"/>
        <v>20</v>
      </c>
      <c r="H443">
        <f t="shared" si="55"/>
        <v>20</v>
      </c>
      <c r="I443" t="str">
        <f t="shared" si="56"/>
        <v>SPRITE_ID_NEW_TRAIN</v>
      </c>
      <c r="U443"/>
      <c r="V443"/>
      <c r="W443"/>
    </row>
    <row r="444" spans="1:23">
      <c r="A444" s="2" t="s">
        <v>469</v>
      </c>
      <c r="B444">
        <f t="shared" si="49"/>
        <v>0</v>
      </c>
      <c r="C444">
        <f t="shared" si="50"/>
        <v>0</v>
      </c>
      <c r="D444">
        <f t="shared" si="51"/>
        <v>185</v>
      </c>
      <c r="E444">
        <f t="shared" si="52"/>
        <v>0</v>
      </c>
      <c r="F444">
        <f t="shared" si="53"/>
        <v>0</v>
      </c>
      <c r="G444">
        <f t="shared" si="54"/>
        <v>20</v>
      </c>
      <c r="H444">
        <f t="shared" si="55"/>
        <v>20</v>
      </c>
      <c r="I444" t="str">
        <f t="shared" si="56"/>
        <v>SPRITE_ID_NEW_TRAIN</v>
      </c>
      <c r="U444"/>
      <c r="V444"/>
      <c r="W444"/>
    </row>
    <row r="445" spans="1:23">
      <c r="A445" s="2" t="s">
        <v>470</v>
      </c>
      <c r="B445">
        <f t="shared" si="49"/>
        <v>0</v>
      </c>
      <c r="C445">
        <f t="shared" si="50"/>
        <v>0</v>
      </c>
      <c r="D445">
        <f t="shared" si="51"/>
        <v>185</v>
      </c>
      <c r="E445">
        <f t="shared" si="52"/>
        <v>0</v>
      </c>
      <c r="F445">
        <f t="shared" si="53"/>
        <v>0</v>
      </c>
      <c r="G445">
        <f t="shared" si="54"/>
        <v>20</v>
      </c>
      <c r="H445">
        <f t="shared" si="55"/>
        <v>20</v>
      </c>
      <c r="I445" t="str">
        <f t="shared" si="56"/>
        <v>SPRITE_ID_NEW_TRAIN</v>
      </c>
      <c r="U445"/>
      <c r="V445"/>
      <c r="W445"/>
    </row>
    <row r="446" spans="1:23">
      <c r="A446" s="2" t="s">
        <v>471</v>
      </c>
      <c r="B446">
        <f t="shared" si="49"/>
        <v>0</v>
      </c>
      <c r="C446">
        <f t="shared" si="50"/>
        <v>0</v>
      </c>
      <c r="D446">
        <f t="shared" si="51"/>
        <v>185</v>
      </c>
      <c r="E446">
        <f t="shared" si="52"/>
        <v>0</v>
      </c>
      <c r="F446">
        <f t="shared" si="53"/>
        <v>0</v>
      </c>
      <c r="G446">
        <f t="shared" si="54"/>
        <v>20</v>
      </c>
      <c r="H446">
        <f t="shared" si="55"/>
        <v>20</v>
      </c>
      <c r="I446" t="str">
        <f t="shared" si="56"/>
        <v>SPRITE_ID_NEW_TRAIN</v>
      </c>
      <c r="U446"/>
      <c r="V446"/>
      <c r="W446"/>
    </row>
    <row r="447" spans="1:23">
      <c r="A447" s="2" t="s">
        <v>472</v>
      </c>
      <c r="B447">
        <f t="shared" si="49"/>
        <v>0</v>
      </c>
      <c r="C447">
        <f t="shared" si="50"/>
        <v>0</v>
      </c>
      <c r="D447">
        <f t="shared" si="51"/>
        <v>185</v>
      </c>
      <c r="E447">
        <f t="shared" si="52"/>
        <v>0</v>
      </c>
      <c r="F447">
        <f t="shared" si="53"/>
        <v>0</v>
      </c>
      <c r="G447">
        <f t="shared" si="54"/>
        <v>20</v>
      </c>
      <c r="H447">
        <f t="shared" si="55"/>
        <v>20</v>
      </c>
      <c r="I447" t="str">
        <f t="shared" si="56"/>
        <v>SPRITE_ID_NEW_TRAIN</v>
      </c>
      <c r="U447"/>
      <c r="V447"/>
      <c r="W447"/>
    </row>
    <row r="448" spans="1:23">
      <c r="A448" s="2" t="s">
        <v>473</v>
      </c>
      <c r="B448">
        <f t="shared" si="49"/>
        <v>0</v>
      </c>
      <c r="C448">
        <f t="shared" si="50"/>
        <v>0</v>
      </c>
      <c r="D448">
        <f t="shared" si="51"/>
        <v>185</v>
      </c>
      <c r="E448">
        <f t="shared" si="52"/>
        <v>0</v>
      </c>
      <c r="F448">
        <f t="shared" si="53"/>
        <v>0</v>
      </c>
      <c r="G448">
        <f t="shared" si="54"/>
        <v>20</v>
      </c>
      <c r="H448">
        <f t="shared" si="55"/>
        <v>20</v>
      </c>
      <c r="I448" t="str">
        <f t="shared" si="56"/>
        <v>SPRITE_ID_NEW_TRAIN</v>
      </c>
      <c r="U448"/>
      <c r="V448"/>
      <c r="W448"/>
    </row>
    <row r="449" spans="1:23">
      <c r="A449" s="2" t="s">
        <v>474</v>
      </c>
      <c r="B449">
        <f t="shared" si="49"/>
        <v>0</v>
      </c>
      <c r="C449">
        <f t="shared" si="50"/>
        <v>0</v>
      </c>
      <c r="D449">
        <f t="shared" si="51"/>
        <v>185</v>
      </c>
      <c r="E449">
        <f t="shared" si="52"/>
        <v>0</v>
      </c>
      <c r="F449">
        <f t="shared" si="53"/>
        <v>0</v>
      </c>
      <c r="G449">
        <f t="shared" si="54"/>
        <v>20</v>
      </c>
      <c r="H449">
        <f t="shared" si="55"/>
        <v>20</v>
      </c>
      <c r="I449" t="str">
        <f t="shared" si="56"/>
        <v>SPRITE_ID_NEW_TRAIN</v>
      </c>
      <c r="U449"/>
      <c r="V449"/>
      <c r="W449"/>
    </row>
    <row r="450" spans="1:23">
      <c r="A450" s="2" t="s">
        <v>475</v>
      </c>
      <c r="B450">
        <f t="shared" si="49"/>
        <v>0</v>
      </c>
      <c r="C450">
        <f t="shared" si="50"/>
        <v>0</v>
      </c>
      <c r="D450">
        <f t="shared" si="51"/>
        <v>185</v>
      </c>
      <c r="E450">
        <f t="shared" si="52"/>
        <v>0</v>
      </c>
      <c r="F450">
        <f t="shared" si="53"/>
        <v>0</v>
      </c>
      <c r="G450">
        <f t="shared" si="54"/>
        <v>20</v>
      </c>
      <c r="H450">
        <f t="shared" si="55"/>
        <v>20</v>
      </c>
      <c r="I450" t="str">
        <f t="shared" si="56"/>
        <v>SPRITE_ID_NEW_TRAIN</v>
      </c>
      <c r="U450"/>
      <c r="V450"/>
      <c r="W450"/>
    </row>
    <row r="451" spans="1:23">
      <c r="A451" s="2" t="s">
        <v>476</v>
      </c>
      <c r="B451">
        <f t="shared" si="49"/>
        <v>0</v>
      </c>
      <c r="C451">
        <f t="shared" si="50"/>
        <v>0</v>
      </c>
      <c r="D451">
        <f t="shared" si="51"/>
        <v>185</v>
      </c>
      <c r="E451">
        <f t="shared" si="52"/>
        <v>0</v>
      </c>
      <c r="F451">
        <f t="shared" si="53"/>
        <v>0</v>
      </c>
      <c r="G451">
        <f t="shared" si="54"/>
        <v>20</v>
      </c>
      <c r="H451">
        <f t="shared" si="55"/>
        <v>20</v>
      </c>
      <c r="I451" t="str">
        <f t="shared" si="56"/>
        <v>SPRITE_ID_NEW_TRAIN</v>
      </c>
      <c r="U451"/>
      <c r="V451"/>
      <c r="W451"/>
    </row>
    <row r="452" spans="1:23">
      <c r="A452" s="2" t="s">
        <v>477</v>
      </c>
      <c r="B452">
        <f t="shared" ref="B452:B515" si="57">B451</f>
        <v>0</v>
      </c>
      <c r="C452">
        <f t="shared" ref="C452:C515" si="58">C451</f>
        <v>0</v>
      </c>
      <c r="D452">
        <f t="shared" ref="D452:D515" si="59">D451</f>
        <v>185</v>
      </c>
      <c r="E452">
        <f t="shared" ref="E452:E515" si="60">E451</f>
        <v>0</v>
      </c>
      <c r="F452">
        <f t="shared" ref="F452:F515" si="61">F451</f>
        <v>0</v>
      </c>
      <c r="G452">
        <f t="shared" ref="G452:G515" si="62">G451</f>
        <v>20</v>
      </c>
      <c r="H452">
        <f t="shared" ref="H452:H515" si="63">H451</f>
        <v>20</v>
      </c>
      <c r="I452" t="str">
        <f t="shared" ref="I452:I515" si="64">I451</f>
        <v>SPRITE_ID_NEW_TRAIN</v>
      </c>
      <c r="U452"/>
      <c r="V452"/>
      <c r="W452"/>
    </row>
    <row r="453" spans="1:23">
      <c r="A453" s="2" t="s">
        <v>478</v>
      </c>
      <c r="B453">
        <f t="shared" si="57"/>
        <v>0</v>
      </c>
      <c r="C453">
        <f t="shared" si="58"/>
        <v>0</v>
      </c>
      <c r="D453">
        <f t="shared" si="59"/>
        <v>185</v>
      </c>
      <c r="E453">
        <f t="shared" si="60"/>
        <v>0</v>
      </c>
      <c r="F453">
        <f t="shared" si="61"/>
        <v>0</v>
      </c>
      <c r="G453">
        <f t="shared" si="62"/>
        <v>20</v>
      </c>
      <c r="H453">
        <f t="shared" si="63"/>
        <v>20</v>
      </c>
      <c r="I453" t="str">
        <f t="shared" si="64"/>
        <v>SPRITE_ID_NEW_TRAIN</v>
      </c>
      <c r="U453"/>
      <c r="V453"/>
      <c r="W453"/>
    </row>
    <row r="454" spans="1:23">
      <c r="A454" s="2" t="s">
        <v>480</v>
      </c>
      <c r="B454">
        <f t="shared" si="57"/>
        <v>0</v>
      </c>
      <c r="C454">
        <f t="shared" si="58"/>
        <v>0</v>
      </c>
      <c r="D454">
        <f t="shared" si="59"/>
        <v>185</v>
      </c>
      <c r="E454">
        <f t="shared" si="60"/>
        <v>0</v>
      </c>
      <c r="F454">
        <f t="shared" si="61"/>
        <v>0</v>
      </c>
      <c r="G454">
        <f t="shared" si="62"/>
        <v>20</v>
      </c>
      <c r="H454">
        <f t="shared" si="63"/>
        <v>20</v>
      </c>
      <c r="I454" t="str">
        <f t="shared" si="64"/>
        <v>SPRITE_ID_NEW_TRAIN</v>
      </c>
      <c r="U454"/>
      <c r="V454"/>
      <c r="W454"/>
    </row>
    <row r="455" spans="1:23">
      <c r="A455" s="2" t="s">
        <v>481</v>
      </c>
      <c r="B455">
        <f t="shared" si="57"/>
        <v>0</v>
      </c>
      <c r="C455">
        <f t="shared" si="58"/>
        <v>0</v>
      </c>
      <c r="D455">
        <f t="shared" si="59"/>
        <v>185</v>
      </c>
      <c r="E455">
        <f t="shared" si="60"/>
        <v>0</v>
      </c>
      <c r="F455">
        <f t="shared" si="61"/>
        <v>0</v>
      </c>
      <c r="G455">
        <f t="shared" si="62"/>
        <v>20</v>
      </c>
      <c r="H455">
        <f t="shared" si="63"/>
        <v>20</v>
      </c>
      <c r="I455" t="str">
        <f t="shared" si="64"/>
        <v>SPRITE_ID_NEW_TRAIN</v>
      </c>
      <c r="U455"/>
      <c r="V455"/>
      <c r="W455"/>
    </row>
    <row r="456" spans="1:23">
      <c r="A456" s="2" t="s">
        <v>482</v>
      </c>
      <c r="B456">
        <f t="shared" si="57"/>
        <v>0</v>
      </c>
      <c r="C456">
        <f t="shared" si="58"/>
        <v>0</v>
      </c>
      <c r="D456">
        <f t="shared" si="59"/>
        <v>185</v>
      </c>
      <c r="E456">
        <f t="shared" si="60"/>
        <v>0</v>
      </c>
      <c r="F456">
        <f t="shared" si="61"/>
        <v>0</v>
      </c>
      <c r="G456">
        <f t="shared" si="62"/>
        <v>20</v>
      </c>
      <c r="H456">
        <f t="shared" si="63"/>
        <v>20</v>
      </c>
      <c r="I456" t="str">
        <f t="shared" si="64"/>
        <v>SPRITE_ID_NEW_TRAIN</v>
      </c>
      <c r="U456"/>
      <c r="V456"/>
      <c r="W456"/>
    </row>
    <row r="457" spans="1:23">
      <c r="A457" s="2" t="s">
        <v>483</v>
      </c>
      <c r="B457">
        <f t="shared" si="57"/>
        <v>0</v>
      </c>
      <c r="C457">
        <f t="shared" si="58"/>
        <v>0</v>
      </c>
      <c r="D457">
        <f t="shared" si="59"/>
        <v>185</v>
      </c>
      <c r="E457">
        <f t="shared" si="60"/>
        <v>0</v>
      </c>
      <c r="F457">
        <f t="shared" si="61"/>
        <v>0</v>
      </c>
      <c r="G457">
        <f t="shared" si="62"/>
        <v>20</v>
      </c>
      <c r="H457">
        <f t="shared" si="63"/>
        <v>20</v>
      </c>
      <c r="I457" t="str">
        <f t="shared" si="64"/>
        <v>SPRITE_ID_NEW_TRAIN</v>
      </c>
      <c r="U457"/>
      <c r="V457"/>
      <c r="W457"/>
    </row>
    <row r="458" spans="1:23">
      <c r="A458" s="2" t="s">
        <v>484</v>
      </c>
      <c r="B458">
        <f t="shared" si="57"/>
        <v>0</v>
      </c>
      <c r="C458">
        <f t="shared" si="58"/>
        <v>0</v>
      </c>
      <c r="D458">
        <f t="shared" si="59"/>
        <v>185</v>
      </c>
      <c r="E458">
        <f t="shared" si="60"/>
        <v>0</v>
      </c>
      <c r="F458">
        <f t="shared" si="61"/>
        <v>0</v>
      </c>
      <c r="G458">
        <f t="shared" si="62"/>
        <v>20</v>
      </c>
      <c r="H458">
        <f t="shared" si="63"/>
        <v>20</v>
      </c>
      <c r="I458" t="str">
        <f t="shared" si="64"/>
        <v>SPRITE_ID_NEW_TRAIN</v>
      </c>
      <c r="U458"/>
      <c r="V458"/>
      <c r="W458"/>
    </row>
    <row r="459" spans="1:23">
      <c r="A459" s="2" t="s">
        <v>485</v>
      </c>
      <c r="B459">
        <f t="shared" si="57"/>
        <v>0</v>
      </c>
      <c r="C459">
        <f t="shared" si="58"/>
        <v>0</v>
      </c>
      <c r="D459">
        <f t="shared" si="59"/>
        <v>185</v>
      </c>
      <c r="E459">
        <f t="shared" si="60"/>
        <v>0</v>
      </c>
      <c r="F459">
        <f t="shared" si="61"/>
        <v>0</v>
      </c>
      <c r="G459">
        <f t="shared" si="62"/>
        <v>20</v>
      </c>
      <c r="H459">
        <f t="shared" si="63"/>
        <v>20</v>
      </c>
      <c r="I459" t="str">
        <f t="shared" si="64"/>
        <v>SPRITE_ID_NEW_TRAIN</v>
      </c>
      <c r="U459"/>
      <c r="V459"/>
      <c r="W459"/>
    </row>
    <row r="460" spans="1:23">
      <c r="A460" s="2" t="s">
        <v>486</v>
      </c>
      <c r="B460">
        <f t="shared" si="57"/>
        <v>0</v>
      </c>
      <c r="C460">
        <f t="shared" si="58"/>
        <v>0</v>
      </c>
      <c r="D460">
        <f t="shared" si="59"/>
        <v>185</v>
      </c>
      <c r="E460">
        <f t="shared" si="60"/>
        <v>0</v>
      </c>
      <c r="F460">
        <f t="shared" si="61"/>
        <v>0</v>
      </c>
      <c r="G460">
        <f t="shared" si="62"/>
        <v>20</v>
      </c>
      <c r="H460">
        <f t="shared" si="63"/>
        <v>20</v>
      </c>
      <c r="I460" t="str">
        <f t="shared" si="64"/>
        <v>SPRITE_ID_NEW_TRAIN</v>
      </c>
      <c r="U460"/>
      <c r="V460"/>
      <c r="W460"/>
    </row>
    <row r="461" spans="1:23">
      <c r="A461" s="2" t="s">
        <v>487</v>
      </c>
      <c r="B461">
        <f t="shared" si="57"/>
        <v>0</v>
      </c>
      <c r="C461">
        <f t="shared" si="58"/>
        <v>0</v>
      </c>
      <c r="D461">
        <f t="shared" si="59"/>
        <v>185</v>
      </c>
      <c r="E461">
        <f t="shared" si="60"/>
        <v>0</v>
      </c>
      <c r="F461">
        <f t="shared" si="61"/>
        <v>0</v>
      </c>
      <c r="G461">
        <f t="shared" si="62"/>
        <v>20</v>
      </c>
      <c r="H461">
        <f t="shared" si="63"/>
        <v>20</v>
      </c>
      <c r="I461" t="str">
        <f t="shared" si="64"/>
        <v>SPRITE_ID_NEW_TRAIN</v>
      </c>
      <c r="U461"/>
      <c r="V461"/>
      <c r="W461"/>
    </row>
    <row r="462" spans="1:23">
      <c r="A462" s="2" t="s">
        <v>488</v>
      </c>
      <c r="B462">
        <f t="shared" si="57"/>
        <v>0</v>
      </c>
      <c r="C462">
        <f t="shared" si="58"/>
        <v>0</v>
      </c>
      <c r="D462">
        <f t="shared" si="59"/>
        <v>185</v>
      </c>
      <c r="E462">
        <f t="shared" si="60"/>
        <v>0</v>
      </c>
      <c r="F462">
        <f t="shared" si="61"/>
        <v>0</v>
      </c>
      <c r="G462">
        <f t="shared" si="62"/>
        <v>20</v>
      </c>
      <c r="H462">
        <f t="shared" si="63"/>
        <v>20</v>
      </c>
      <c r="I462" t="str">
        <f t="shared" si="64"/>
        <v>SPRITE_ID_NEW_TRAIN</v>
      </c>
      <c r="U462"/>
      <c r="V462"/>
      <c r="W462"/>
    </row>
    <row r="463" spans="1:23">
      <c r="A463" s="2" t="s">
        <v>489</v>
      </c>
      <c r="B463">
        <f t="shared" si="57"/>
        <v>0</v>
      </c>
      <c r="C463">
        <f t="shared" si="58"/>
        <v>0</v>
      </c>
      <c r="D463">
        <f t="shared" si="59"/>
        <v>185</v>
      </c>
      <c r="E463">
        <f t="shared" si="60"/>
        <v>0</v>
      </c>
      <c r="F463">
        <f t="shared" si="61"/>
        <v>0</v>
      </c>
      <c r="G463">
        <f t="shared" si="62"/>
        <v>20</v>
      </c>
      <c r="H463">
        <f t="shared" si="63"/>
        <v>20</v>
      </c>
      <c r="I463" t="str">
        <f t="shared" si="64"/>
        <v>SPRITE_ID_NEW_TRAIN</v>
      </c>
      <c r="U463"/>
      <c r="V463"/>
      <c r="W463"/>
    </row>
    <row r="464" spans="1:23">
      <c r="A464" s="2" t="s">
        <v>490</v>
      </c>
      <c r="B464">
        <f t="shared" si="57"/>
        <v>0</v>
      </c>
      <c r="C464">
        <f t="shared" si="58"/>
        <v>0</v>
      </c>
      <c r="D464">
        <f t="shared" si="59"/>
        <v>185</v>
      </c>
      <c r="E464">
        <f t="shared" si="60"/>
        <v>0</v>
      </c>
      <c r="F464">
        <f t="shared" si="61"/>
        <v>0</v>
      </c>
      <c r="G464">
        <f t="shared" si="62"/>
        <v>20</v>
      </c>
      <c r="H464">
        <f t="shared" si="63"/>
        <v>20</v>
      </c>
      <c r="I464" t="str">
        <f t="shared" si="64"/>
        <v>SPRITE_ID_NEW_TRAIN</v>
      </c>
      <c r="U464"/>
      <c r="V464"/>
      <c r="W464"/>
    </row>
    <row r="465" spans="1:23">
      <c r="A465" s="2" t="s">
        <v>491</v>
      </c>
      <c r="B465">
        <f t="shared" si="57"/>
        <v>0</v>
      </c>
      <c r="C465">
        <f t="shared" si="58"/>
        <v>0</v>
      </c>
      <c r="D465">
        <f t="shared" si="59"/>
        <v>185</v>
      </c>
      <c r="E465">
        <f t="shared" si="60"/>
        <v>0</v>
      </c>
      <c r="F465">
        <f t="shared" si="61"/>
        <v>0</v>
      </c>
      <c r="G465">
        <f t="shared" si="62"/>
        <v>20</v>
      </c>
      <c r="H465">
        <f t="shared" si="63"/>
        <v>20</v>
      </c>
      <c r="I465" t="str">
        <f t="shared" si="64"/>
        <v>SPRITE_ID_NEW_TRAIN</v>
      </c>
      <c r="U465"/>
      <c r="V465"/>
      <c r="W465"/>
    </row>
    <row r="466" spans="1:23">
      <c r="A466" s="2" t="s">
        <v>492</v>
      </c>
      <c r="B466">
        <f t="shared" si="57"/>
        <v>0</v>
      </c>
      <c r="C466">
        <f t="shared" si="58"/>
        <v>0</v>
      </c>
      <c r="D466">
        <f t="shared" si="59"/>
        <v>185</v>
      </c>
      <c r="E466">
        <f t="shared" si="60"/>
        <v>0</v>
      </c>
      <c r="F466">
        <f t="shared" si="61"/>
        <v>0</v>
      </c>
      <c r="G466">
        <f t="shared" si="62"/>
        <v>20</v>
      </c>
      <c r="H466">
        <f t="shared" si="63"/>
        <v>20</v>
      </c>
      <c r="I466" t="str">
        <f t="shared" si="64"/>
        <v>SPRITE_ID_NEW_TRAIN</v>
      </c>
      <c r="U466"/>
      <c r="V466"/>
      <c r="W466"/>
    </row>
    <row r="467" spans="1:23">
      <c r="A467" s="2" t="s">
        <v>493</v>
      </c>
      <c r="B467">
        <f t="shared" si="57"/>
        <v>0</v>
      </c>
      <c r="C467">
        <f t="shared" si="58"/>
        <v>0</v>
      </c>
      <c r="D467">
        <f t="shared" si="59"/>
        <v>185</v>
      </c>
      <c r="E467">
        <f t="shared" si="60"/>
        <v>0</v>
      </c>
      <c r="F467">
        <f t="shared" si="61"/>
        <v>0</v>
      </c>
      <c r="G467">
        <f t="shared" si="62"/>
        <v>20</v>
      </c>
      <c r="H467">
        <f t="shared" si="63"/>
        <v>20</v>
      </c>
      <c r="I467" t="str">
        <f t="shared" si="64"/>
        <v>SPRITE_ID_NEW_TRAIN</v>
      </c>
      <c r="U467"/>
      <c r="V467"/>
      <c r="W467"/>
    </row>
    <row r="468" spans="1:23">
      <c r="A468" s="2" t="s">
        <v>494</v>
      </c>
      <c r="B468">
        <f t="shared" si="57"/>
        <v>0</v>
      </c>
      <c r="C468">
        <f t="shared" si="58"/>
        <v>0</v>
      </c>
      <c r="D468">
        <f t="shared" si="59"/>
        <v>185</v>
      </c>
      <c r="E468">
        <f t="shared" si="60"/>
        <v>0</v>
      </c>
      <c r="F468">
        <f t="shared" si="61"/>
        <v>0</v>
      </c>
      <c r="G468">
        <f t="shared" si="62"/>
        <v>20</v>
      </c>
      <c r="H468">
        <f t="shared" si="63"/>
        <v>20</v>
      </c>
      <c r="I468" t="str">
        <f t="shared" si="64"/>
        <v>SPRITE_ID_NEW_TRAIN</v>
      </c>
      <c r="U468"/>
      <c r="V468"/>
      <c r="W468"/>
    </row>
    <row r="469" spans="1:23">
      <c r="A469" s="2" t="s">
        <v>495</v>
      </c>
      <c r="B469">
        <f t="shared" si="57"/>
        <v>0</v>
      </c>
      <c r="C469">
        <f t="shared" si="58"/>
        <v>0</v>
      </c>
      <c r="D469">
        <f t="shared" si="59"/>
        <v>185</v>
      </c>
      <c r="E469">
        <f t="shared" si="60"/>
        <v>0</v>
      </c>
      <c r="F469">
        <f t="shared" si="61"/>
        <v>0</v>
      </c>
      <c r="G469">
        <f t="shared" si="62"/>
        <v>20</v>
      </c>
      <c r="H469">
        <f t="shared" si="63"/>
        <v>20</v>
      </c>
      <c r="I469" t="str">
        <f t="shared" si="64"/>
        <v>SPRITE_ID_NEW_TRAIN</v>
      </c>
      <c r="U469"/>
      <c r="V469"/>
      <c r="W469"/>
    </row>
    <row r="470" spans="1:23">
      <c r="A470" s="2" t="s">
        <v>496</v>
      </c>
      <c r="B470">
        <f t="shared" si="57"/>
        <v>0</v>
      </c>
      <c r="C470">
        <f t="shared" si="58"/>
        <v>0</v>
      </c>
      <c r="D470">
        <f t="shared" si="59"/>
        <v>185</v>
      </c>
      <c r="E470">
        <f t="shared" si="60"/>
        <v>0</v>
      </c>
      <c r="F470">
        <f t="shared" si="61"/>
        <v>0</v>
      </c>
      <c r="G470">
        <f t="shared" si="62"/>
        <v>20</v>
      </c>
      <c r="H470">
        <f t="shared" si="63"/>
        <v>20</v>
      </c>
      <c r="I470" t="str">
        <f t="shared" si="64"/>
        <v>SPRITE_ID_NEW_TRAIN</v>
      </c>
      <c r="U470"/>
      <c r="V470"/>
      <c r="W470"/>
    </row>
    <row r="471" spans="1:23">
      <c r="A471" s="2" t="s">
        <v>497</v>
      </c>
      <c r="B471">
        <f t="shared" si="57"/>
        <v>0</v>
      </c>
      <c r="C471">
        <f t="shared" si="58"/>
        <v>0</v>
      </c>
      <c r="D471">
        <f t="shared" si="59"/>
        <v>185</v>
      </c>
      <c r="E471">
        <f t="shared" si="60"/>
        <v>0</v>
      </c>
      <c r="F471">
        <f t="shared" si="61"/>
        <v>0</v>
      </c>
      <c r="G471">
        <f t="shared" si="62"/>
        <v>20</v>
      </c>
      <c r="H471">
        <f t="shared" si="63"/>
        <v>20</v>
      </c>
      <c r="I471" t="str">
        <f t="shared" si="64"/>
        <v>SPRITE_ID_NEW_TRAIN</v>
      </c>
      <c r="U471"/>
      <c r="V471"/>
      <c r="W471"/>
    </row>
    <row r="472" spans="1:23">
      <c r="A472" s="2" t="s">
        <v>498</v>
      </c>
      <c r="B472">
        <f t="shared" si="57"/>
        <v>0</v>
      </c>
      <c r="C472">
        <f t="shared" si="58"/>
        <v>0</v>
      </c>
      <c r="D472">
        <f t="shared" si="59"/>
        <v>185</v>
      </c>
      <c r="E472">
        <f t="shared" si="60"/>
        <v>0</v>
      </c>
      <c r="F472">
        <f t="shared" si="61"/>
        <v>0</v>
      </c>
      <c r="G472">
        <f t="shared" si="62"/>
        <v>20</v>
      </c>
      <c r="H472">
        <f t="shared" si="63"/>
        <v>20</v>
      </c>
      <c r="I472" t="str">
        <f t="shared" si="64"/>
        <v>SPRITE_ID_NEW_TRAIN</v>
      </c>
      <c r="U472"/>
      <c r="V472"/>
      <c r="W472"/>
    </row>
    <row r="473" spans="1:23">
      <c r="A473" s="2" t="s">
        <v>499</v>
      </c>
      <c r="B473">
        <f t="shared" si="57"/>
        <v>0</v>
      </c>
      <c r="C473">
        <f t="shared" si="58"/>
        <v>0</v>
      </c>
      <c r="D473">
        <f t="shared" si="59"/>
        <v>185</v>
      </c>
      <c r="E473">
        <f t="shared" si="60"/>
        <v>0</v>
      </c>
      <c r="F473">
        <f t="shared" si="61"/>
        <v>0</v>
      </c>
      <c r="G473">
        <f t="shared" si="62"/>
        <v>20</v>
      </c>
      <c r="H473">
        <f t="shared" si="63"/>
        <v>20</v>
      </c>
      <c r="I473" t="str">
        <f t="shared" si="64"/>
        <v>SPRITE_ID_NEW_TRAIN</v>
      </c>
      <c r="U473"/>
      <c r="V473"/>
      <c r="W473"/>
    </row>
    <row r="474" spans="1:23">
      <c r="A474" s="2" t="s">
        <v>500</v>
      </c>
      <c r="B474">
        <f t="shared" si="57"/>
        <v>0</v>
      </c>
      <c r="C474">
        <f t="shared" si="58"/>
        <v>0</v>
      </c>
      <c r="D474">
        <f t="shared" si="59"/>
        <v>185</v>
      </c>
      <c r="E474">
        <f t="shared" si="60"/>
        <v>0</v>
      </c>
      <c r="F474">
        <f t="shared" si="61"/>
        <v>0</v>
      </c>
      <c r="G474">
        <f t="shared" si="62"/>
        <v>20</v>
      </c>
      <c r="H474">
        <f t="shared" si="63"/>
        <v>20</v>
      </c>
      <c r="I474" t="str">
        <f t="shared" si="64"/>
        <v>SPRITE_ID_NEW_TRAIN</v>
      </c>
      <c r="U474"/>
      <c r="V474"/>
      <c r="W474"/>
    </row>
    <row r="475" spans="1:23">
      <c r="A475" s="2" t="s">
        <v>501</v>
      </c>
      <c r="B475">
        <f t="shared" si="57"/>
        <v>0</v>
      </c>
      <c r="C475">
        <f t="shared" si="58"/>
        <v>0</v>
      </c>
      <c r="D475">
        <f t="shared" si="59"/>
        <v>185</v>
      </c>
      <c r="E475">
        <f t="shared" si="60"/>
        <v>0</v>
      </c>
      <c r="F475">
        <f t="shared" si="61"/>
        <v>0</v>
      </c>
      <c r="G475">
        <f t="shared" si="62"/>
        <v>20</v>
      </c>
      <c r="H475">
        <f t="shared" si="63"/>
        <v>20</v>
      </c>
      <c r="I475" t="str">
        <f t="shared" si="64"/>
        <v>SPRITE_ID_NEW_TRAIN</v>
      </c>
      <c r="U475"/>
      <c r="V475"/>
      <c r="W475"/>
    </row>
    <row r="476" spans="1:23">
      <c r="A476" s="2" t="s">
        <v>502</v>
      </c>
      <c r="B476">
        <f t="shared" si="57"/>
        <v>0</v>
      </c>
      <c r="C476">
        <f t="shared" si="58"/>
        <v>0</v>
      </c>
      <c r="D476">
        <f t="shared" si="59"/>
        <v>185</v>
      </c>
      <c r="E476">
        <f t="shared" si="60"/>
        <v>0</v>
      </c>
      <c r="F476">
        <f t="shared" si="61"/>
        <v>0</v>
      </c>
      <c r="G476">
        <f t="shared" si="62"/>
        <v>20</v>
      </c>
      <c r="H476">
        <f t="shared" si="63"/>
        <v>20</v>
      </c>
      <c r="I476" t="str">
        <f t="shared" si="64"/>
        <v>SPRITE_ID_NEW_TRAIN</v>
      </c>
      <c r="U476"/>
      <c r="V476"/>
      <c r="W476"/>
    </row>
    <row r="477" spans="1:23">
      <c r="A477" s="2" t="s">
        <v>503</v>
      </c>
      <c r="B477">
        <f t="shared" si="57"/>
        <v>0</v>
      </c>
      <c r="C477">
        <f t="shared" si="58"/>
        <v>0</v>
      </c>
      <c r="D477">
        <f t="shared" si="59"/>
        <v>185</v>
      </c>
      <c r="E477">
        <f t="shared" si="60"/>
        <v>0</v>
      </c>
      <c r="F477">
        <f t="shared" si="61"/>
        <v>0</v>
      </c>
      <c r="G477">
        <f t="shared" si="62"/>
        <v>20</v>
      </c>
      <c r="H477">
        <f t="shared" si="63"/>
        <v>20</v>
      </c>
      <c r="I477" t="str">
        <f t="shared" si="64"/>
        <v>SPRITE_ID_NEW_TRAIN</v>
      </c>
      <c r="U477"/>
      <c r="V477"/>
      <c r="W477"/>
    </row>
    <row r="478" spans="1:23">
      <c r="A478" s="2" t="s">
        <v>504</v>
      </c>
      <c r="B478">
        <f t="shared" si="57"/>
        <v>0</v>
      </c>
      <c r="C478">
        <f t="shared" si="58"/>
        <v>0</v>
      </c>
      <c r="D478">
        <f t="shared" si="59"/>
        <v>185</v>
      </c>
      <c r="E478">
        <f t="shared" si="60"/>
        <v>0</v>
      </c>
      <c r="F478">
        <f t="shared" si="61"/>
        <v>0</v>
      </c>
      <c r="G478">
        <f t="shared" si="62"/>
        <v>20</v>
      </c>
      <c r="H478">
        <f t="shared" si="63"/>
        <v>20</v>
      </c>
      <c r="I478" t="str">
        <f t="shared" si="64"/>
        <v>SPRITE_ID_NEW_TRAIN</v>
      </c>
      <c r="U478"/>
      <c r="V478"/>
      <c r="W478"/>
    </row>
    <row r="479" spans="1:23">
      <c r="A479" s="2" t="s">
        <v>505</v>
      </c>
      <c r="B479">
        <f t="shared" si="57"/>
        <v>0</v>
      </c>
      <c r="C479">
        <f t="shared" si="58"/>
        <v>0</v>
      </c>
      <c r="D479">
        <f t="shared" si="59"/>
        <v>185</v>
      </c>
      <c r="E479">
        <f t="shared" si="60"/>
        <v>0</v>
      </c>
      <c r="F479">
        <f t="shared" si="61"/>
        <v>0</v>
      </c>
      <c r="G479">
        <f t="shared" si="62"/>
        <v>20</v>
      </c>
      <c r="H479">
        <f t="shared" si="63"/>
        <v>20</v>
      </c>
      <c r="I479" t="str">
        <f t="shared" si="64"/>
        <v>SPRITE_ID_NEW_TRAIN</v>
      </c>
      <c r="U479"/>
      <c r="V479"/>
      <c r="W479"/>
    </row>
    <row r="480" spans="1:23">
      <c r="A480" s="2" t="s">
        <v>506</v>
      </c>
      <c r="B480">
        <f t="shared" si="57"/>
        <v>0</v>
      </c>
      <c r="C480">
        <f t="shared" si="58"/>
        <v>0</v>
      </c>
      <c r="D480">
        <f t="shared" si="59"/>
        <v>185</v>
      </c>
      <c r="E480">
        <f t="shared" si="60"/>
        <v>0</v>
      </c>
      <c r="F480">
        <f t="shared" si="61"/>
        <v>0</v>
      </c>
      <c r="G480">
        <f t="shared" si="62"/>
        <v>20</v>
      </c>
      <c r="H480">
        <f t="shared" si="63"/>
        <v>20</v>
      </c>
      <c r="I480" t="str">
        <f t="shared" si="64"/>
        <v>SPRITE_ID_NEW_TRAIN</v>
      </c>
      <c r="U480"/>
      <c r="V480"/>
      <c r="W480"/>
    </row>
    <row r="481" spans="1:23">
      <c r="A481" s="2" t="s">
        <v>507</v>
      </c>
      <c r="B481">
        <f t="shared" si="57"/>
        <v>0</v>
      </c>
      <c r="C481">
        <f t="shared" si="58"/>
        <v>0</v>
      </c>
      <c r="D481">
        <f t="shared" si="59"/>
        <v>185</v>
      </c>
      <c r="E481">
        <f t="shared" si="60"/>
        <v>0</v>
      </c>
      <c r="F481">
        <f t="shared" si="61"/>
        <v>0</v>
      </c>
      <c r="G481">
        <f t="shared" si="62"/>
        <v>20</v>
      </c>
      <c r="H481">
        <f t="shared" si="63"/>
        <v>20</v>
      </c>
      <c r="I481" t="str">
        <f t="shared" si="64"/>
        <v>SPRITE_ID_NEW_TRAIN</v>
      </c>
      <c r="U481"/>
      <c r="V481"/>
      <c r="W481"/>
    </row>
    <row r="482" spans="1:23">
      <c r="A482" s="2" t="s">
        <v>508</v>
      </c>
      <c r="B482">
        <f t="shared" si="57"/>
        <v>0</v>
      </c>
      <c r="C482">
        <f t="shared" si="58"/>
        <v>0</v>
      </c>
      <c r="D482">
        <f t="shared" si="59"/>
        <v>185</v>
      </c>
      <c r="E482">
        <f t="shared" si="60"/>
        <v>0</v>
      </c>
      <c r="F482">
        <f t="shared" si="61"/>
        <v>0</v>
      </c>
      <c r="G482">
        <f t="shared" si="62"/>
        <v>20</v>
      </c>
      <c r="H482">
        <f t="shared" si="63"/>
        <v>20</v>
      </c>
      <c r="I482" t="str">
        <f t="shared" si="64"/>
        <v>SPRITE_ID_NEW_TRAIN</v>
      </c>
      <c r="U482"/>
      <c r="V482"/>
      <c r="W482"/>
    </row>
    <row r="483" spans="1:23">
      <c r="A483" s="2" t="s">
        <v>509</v>
      </c>
      <c r="B483">
        <f t="shared" si="57"/>
        <v>0</v>
      </c>
      <c r="C483">
        <f t="shared" si="58"/>
        <v>0</v>
      </c>
      <c r="D483">
        <f t="shared" si="59"/>
        <v>185</v>
      </c>
      <c r="E483">
        <f t="shared" si="60"/>
        <v>0</v>
      </c>
      <c r="F483">
        <f t="shared" si="61"/>
        <v>0</v>
      </c>
      <c r="G483">
        <f t="shared" si="62"/>
        <v>20</v>
      </c>
      <c r="H483">
        <f t="shared" si="63"/>
        <v>20</v>
      </c>
      <c r="I483" t="str">
        <f t="shared" si="64"/>
        <v>SPRITE_ID_NEW_TRAIN</v>
      </c>
      <c r="U483"/>
      <c r="V483"/>
      <c r="W483"/>
    </row>
    <row r="484" spans="1:23">
      <c r="A484" s="2" t="s">
        <v>510</v>
      </c>
      <c r="B484">
        <f t="shared" si="57"/>
        <v>0</v>
      </c>
      <c r="C484">
        <f t="shared" si="58"/>
        <v>0</v>
      </c>
      <c r="D484">
        <f t="shared" si="59"/>
        <v>185</v>
      </c>
      <c r="E484">
        <f t="shared" si="60"/>
        <v>0</v>
      </c>
      <c r="F484">
        <f t="shared" si="61"/>
        <v>0</v>
      </c>
      <c r="G484">
        <f t="shared" si="62"/>
        <v>20</v>
      </c>
      <c r="H484">
        <f t="shared" si="63"/>
        <v>20</v>
      </c>
      <c r="I484" t="str">
        <f t="shared" si="64"/>
        <v>SPRITE_ID_NEW_TRAIN</v>
      </c>
      <c r="U484"/>
      <c r="V484"/>
      <c r="W484"/>
    </row>
    <row r="485" spans="1:23">
      <c r="A485" s="2" t="s">
        <v>511</v>
      </c>
      <c r="B485">
        <f t="shared" si="57"/>
        <v>0</v>
      </c>
      <c r="C485">
        <f t="shared" si="58"/>
        <v>0</v>
      </c>
      <c r="D485">
        <f t="shared" si="59"/>
        <v>185</v>
      </c>
      <c r="E485">
        <f t="shared" si="60"/>
        <v>0</v>
      </c>
      <c r="F485">
        <f t="shared" si="61"/>
        <v>0</v>
      </c>
      <c r="G485">
        <f t="shared" si="62"/>
        <v>20</v>
      </c>
      <c r="H485">
        <f t="shared" si="63"/>
        <v>20</v>
      </c>
      <c r="I485" t="str">
        <f t="shared" si="64"/>
        <v>SPRITE_ID_NEW_TRAIN</v>
      </c>
      <c r="U485"/>
      <c r="V485"/>
      <c r="W485"/>
    </row>
    <row r="486" spans="1:23">
      <c r="A486" s="2" t="s">
        <v>512</v>
      </c>
      <c r="B486">
        <f t="shared" si="57"/>
        <v>0</v>
      </c>
      <c r="C486">
        <f t="shared" si="58"/>
        <v>0</v>
      </c>
      <c r="D486">
        <f t="shared" si="59"/>
        <v>185</v>
      </c>
      <c r="E486">
        <f t="shared" si="60"/>
        <v>0</v>
      </c>
      <c r="F486">
        <f t="shared" si="61"/>
        <v>0</v>
      </c>
      <c r="G486">
        <f t="shared" si="62"/>
        <v>20</v>
      </c>
      <c r="H486">
        <f t="shared" si="63"/>
        <v>20</v>
      </c>
      <c r="I486" t="str">
        <f t="shared" si="64"/>
        <v>SPRITE_ID_NEW_TRAIN</v>
      </c>
      <c r="U486"/>
      <c r="V486"/>
      <c r="W486"/>
    </row>
    <row r="487" spans="1:23">
      <c r="A487" s="2" t="s">
        <v>513</v>
      </c>
      <c r="B487">
        <f t="shared" si="57"/>
        <v>0</v>
      </c>
      <c r="C487">
        <f t="shared" si="58"/>
        <v>0</v>
      </c>
      <c r="D487">
        <f t="shared" si="59"/>
        <v>185</v>
      </c>
      <c r="E487">
        <f t="shared" si="60"/>
        <v>0</v>
      </c>
      <c r="F487">
        <f t="shared" si="61"/>
        <v>0</v>
      </c>
      <c r="G487">
        <f t="shared" si="62"/>
        <v>20</v>
      </c>
      <c r="H487">
        <f t="shared" si="63"/>
        <v>20</v>
      </c>
      <c r="I487" t="str">
        <f t="shared" si="64"/>
        <v>SPRITE_ID_NEW_TRAIN</v>
      </c>
      <c r="U487"/>
      <c r="V487"/>
      <c r="W487"/>
    </row>
    <row r="488" spans="1:23">
      <c r="A488" s="2" t="s">
        <v>514</v>
      </c>
      <c r="B488">
        <f t="shared" si="57"/>
        <v>0</v>
      </c>
      <c r="C488">
        <f t="shared" si="58"/>
        <v>0</v>
      </c>
      <c r="D488">
        <f t="shared" si="59"/>
        <v>185</v>
      </c>
      <c r="E488">
        <f t="shared" si="60"/>
        <v>0</v>
      </c>
      <c r="F488">
        <f t="shared" si="61"/>
        <v>0</v>
      </c>
      <c r="G488">
        <f t="shared" si="62"/>
        <v>20</v>
      </c>
      <c r="H488">
        <f t="shared" si="63"/>
        <v>20</v>
      </c>
      <c r="I488" t="str">
        <f t="shared" si="64"/>
        <v>SPRITE_ID_NEW_TRAIN</v>
      </c>
      <c r="U488"/>
      <c r="V488"/>
      <c r="W488"/>
    </row>
    <row r="489" spans="1:23">
      <c r="A489" s="2" t="s">
        <v>515</v>
      </c>
      <c r="B489">
        <f t="shared" si="57"/>
        <v>0</v>
      </c>
      <c r="C489">
        <f t="shared" si="58"/>
        <v>0</v>
      </c>
      <c r="D489">
        <f t="shared" si="59"/>
        <v>185</v>
      </c>
      <c r="E489">
        <f t="shared" si="60"/>
        <v>0</v>
      </c>
      <c r="F489">
        <f t="shared" si="61"/>
        <v>0</v>
      </c>
      <c r="G489">
        <f t="shared" si="62"/>
        <v>20</v>
      </c>
      <c r="H489">
        <f t="shared" si="63"/>
        <v>20</v>
      </c>
      <c r="I489" t="str">
        <f t="shared" si="64"/>
        <v>SPRITE_ID_NEW_TRAIN</v>
      </c>
      <c r="U489"/>
      <c r="V489"/>
      <c r="W489"/>
    </row>
    <row r="490" spans="1:23">
      <c r="A490" s="2" t="s">
        <v>516</v>
      </c>
      <c r="B490">
        <f t="shared" si="57"/>
        <v>0</v>
      </c>
      <c r="C490">
        <f t="shared" si="58"/>
        <v>0</v>
      </c>
      <c r="D490">
        <f t="shared" si="59"/>
        <v>185</v>
      </c>
      <c r="E490">
        <f t="shared" si="60"/>
        <v>0</v>
      </c>
      <c r="F490">
        <f t="shared" si="61"/>
        <v>0</v>
      </c>
      <c r="G490">
        <f t="shared" si="62"/>
        <v>20</v>
      </c>
      <c r="H490">
        <f t="shared" si="63"/>
        <v>20</v>
      </c>
      <c r="I490" t="str">
        <f t="shared" si="64"/>
        <v>SPRITE_ID_NEW_TRAIN</v>
      </c>
      <c r="U490"/>
      <c r="V490"/>
      <c r="W490"/>
    </row>
    <row r="491" spans="1:23">
      <c r="A491" s="2" t="s">
        <v>517</v>
      </c>
      <c r="B491">
        <f t="shared" si="57"/>
        <v>0</v>
      </c>
      <c r="C491">
        <f t="shared" si="58"/>
        <v>0</v>
      </c>
      <c r="D491">
        <f t="shared" si="59"/>
        <v>185</v>
      </c>
      <c r="E491">
        <f t="shared" si="60"/>
        <v>0</v>
      </c>
      <c r="F491">
        <f t="shared" si="61"/>
        <v>0</v>
      </c>
      <c r="G491">
        <f t="shared" si="62"/>
        <v>20</v>
      </c>
      <c r="H491">
        <f t="shared" si="63"/>
        <v>20</v>
      </c>
      <c r="I491" t="str">
        <f t="shared" si="64"/>
        <v>SPRITE_ID_NEW_TRAIN</v>
      </c>
      <c r="U491"/>
      <c r="V491"/>
      <c r="W491"/>
    </row>
    <row r="492" spans="1:23">
      <c r="A492" s="2" t="s">
        <v>518</v>
      </c>
      <c r="B492">
        <f t="shared" si="57"/>
        <v>0</v>
      </c>
      <c r="C492">
        <f t="shared" si="58"/>
        <v>0</v>
      </c>
      <c r="D492">
        <f t="shared" si="59"/>
        <v>185</v>
      </c>
      <c r="E492">
        <f t="shared" si="60"/>
        <v>0</v>
      </c>
      <c r="F492">
        <f t="shared" si="61"/>
        <v>0</v>
      </c>
      <c r="G492">
        <f t="shared" si="62"/>
        <v>20</v>
      </c>
      <c r="H492">
        <f t="shared" si="63"/>
        <v>20</v>
      </c>
      <c r="I492" t="str">
        <f t="shared" si="64"/>
        <v>SPRITE_ID_NEW_TRAIN</v>
      </c>
      <c r="U492"/>
      <c r="V492"/>
      <c r="W492"/>
    </row>
    <row r="493" spans="1:23">
      <c r="A493" s="2" t="s">
        <v>519</v>
      </c>
      <c r="B493">
        <f t="shared" si="57"/>
        <v>0</v>
      </c>
      <c r="C493">
        <f t="shared" si="58"/>
        <v>0</v>
      </c>
      <c r="D493">
        <f t="shared" si="59"/>
        <v>185</v>
      </c>
      <c r="E493">
        <f t="shared" si="60"/>
        <v>0</v>
      </c>
      <c r="F493">
        <f t="shared" si="61"/>
        <v>0</v>
      </c>
      <c r="G493">
        <f t="shared" si="62"/>
        <v>20</v>
      </c>
      <c r="H493">
        <f t="shared" si="63"/>
        <v>20</v>
      </c>
      <c r="I493" t="str">
        <f t="shared" si="64"/>
        <v>SPRITE_ID_NEW_TRAIN</v>
      </c>
      <c r="U493"/>
      <c r="V493"/>
      <c r="W493"/>
    </row>
    <row r="494" spans="1:23">
      <c r="A494" s="2" t="s">
        <v>520</v>
      </c>
      <c r="B494">
        <f t="shared" si="57"/>
        <v>0</v>
      </c>
      <c r="C494">
        <f t="shared" si="58"/>
        <v>0</v>
      </c>
      <c r="D494">
        <f t="shared" si="59"/>
        <v>185</v>
      </c>
      <c r="E494">
        <f t="shared" si="60"/>
        <v>0</v>
      </c>
      <c r="F494">
        <f t="shared" si="61"/>
        <v>0</v>
      </c>
      <c r="G494">
        <f t="shared" si="62"/>
        <v>20</v>
      </c>
      <c r="H494">
        <f t="shared" si="63"/>
        <v>20</v>
      </c>
      <c r="I494" t="str">
        <f t="shared" si="64"/>
        <v>SPRITE_ID_NEW_TRAIN</v>
      </c>
      <c r="U494"/>
      <c r="V494"/>
      <c r="W494"/>
    </row>
    <row r="495" spans="1:23">
      <c r="A495" s="2" t="s">
        <v>521</v>
      </c>
      <c r="B495">
        <f t="shared" si="57"/>
        <v>0</v>
      </c>
      <c r="C495">
        <f t="shared" si="58"/>
        <v>0</v>
      </c>
      <c r="D495">
        <f t="shared" si="59"/>
        <v>185</v>
      </c>
      <c r="E495">
        <f t="shared" si="60"/>
        <v>0</v>
      </c>
      <c r="F495">
        <f t="shared" si="61"/>
        <v>0</v>
      </c>
      <c r="G495">
        <f t="shared" si="62"/>
        <v>20</v>
      </c>
      <c r="H495">
        <f t="shared" si="63"/>
        <v>20</v>
      </c>
      <c r="I495" t="str">
        <f t="shared" si="64"/>
        <v>SPRITE_ID_NEW_TRAIN</v>
      </c>
      <c r="U495"/>
      <c r="V495"/>
      <c r="W495"/>
    </row>
    <row r="496" spans="1:23">
      <c r="A496" s="2" t="s">
        <v>522</v>
      </c>
      <c r="B496">
        <f t="shared" si="57"/>
        <v>0</v>
      </c>
      <c r="C496">
        <f t="shared" si="58"/>
        <v>0</v>
      </c>
      <c r="D496">
        <f t="shared" si="59"/>
        <v>185</v>
      </c>
      <c r="E496">
        <f t="shared" si="60"/>
        <v>0</v>
      </c>
      <c r="F496">
        <f t="shared" si="61"/>
        <v>0</v>
      </c>
      <c r="G496">
        <f t="shared" si="62"/>
        <v>20</v>
      </c>
      <c r="H496">
        <f t="shared" si="63"/>
        <v>20</v>
      </c>
      <c r="I496" t="str">
        <f t="shared" si="64"/>
        <v>SPRITE_ID_NEW_TRAIN</v>
      </c>
      <c r="U496"/>
      <c r="V496"/>
      <c r="W496"/>
    </row>
    <row r="497" spans="1:23">
      <c r="A497" s="2" t="s">
        <v>523</v>
      </c>
      <c r="B497">
        <f t="shared" si="57"/>
        <v>0</v>
      </c>
      <c r="C497">
        <f t="shared" si="58"/>
        <v>0</v>
      </c>
      <c r="D497">
        <f t="shared" si="59"/>
        <v>185</v>
      </c>
      <c r="E497">
        <f t="shared" si="60"/>
        <v>0</v>
      </c>
      <c r="F497">
        <f t="shared" si="61"/>
        <v>0</v>
      </c>
      <c r="G497">
        <f t="shared" si="62"/>
        <v>20</v>
      </c>
      <c r="H497">
        <f t="shared" si="63"/>
        <v>20</v>
      </c>
      <c r="I497" t="str">
        <f t="shared" si="64"/>
        <v>SPRITE_ID_NEW_TRAIN</v>
      </c>
      <c r="U497"/>
      <c r="V497"/>
      <c r="W497"/>
    </row>
    <row r="498" spans="1:23">
      <c r="A498" s="2" t="s">
        <v>524</v>
      </c>
      <c r="B498">
        <f t="shared" si="57"/>
        <v>0</v>
      </c>
      <c r="C498">
        <f t="shared" si="58"/>
        <v>0</v>
      </c>
      <c r="D498">
        <f t="shared" si="59"/>
        <v>185</v>
      </c>
      <c r="E498">
        <f t="shared" si="60"/>
        <v>0</v>
      </c>
      <c r="F498">
        <f t="shared" si="61"/>
        <v>0</v>
      </c>
      <c r="G498">
        <f t="shared" si="62"/>
        <v>20</v>
      </c>
      <c r="H498">
        <f t="shared" si="63"/>
        <v>20</v>
      </c>
      <c r="I498" t="str">
        <f t="shared" si="64"/>
        <v>SPRITE_ID_NEW_TRAIN</v>
      </c>
      <c r="U498"/>
      <c r="V498"/>
      <c r="W498"/>
    </row>
    <row r="499" spans="1:23">
      <c r="A499" s="2" t="s">
        <v>525</v>
      </c>
      <c r="B499">
        <f t="shared" si="57"/>
        <v>0</v>
      </c>
      <c r="C499">
        <f t="shared" si="58"/>
        <v>0</v>
      </c>
      <c r="D499">
        <f t="shared" si="59"/>
        <v>185</v>
      </c>
      <c r="E499">
        <f t="shared" si="60"/>
        <v>0</v>
      </c>
      <c r="F499">
        <f t="shared" si="61"/>
        <v>0</v>
      </c>
      <c r="G499">
        <f t="shared" si="62"/>
        <v>20</v>
      </c>
      <c r="H499">
        <f t="shared" si="63"/>
        <v>20</v>
      </c>
      <c r="I499" t="str">
        <f t="shared" si="64"/>
        <v>SPRITE_ID_NEW_TRAIN</v>
      </c>
      <c r="U499"/>
      <c r="V499"/>
      <c r="W499"/>
    </row>
    <row r="500" spans="1:23">
      <c r="A500" s="2" t="s">
        <v>526</v>
      </c>
      <c r="B500">
        <f t="shared" si="57"/>
        <v>0</v>
      </c>
      <c r="C500">
        <f t="shared" si="58"/>
        <v>0</v>
      </c>
      <c r="D500">
        <f t="shared" si="59"/>
        <v>185</v>
      </c>
      <c r="E500">
        <f t="shared" si="60"/>
        <v>0</v>
      </c>
      <c r="F500">
        <f t="shared" si="61"/>
        <v>0</v>
      </c>
      <c r="G500">
        <f t="shared" si="62"/>
        <v>20</v>
      </c>
      <c r="H500">
        <f t="shared" si="63"/>
        <v>20</v>
      </c>
      <c r="I500" t="str">
        <f t="shared" si="64"/>
        <v>SPRITE_ID_NEW_TRAIN</v>
      </c>
      <c r="U500"/>
      <c r="V500"/>
      <c r="W500"/>
    </row>
    <row r="501" spans="1:23">
      <c r="A501" s="2" t="s">
        <v>527</v>
      </c>
      <c r="B501">
        <f t="shared" si="57"/>
        <v>0</v>
      </c>
      <c r="C501">
        <f t="shared" si="58"/>
        <v>0</v>
      </c>
      <c r="D501">
        <f t="shared" si="59"/>
        <v>185</v>
      </c>
      <c r="E501">
        <f t="shared" si="60"/>
        <v>0</v>
      </c>
      <c r="F501">
        <f t="shared" si="61"/>
        <v>0</v>
      </c>
      <c r="G501">
        <f t="shared" si="62"/>
        <v>20</v>
      </c>
      <c r="H501">
        <f t="shared" si="63"/>
        <v>20</v>
      </c>
      <c r="I501" t="str">
        <f t="shared" si="64"/>
        <v>SPRITE_ID_NEW_TRAIN</v>
      </c>
      <c r="U501"/>
      <c r="V501"/>
      <c r="W501"/>
    </row>
    <row r="502" spans="1:23">
      <c r="A502" s="2" t="s">
        <v>528</v>
      </c>
      <c r="B502">
        <f t="shared" si="57"/>
        <v>0</v>
      </c>
      <c r="C502">
        <f t="shared" si="58"/>
        <v>0</v>
      </c>
      <c r="D502">
        <f t="shared" si="59"/>
        <v>185</v>
      </c>
      <c r="E502">
        <f t="shared" si="60"/>
        <v>0</v>
      </c>
      <c r="F502">
        <f t="shared" si="61"/>
        <v>0</v>
      </c>
      <c r="G502">
        <f t="shared" si="62"/>
        <v>20</v>
      </c>
      <c r="H502">
        <f t="shared" si="63"/>
        <v>20</v>
      </c>
      <c r="I502" t="str">
        <f t="shared" si="64"/>
        <v>SPRITE_ID_NEW_TRAIN</v>
      </c>
      <c r="U502"/>
      <c r="V502"/>
      <c r="W502"/>
    </row>
    <row r="503" spans="1:23">
      <c r="A503" s="2" t="s">
        <v>529</v>
      </c>
      <c r="B503">
        <f t="shared" si="57"/>
        <v>0</v>
      </c>
      <c r="C503">
        <f t="shared" si="58"/>
        <v>0</v>
      </c>
      <c r="D503">
        <f t="shared" si="59"/>
        <v>185</v>
      </c>
      <c r="E503">
        <f t="shared" si="60"/>
        <v>0</v>
      </c>
      <c r="F503">
        <f t="shared" si="61"/>
        <v>0</v>
      </c>
      <c r="G503">
        <f t="shared" si="62"/>
        <v>20</v>
      </c>
      <c r="H503">
        <f t="shared" si="63"/>
        <v>20</v>
      </c>
      <c r="I503" t="str">
        <f t="shared" si="64"/>
        <v>SPRITE_ID_NEW_TRAIN</v>
      </c>
      <c r="U503"/>
      <c r="V503"/>
      <c r="W503"/>
    </row>
    <row r="504" spans="1:23">
      <c r="A504" s="2" t="s">
        <v>530</v>
      </c>
      <c r="B504">
        <f t="shared" si="57"/>
        <v>0</v>
      </c>
      <c r="C504">
        <f t="shared" si="58"/>
        <v>0</v>
      </c>
      <c r="D504">
        <f t="shared" si="59"/>
        <v>185</v>
      </c>
      <c r="E504">
        <f t="shared" si="60"/>
        <v>0</v>
      </c>
      <c r="F504">
        <f t="shared" si="61"/>
        <v>0</v>
      </c>
      <c r="G504">
        <f t="shared" si="62"/>
        <v>20</v>
      </c>
      <c r="H504">
        <f t="shared" si="63"/>
        <v>20</v>
      </c>
      <c r="I504" t="str">
        <f t="shared" si="64"/>
        <v>SPRITE_ID_NEW_TRAIN</v>
      </c>
      <c r="U504"/>
      <c r="V504"/>
      <c r="W504"/>
    </row>
    <row r="505" spans="1:23">
      <c r="A505" s="2" t="s">
        <v>531</v>
      </c>
      <c r="B505">
        <f t="shared" si="57"/>
        <v>0</v>
      </c>
      <c r="C505">
        <f t="shared" si="58"/>
        <v>0</v>
      </c>
      <c r="D505">
        <f t="shared" si="59"/>
        <v>185</v>
      </c>
      <c r="E505">
        <f t="shared" si="60"/>
        <v>0</v>
      </c>
      <c r="F505">
        <f t="shared" si="61"/>
        <v>0</v>
      </c>
      <c r="G505">
        <f t="shared" si="62"/>
        <v>20</v>
      </c>
      <c r="H505">
        <f t="shared" si="63"/>
        <v>20</v>
      </c>
      <c r="I505" t="str">
        <f t="shared" si="64"/>
        <v>SPRITE_ID_NEW_TRAIN</v>
      </c>
      <c r="U505"/>
      <c r="V505"/>
      <c r="W505"/>
    </row>
    <row r="506" spans="1:23">
      <c r="A506" s="2" t="s">
        <v>533</v>
      </c>
      <c r="B506">
        <f t="shared" si="57"/>
        <v>0</v>
      </c>
      <c r="C506">
        <f t="shared" si="58"/>
        <v>0</v>
      </c>
      <c r="D506">
        <f t="shared" si="59"/>
        <v>185</v>
      </c>
      <c r="E506">
        <f t="shared" si="60"/>
        <v>0</v>
      </c>
      <c r="F506">
        <f t="shared" si="61"/>
        <v>0</v>
      </c>
      <c r="G506">
        <f t="shared" si="62"/>
        <v>20</v>
      </c>
      <c r="H506">
        <f t="shared" si="63"/>
        <v>20</v>
      </c>
      <c r="I506" t="str">
        <f t="shared" si="64"/>
        <v>SPRITE_ID_NEW_TRAIN</v>
      </c>
      <c r="U506"/>
      <c r="V506"/>
      <c r="W506"/>
    </row>
    <row r="507" spans="1:23">
      <c r="A507" s="2" t="s">
        <v>534</v>
      </c>
      <c r="B507">
        <f t="shared" si="57"/>
        <v>0</v>
      </c>
      <c r="C507">
        <f t="shared" si="58"/>
        <v>0</v>
      </c>
      <c r="D507">
        <f t="shared" si="59"/>
        <v>185</v>
      </c>
      <c r="E507">
        <f t="shared" si="60"/>
        <v>0</v>
      </c>
      <c r="F507">
        <f t="shared" si="61"/>
        <v>0</v>
      </c>
      <c r="G507">
        <f t="shared" si="62"/>
        <v>20</v>
      </c>
      <c r="H507">
        <f t="shared" si="63"/>
        <v>20</v>
      </c>
      <c r="I507" t="str">
        <f t="shared" si="64"/>
        <v>SPRITE_ID_NEW_TRAIN</v>
      </c>
      <c r="U507"/>
      <c r="V507"/>
      <c r="W507"/>
    </row>
    <row r="508" spans="1:23">
      <c r="A508" s="2" t="s">
        <v>535</v>
      </c>
      <c r="B508">
        <f t="shared" si="57"/>
        <v>0</v>
      </c>
      <c r="C508">
        <f t="shared" si="58"/>
        <v>0</v>
      </c>
      <c r="D508">
        <f t="shared" si="59"/>
        <v>185</v>
      </c>
      <c r="E508">
        <f t="shared" si="60"/>
        <v>0</v>
      </c>
      <c r="F508">
        <f t="shared" si="61"/>
        <v>0</v>
      </c>
      <c r="G508">
        <f t="shared" si="62"/>
        <v>20</v>
      </c>
      <c r="H508">
        <f t="shared" si="63"/>
        <v>20</v>
      </c>
      <c r="I508" t="str">
        <f t="shared" si="64"/>
        <v>SPRITE_ID_NEW_TRAIN</v>
      </c>
      <c r="U508"/>
      <c r="V508"/>
      <c r="W508"/>
    </row>
    <row r="509" spans="1:23">
      <c r="A509" s="2" t="s">
        <v>536</v>
      </c>
      <c r="B509">
        <f t="shared" si="57"/>
        <v>0</v>
      </c>
      <c r="C509">
        <f t="shared" si="58"/>
        <v>0</v>
      </c>
      <c r="D509">
        <f t="shared" si="59"/>
        <v>185</v>
      </c>
      <c r="E509">
        <f t="shared" si="60"/>
        <v>0</v>
      </c>
      <c r="F509">
        <f t="shared" si="61"/>
        <v>0</v>
      </c>
      <c r="G509">
        <f t="shared" si="62"/>
        <v>20</v>
      </c>
      <c r="H509">
        <f t="shared" si="63"/>
        <v>20</v>
      </c>
      <c r="I509" t="str">
        <f t="shared" si="64"/>
        <v>SPRITE_ID_NEW_TRAIN</v>
      </c>
      <c r="U509"/>
      <c r="V509"/>
      <c r="W509"/>
    </row>
    <row r="510" spans="1:23">
      <c r="A510" s="2" t="s">
        <v>537</v>
      </c>
      <c r="B510">
        <f t="shared" si="57"/>
        <v>0</v>
      </c>
      <c r="C510">
        <f t="shared" si="58"/>
        <v>0</v>
      </c>
      <c r="D510">
        <f t="shared" si="59"/>
        <v>185</v>
      </c>
      <c r="E510">
        <f t="shared" si="60"/>
        <v>0</v>
      </c>
      <c r="F510">
        <f t="shared" si="61"/>
        <v>0</v>
      </c>
      <c r="G510">
        <f t="shared" si="62"/>
        <v>20</v>
      </c>
      <c r="H510">
        <f t="shared" si="63"/>
        <v>20</v>
      </c>
      <c r="I510" t="str">
        <f t="shared" si="64"/>
        <v>SPRITE_ID_NEW_TRAIN</v>
      </c>
      <c r="U510"/>
      <c r="V510"/>
      <c r="W510"/>
    </row>
    <row r="511" spans="1:23">
      <c r="A511" s="2" t="s">
        <v>538</v>
      </c>
      <c r="B511">
        <f t="shared" si="57"/>
        <v>0</v>
      </c>
      <c r="C511">
        <f t="shared" si="58"/>
        <v>0</v>
      </c>
      <c r="D511">
        <f t="shared" si="59"/>
        <v>185</v>
      </c>
      <c r="E511">
        <f t="shared" si="60"/>
        <v>0</v>
      </c>
      <c r="F511">
        <f t="shared" si="61"/>
        <v>0</v>
      </c>
      <c r="G511">
        <f t="shared" si="62"/>
        <v>20</v>
      </c>
      <c r="H511">
        <f t="shared" si="63"/>
        <v>20</v>
      </c>
      <c r="I511" t="str">
        <f t="shared" si="64"/>
        <v>SPRITE_ID_NEW_TRAIN</v>
      </c>
      <c r="U511"/>
      <c r="V511"/>
      <c r="W511"/>
    </row>
    <row r="512" spans="1:23">
      <c r="A512" s="2" t="s">
        <v>539</v>
      </c>
      <c r="B512">
        <f t="shared" si="57"/>
        <v>0</v>
      </c>
      <c r="C512">
        <f t="shared" si="58"/>
        <v>0</v>
      </c>
      <c r="D512">
        <f t="shared" si="59"/>
        <v>185</v>
      </c>
      <c r="E512">
        <f t="shared" si="60"/>
        <v>0</v>
      </c>
      <c r="F512">
        <f t="shared" si="61"/>
        <v>0</v>
      </c>
      <c r="G512">
        <f t="shared" si="62"/>
        <v>20</v>
      </c>
      <c r="H512">
        <f t="shared" si="63"/>
        <v>20</v>
      </c>
      <c r="I512" t="str">
        <f t="shared" si="64"/>
        <v>SPRITE_ID_NEW_TRAIN</v>
      </c>
      <c r="U512"/>
      <c r="V512"/>
      <c r="W512"/>
    </row>
    <row r="513" spans="1:23">
      <c r="A513" s="2" t="s">
        <v>540</v>
      </c>
      <c r="B513">
        <f t="shared" si="57"/>
        <v>0</v>
      </c>
      <c r="C513">
        <f t="shared" si="58"/>
        <v>0</v>
      </c>
      <c r="D513">
        <f t="shared" si="59"/>
        <v>185</v>
      </c>
      <c r="E513">
        <f t="shared" si="60"/>
        <v>0</v>
      </c>
      <c r="F513">
        <f t="shared" si="61"/>
        <v>0</v>
      </c>
      <c r="G513">
        <f t="shared" si="62"/>
        <v>20</v>
      </c>
      <c r="H513">
        <f t="shared" si="63"/>
        <v>20</v>
      </c>
      <c r="I513" t="str">
        <f t="shared" si="64"/>
        <v>SPRITE_ID_NEW_TRAIN</v>
      </c>
      <c r="U513"/>
      <c r="V513"/>
      <c r="W513"/>
    </row>
    <row r="514" spans="1:23">
      <c r="A514" s="2" t="s">
        <v>541</v>
      </c>
      <c r="B514">
        <f t="shared" si="57"/>
        <v>0</v>
      </c>
      <c r="C514">
        <f t="shared" si="58"/>
        <v>0</v>
      </c>
      <c r="D514">
        <f t="shared" si="59"/>
        <v>185</v>
      </c>
      <c r="E514">
        <f t="shared" si="60"/>
        <v>0</v>
      </c>
      <c r="F514">
        <f t="shared" si="61"/>
        <v>0</v>
      </c>
      <c r="G514">
        <f t="shared" si="62"/>
        <v>20</v>
      </c>
      <c r="H514">
        <f t="shared" si="63"/>
        <v>20</v>
      </c>
      <c r="I514" t="str">
        <f t="shared" si="64"/>
        <v>SPRITE_ID_NEW_TRAIN</v>
      </c>
      <c r="U514"/>
      <c r="V514"/>
      <c r="W514"/>
    </row>
    <row r="515" spans="1:23">
      <c r="A515" s="2" t="s">
        <v>542</v>
      </c>
      <c r="B515">
        <f t="shared" si="57"/>
        <v>0</v>
      </c>
      <c r="C515">
        <f t="shared" si="58"/>
        <v>0</v>
      </c>
      <c r="D515">
        <f t="shared" si="59"/>
        <v>185</v>
      </c>
      <c r="E515">
        <f t="shared" si="60"/>
        <v>0</v>
      </c>
      <c r="F515">
        <f t="shared" si="61"/>
        <v>0</v>
      </c>
      <c r="G515">
        <f t="shared" si="62"/>
        <v>20</v>
      </c>
      <c r="H515">
        <f t="shared" si="63"/>
        <v>20</v>
      </c>
      <c r="I515" t="str">
        <f t="shared" si="64"/>
        <v>SPRITE_ID_NEW_TRAIN</v>
      </c>
      <c r="U515"/>
      <c r="V515"/>
      <c r="W515"/>
    </row>
    <row r="516" spans="1:23">
      <c r="A516" s="2" t="s">
        <v>543</v>
      </c>
      <c r="B516">
        <f t="shared" ref="B516:B579" si="65">B515</f>
        <v>0</v>
      </c>
      <c r="C516">
        <f t="shared" ref="C516:C579" si="66">C515</f>
        <v>0</v>
      </c>
      <c r="D516">
        <f t="shared" ref="D516:D579" si="67">D515</f>
        <v>185</v>
      </c>
      <c r="E516">
        <f t="shared" ref="E516:E579" si="68">E515</f>
        <v>0</v>
      </c>
      <c r="F516">
        <f t="shared" ref="F516:F579" si="69">F515</f>
        <v>0</v>
      </c>
      <c r="G516">
        <f t="shared" ref="G516:G579" si="70">G515</f>
        <v>20</v>
      </c>
      <c r="H516">
        <f t="shared" ref="H516:H579" si="71">H515</f>
        <v>20</v>
      </c>
      <c r="I516" t="str">
        <f t="shared" ref="I516:I579" si="72">I515</f>
        <v>SPRITE_ID_NEW_TRAIN</v>
      </c>
      <c r="U516"/>
      <c r="V516"/>
      <c r="W516"/>
    </row>
    <row r="517" spans="1:23">
      <c r="A517" s="2" t="s">
        <v>544</v>
      </c>
      <c r="B517">
        <f t="shared" si="65"/>
        <v>0</v>
      </c>
      <c r="C517">
        <f t="shared" si="66"/>
        <v>0</v>
      </c>
      <c r="D517">
        <f t="shared" si="67"/>
        <v>185</v>
      </c>
      <c r="E517">
        <f t="shared" si="68"/>
        <v>0</v>
      </c>
      <c r="F517">
        <f t="shared" si="69"/>
        <v>0</v>
      </c>
      <c r="G517">
        <f t="shared" si="70"/>
        <v>20</v>
      </c>
      <c r="H517">
        <f t="shared" si="71"/>
        <v>20</v>
      </c>
      <c r="I517" t="str">
        <f t="shared" si="72"/>
        <v>SPRITE_ID_NEW_TRAIN</v>
      </c>
      <c r="U517"/>
      <c r="V517"/>
      <c r="W517"/>
    </row>
    <row r="518" spans="1:23">
      <c r="A518" s="2" t="s">
        <v>545</v>
      </c>
      <c r="B518">
        <f t="shared" si="65"/>
        <v>0</v>
      </c>
      <c r="C518">
        <f t="shared" si="66"/>
        <v>0</v>
      </c>
      <c r="D518">
        <f t="shared" si="67"/>
        <v>185</v>
      </c>
      <c r="E518">
        <f t="shared" si="68"/>
        <v>0</v>
      </c>
      <c r="F518">
        <f t="shared" si="69"/>
        <v>0</v>
      </c>
      <c r="G518">
        <f t="shared" si="70"/>
        <v>20</v>
      </c>
      <c r="H518">
        <f t="shared" si="71"/>
        <v>20</v>
      </c>
      <c r="I518" t="str">
        <f t="shared" si="72"/>
        <v>SPRITE_ID_NEW_TRAIN</v>
      </c>
      <c r="U518"/>
      <c r="V518"/>
      <c r="W518"/>
    </row>
    <row r="519" spans="1:23">
      <c r="A519" s="2" t="s">
        <v>546</v>
      </c>
      <c r="B519">
        <f t="shared" si="65"/>
        <v>0</v>
      </c>
      <c r="C519">
        <f t="shared" si="66"/>
        <v>0</v>
      </c>
      <c r="D519">
        <f t="shared" si="67"/>
        <v>185</v>
      </c>
      <c r="E519">
        <f t="shared" si="68"/>
        <v>0</v>
      </c>
      <c r="F519">
        <f t="shared" si="69"/>
        <v>0</v>
      </c>
      <c r="G519">
        <f t="shared" si="70"/>
        <v>20</v>
      </c>
      <c r="H519">
        <f t="shared" si="71"/>
        <v>20</v>
      </c>
      <c r="I519" t="str">
        <f t="shared" si="72"/>
        <v>SPRITE_ID_NEW_TRAIN</v>
      </c>
      <c r="U519"/>
      <c r="V519"/>
      <c r="W519"/>
    </row>
    <row r="520" spans="1:23">
      <c r="A520" s="2" t="s">
        <v>547</v>
      </c>
      <c r="B520">
        <f t="shared" si="65"/>
        <v>0</v>
      </c>
      <c r="C520">
        <f t="shared" si="66"/>
        <v>0</v>
      </c>
      <c r="D520">
        <f t="shared" si="67"/>
        <v>185</v>
      </c>
      <c r="E520">
        <f t="shared" si="68"/>
        <v>0</v>
      </c>
      <c r="F520">
        <f t="shared" si="69"/>
        <v>0</v>
      </c>
      <c r="G520">
        <f t="shared" si="70"/>
        <v>20</v>
      </c>
      <c r="H520">
        <f t="shared" si="71"/>
        <v>20</v>
      </c>
      <c r="I520" t="str">
        <f t="shared" si="72"/>
        <v>SPRITE_ID_NEW_TRAIN</v>
      </c>
      <c r="U520"/>
      <c r="V520"/>
      <c r="W520"/>
    </row>
    <row r="521" spans="1:23">
      <c r="A521" s="2" t="s">
        <v>548</v>
      </c>
      <c r="B521">
        <f t="shared" si="65"/>
        <v>0</v>
      </c>
      <c r="C521">
        <f t="shared" si="66"/>
        <v>0</v>
      </c>
      <c r="D521">
        <f t="shared" si="67"/>
        <v>185</v>
      </c>
      <c r="E521">
        <f t="shared" si="68"/>
        <v>0</v>
      </c>
      <c r="F521">
        <f t="shared" si="69"/>
        <v>0</v>
      </c>
      <c r="G521">
        <f t="shared" si="70"/>
        <v>20</v>
      </c>
      <c r="H521">
        <f t="shared" si="71"/>
        <v>20</v>
      </c>
      <c r="I521" t="str">
        <f t="shared" si="72"/>
        <v>SPRITE_ID_NEW_TRAIN</v>
      </c>
      <c r="U521"/>
      <c r="V521"/>
      <c r="W521"/>
    </row>
    <row r="522" spans="1:23">
      <c r="A522" s="2" t="s">
        <v>549</v>
      </c>
      <c r="B522">
        <f t="shared" si="65"/>
        <v>0</v>
      </c>
      <c r="C522">
        <f t="shared" si="66"/>
        <v>0</v>
      </c>
      <c r="D522">
        <f t="shared" si="67"/>
        <v>185</v>
      </c>
      <c r="E522">
        <f t="shared" si="68"/>
        <v>0</v>
      </c>
      <c r="F522">
        <f t="shared" si="69"/>
        <v>0</v>
      </c>
      <c r="G522">
        <f t="shared" si="70"/>
        <v>20</v>
      </c>
      <c r="H522">
        <f t="shared" si="71"/>
        <v>20</v>
      </c>
      <c r="I522" t="str">
        <f t="shared" si="72"/>
        <v>SPRITE_ID_NEW_TRAIN</v>
      </c>
      <c r="U522"/>
      <c r="V522"/>
      <c r="W522"/>
    </row>
    <row r="523" spans="1:23">
      <c r="A523" s="2" t="s">
        <v>550</v>
      </c>
      <c r="B523">
        <f t="shared" si="65"/>
        <v>0</v>
      </c>
      <c r="C523">
        <f t="shared" si="66"/>
        <v>0</v>
      </c>
      <c r="D523">
        <f t="shared" si="67"/>
        <v>185</v>
      </c>
      <c r="E523">
        <f t="shared" si="68"/>
        <v>0</v>
      </c>
      <c r="F523">
        <f t="shared" si="69"/>
        <v>0</v>
      </c>
      <c r="G523">
        <f t="shared" si="70"/>
        <v>20</v>
      </c>
      <c r="H523">
        <f t="shared" si="71"/>
        <v>20</v>
      </c>
      <c r="I523" t="str">
        <f t="shared" si="72"/>
        <v>SPRITE_ID_NEW_TRAIN</v>
      </c>
      <c r="U523"/>
      <c r="V523"/>
      <c r="W523"/>
    </row>
    <row r="524" spans="1:23">
      <c r="A524" s="2" t="s">
        <v>551</v>
      </c>
      <c r="B524">
        <f t="shared" si="65"/>
        <v>0</v>
      </c>
      <c r="C524">
        <f t="shared" si="66"/>
        <v>0</v>
      </c>
      <c r="D524">
        <f t="shared" si="67"/>
        <v>185</v>
      </c>
      <c r="E524">
        <f t="shared" si="68"/>
        <v>0</v>
      </c>
      <c r="F524">
        <f t="shared" si="69"/>
        <v>0</v>
      </c>
      <c r="G524">
        <f t="shared" si="70"/>
        <v>20</v>
      </c>
      <c r="H524">
        <f t="shared" si="71"/>
        <v>20</v>
      </c>
      <c r="I524" t="str">
        <f t="shared" si="72"/>
        <v>SPRITE_ID_NEW_TRAIN</v>
      </c>
      <c r="U524"/>
      <c r="V524"/>
      <c r="W524"/>
    </row>
    <row r="525" spans="1:23">
      <c r="A525" s="2" t="s">
        <v>552</v>
      </c>
      <c r="B525">
        <f t="shared" si="65"/>
        <v>0</v>
      </c>
      <c r="C525">
        <f t="shared" si="66"/>
        <v>0</v>
      </c>
      <c r="D525">
        <f t="shared" si="67"/>
        <v>185</v>
      </c>
      <c r="E525">
        <f t="shared" si="68"/>
        <v>0</v>
      </c>
      <c r="F525">
        <f t="shared" si="69"/>
        <v>0</v>
      </c>
      <c r="G525">
        <f t="shared" si="70"/>
        <v>20</v>
      </c>
      <c r="H525">
        <f t="shared" si="71"/>
        <v>20</v>
      </c>
      <c r="I525" t="str">
        <f t="shared" si="72"/>
        <v>SPRITE_ID_NEW_TRAIN</v>
      </c>
      <c r="U525"/>
      <c r="V525"/>
      <c r="W525"/>
    </row>
    <row r="526" spans="1:23">
      <c r="A526" s="2" t="s">
        <v>553</v>
      </c>
      <c r="B526">
        <f t="shared" si="65"/>
        <v>0</v>
      </c>
      <c r="C526">
        <f t="shared" si="66"/>
        <v>0</v>
      </c>
      <c r="D526">
        <f t="shared" si="67"/>
        <v>185</v>
      </c>
      <c r="E526">
        <f t="shared" si="68"/>
        <v>0</v>
      </c>
      <c r="F526">
        <f t="shared" si="69"/>
        <v>0</v>
      </c>
      <c r="G526">
        <f t="shared" si="70"/>
        <v>20</v>
      </c>
      <c r="H526">
        <f t="shared" si="71"/>
        <v>20</v>
      </c>
      <c r="I526" t="str">
        <f t="shared" si="72"/>
        <v>SPRITE_ID_NEW_TRAIN</v>
      </c>
      <c r="U526"/>
      <c r="V526"/>
      <c r="W526"/>
    </row>
    <row r="527" spans="1:23">
      <c r="A527" s="2" t="s">
        <v>554</v>
      </c>
      <c r="B527">
        <f t="shared" si="65"/>
        <v>0</v>
      </c>
      <c r="C527">
        <f t="shared" si="66"/>
        <v>0</v>
      </c>
      <c r="D527">
        <f t="shared" si="67"/>
        <v>185</v>
      </c>
      <c r="E527">
        <f t="shared" si="68"/>
        <v>0</v>
      </c>
      <c r="F527">
        <f t="shared" si="69"/>
        <v>0</v>
      </c>
      <c r="G527">
        <f t="shared" si="70"/>
        <v>20</v>
      </c>
      <c r="H527">
        <f t="shared" si="71"/>
        <v>20</v>
      </c>
      <c r="I527" t="str">
        <f t="shared" si="72"/>
        <v>SPRITE_ID_NEW_TRAIN</v>
      </c>
      <c r="U527"/>
      <c r="V527"/>
      <c r="W527"/>
    </row>
    <row r="528" spans="1:23">
      <c r="A528" s="2" t="s">
        <v>555</v>
      </c>
      <c r="B528">
        <f t="shared" si="65"/>
        <v>0</v>
      </c>
      <c r="C528">
        <f t="shared" si="66"/>
        <v>0</v>
      </c>
      <c r="D528">
        <f t="shared" si="67"/>
        <v>185</v>
      </c>
      <c r="E528">
        <f t="shared" si="68"/>
        <v>0</v>
      </c>
      <c r="F528">
        <f t="shared" si="69"/>
        <v>0</v>
      </c>
      <c r="G528">
        <f t="shared" si="70"/>
        <v>20</v>
      </c>
      <c r="H528">
        <f t="shared" si="71"/>
        <v>20</v>
      </c>
      <c r="I528" t="str">
        <f t="shared" si="72"/>
        <v>SPRITE_ID_NEW_TRAIN</v>
      </c>
      <c r="U528"/>
      <c r="V528"/>
      <c r="W528"/>
    </row>
    <row r="529" spans="1:23">
      <c r="A529" s="2" t="s">
        <v>556</v>
      </c>
      <c r="B529">
        <f t="shared" si="65"/>
        <v>0</v>
      </c>
      <c r="C529">
        <f t="shared" si="66"/>
        <v>0</v>
      </c>
      <c r="D529">
        <f t="shared" si="67"/>
        <v>185</v>
      </c>
      <c r="E529">
        <f t="shared" si="68"/>
        <v>0</v>
      </c>
      <c r="F529">
        <f t="shared" si="69"/>
        <v>0</v>
      </c>
      <c r="G529">
        <f t="shared" si="70"/>
        <v>20</v>
      </c>
      <c r="H529">
        <f t="shared" si="71"/>
        <v>20</v>
      </c>
      <c r="I529" t="str">
        <f t="shared" si="72"/>
        <v>SPRITE_ID_NEW_TRAIN</v>
      </c>
      <c r="U529"/>
      <c r="V529"/>
      <c r="W529"/>
    </row>
    <row r="530" spans="1:23">
      <c r="A530" s="2" t="s">
        <v>557</v>
      </c>
      <c r="B530">
        <f t="shared" si="65"/>
        <v>0</v>
      </c>
      <c r="C530">
        <f t="shared" si="66"/>
        <v>0</v>
      </c>
      <c r="D530">
        <f t="shared" si="67"/>
        <v>185</v>
      </c>
      <c r="E530">
        <f t="shared" si="68"/>
        <v>0</v>
      </c>
      <c r="F530">
        <f t="shared" si="69"/>
        <v>0</v>
      </c>
      <c r="G530">
        <f t="shared" si="70"/>
        <v>20</v>
      </c>
      <c r="H530">
        <f t="shared" si="71"/>
        <v>20</v>
      </c>
      <c r="I530" t="str">
        <f t="shared" si="72"/>
        <v>SPRITE_ID_NEW_TRAIN</v>
      </c>
      <c r="U530"/>
      <c r="V530"/>
      <c r="W530"/>
    </row>
    <row r="531" spans="1:23">
      <c r="A531" s="2" t="s">
        <v>558</v>
      </c>
      <c r="B531">
        <f t="shared" si="65"/>
        <v>0</v>
      </c>
      <c r="C531">
        <f t="shared" si="66"/>
        <v>0</v>
      </c>
      <c r="D531">
        <f t="shared" si="67"/>
        <v>185</v>
      </c>
      <c r="E531">
        <f t="shared" si="68"/>
        <v>0</v>
      </c>
      <c r="F531">
        <f t="shared" si="69"/>
        <v>0</v>
      </c>
      <c r="G531">
        <f t="shared" si="70"/>
        <v>20</v>
      </c>
      <c r="H531">
        <f t="shared" si="71"/>
        <v>20</v>
      </c>
      <c r="I531" t="str">
        <f t="shared" si="72"/>
        <v>SPRITE_ID_NEW_TRAIN</v>
      </c>
      <c r="U531"/>
      <c r="V531"/>
      <c r="W531"/>
    </row>
    <row r="532" spans="1:23">
      <c r="A532" s="2" t="s">
        <v>559</v>
      </c>
      <c r="B532">
        <f t="shared" si="65"/>
        <v>0</v>
      </c>
      <c r="C532">
        <f t="shared" si="66"/>
        <v>0</v>
      </c>
      <c r="D532">
        <f t="shared" si="67"/>
        <v>185</v>
      </c>
      <c r="E532">
        <f t="shared" si="68"/>
        <v>0</v>
      </c>
      <c r="F532">
        <f t="shared" si="69"/>
        <v>0</v>
      </c>
      <c r="G532">
        <f t="shared" si="70"/>
        <v>20</v>
      </c>
      <c r="H532">
        <f t="shared" si="71"/>
        <v>20</v>
      </c>
      <c r="I532" t="str">
        <f t="shared" si="72"/>
        <v>SPRITE_ID_NEW_TRAIN</v>
      </c>
      <c r="U532"/>
      <c r="V532"/>
      <c r="W532"/>
    </row>
    <row r="533" spans="1:23">
      <c r="A533" s="2" t="s">
        <v>560</v>
      </c>
      <c r="B533">
        <f t="shared" si="65"/>
        <v>0</v>
      </c>
      <c r="C533">
        <f t="shared" si="66"/>
        <v>0</v>
      </c>
      <c r="D533">
        <f t="shared" si="67"/>
        <v>185</v>
      </c>
      <c r="E533">
        <f t="shared" si="68"/>
        <v>0</v>
      </c>
      <c r="F533">
        <f t="shared" si="69"/>
        <v>0</v>
      </c>
      <c r="G533">
        <f t="shared" si="70"/>
        <v>20</v>
      </c>
      <c r="H533">
        <f t="shared" si="71"/>
        <v>20</v>
      </c>
      <c r="I533" t="str">
        <f t="shared" si="72"/>
        <v>SPRITE_ID_NEW_TRAIN</v>
      </c>
      <c r="U533"/>
      <c r="V533"/>
      <c r="W533"/>
    </row>
    <row r="534" spans="1:23">
      <c r="A534" s="2" t="s">
        <v>561</v>
      </c>
      <c r="B534">
        <f t="shared" si="65"/>
        <v>0</v>
      </c>
      <c r="C534">
        <f t="shared" si="66"/>
        <v>0</v>
      </c>
      <c r="D534">
        <f t="shared" si="67"/>
        <v>185</v>
      </c>
      <c r="E534">
        <f t="shared" si="68"/>
        <v>0</v>
      </c>
      <c r="F534">
        <f t="shared" si="69"/>
        <v>0</v>
      </c>
      <c r="G534">
        <f t="shared" si="70"/>
        <v>20</v>
      </c>
      <c r="H534">
        <f t="shared" si="71"/>
        <v>20</v>
      </c>
      <c r="I534" t="str">
        <f t="shared" si="72"/>
        <v>SPRITE_ID_NEW_TRAIN</v>
      </c>
      <c r="U534"/>
      <c r="V534"/>
      <c r="W534"/>
    </row>
    <row r="535" spans="1:23">
      <c r="A535" s="2" t="s">
        <v>562</v>
      </c>
      <c r="B535">
        <f t="shared" si="65"/>
        <v>0</v>
      </c>
      <c r="C535">
        <f t="shared" si="66"/>
        <v>0</v>
      </c>
      <c r="D535">
        <f t="shared" si="67"/>
        <v>185</v>
      </c>
      <c r="E535">
        <f t="shared" si="68"/>
        <v>0</v>
      </c>
      <c r="F535">
        <f t="shared" si="69"/>
        <v>0</v>
      </c>
      <c r="G535">
        <f t="shared" si="70"/>
        <v>20</v>
      </c>
      <c r="H535">
        <f t="shared" si="71"/>
        <v>20</v>
      </c>
      <c r="I535" t="str">
        <f t="shared" si="72"/>
        <v>SPRITE_ID_NEW_TRAIN</v>
      </c>
      <c r="U535"/>
      <c r="V535"/>
      <c r="W535"/>
    </row>
    <row r="536" spans="1:23">
      <c r="A536" s="2" t="s">
        <v>563</v>
      </c>
      <c r="B536">
        <f t="shared" si="65"/>
        <v>0</v>
      </c>
      <c r="C536">
        <f t="shared" si="66"/>
        <v>0</v>
      </c>
      <c r="D536">
        <f t="shared" si="67"/>
        <v>185</v>
      </c>
      <c r="E536">
        <f t="shared" si="68"/>
        <v>0</v>
      </c>
      <c r="F536">
        <f t="shared" si="69"/>
        <v>0</v>
      </c>
      <c r="G536">
        <f t="shared" si="70"/>
        <v>20</v>
      </c>
      <c r="H536">
        <f t="shared" si="71"/>
        <v>20</v>
      </c>
      <c r="I536" t="str">
        <f t="shared" si="72"/>
        <v>SPRITE_ID_NEW_TRAIN</v>
      </c>
      <c r="U536"/>
      <c r="V536"/>
      <c r="W536"/>
    </row>
    <row r="537" spans="1:23">
      <c r="A537" s="2" t="s">
        <v>564</v>
      </c>
      <c r="B537">
        <f t="shared" si="65"/>
        <v>0</v>
      </c>
      <c r="C537">
        <f t="shared" si="66"/>
        <v>0</v>
      </c>
      <c r="D537">
        <f t="shared" si="67"/>
        <v>185</v>
      </c>
      <c r="E537">
        <f t="shared" si="68"/>
        <v>0</v>
      </c>
      <c r="F537">
        <f t="shared" si="69"/>
        <v>0</v>
      </c>
      <c r="G537">
        <f t="shared" si="70"/>
        <v>20</v>
      </c>
      <c r="H537">
        <f t="shared" si="71"/>
        <v>20</v>
      </c>
      <c r="I537" t="str">
        <f t="shared" si="72"/>
        <v>SPRITE_ID_NEW_TRAIN</v>
      </c>
      <c r="U537"/>
      <c r="V537"/>
      <c r="W537"/>
    </row>
    <row r="538" spans="1:23">
      <c r="A538" s="2" t="s">
        <v>565</v>
      </c>
      <c r="B538">
        <f t="shared" si="65"/>
        <v>0</v>
      </c>
      <c r="C538">
        <f t="shared" si="66"/>
        <v>0</v>
      </c>
      <c r="D538">
        <f t="shared" si="67"/>
        <v>185</v>
      </c>
      <c r="E538">
        <f t="shared" si="68"/>
        <v>0</v>
      </c>
      <c r="F538">
        <f t="shared" si="69"/>
        <v>0</v>
      </c>
      <c r="G538">
        <f t="shared" si="70"/>
        <v>20</v>
      </c>
      <c r="H538">
        <f t="shared" si="71"/>
        <v>20</v>
      </c>
      <c r="I538" t="str">
        <f t="shared" si="72"/>
        <v>SPRITE_ID_NEW_TRAIN</v>
      </c>
      <c r="U538"/>
      <c r="V538"/>
      <c r="W538"/>
    </row>
    <row r="539" spans="1:23">
      <c r="A539" s="2" t="s">
        <v>566</v>
      </c>
      <c r="B539">
        <f t="shared" si="65"/>
        <v>0</v>
      </c>
      <c r="C539">
        <f t="shared" si="66"/>
        <v>0</v>
      </c>
      <c r="D539">
        <f t="shared" si="67"/>
        <v>185</v>
      </c>
      <c r="E539">
        <f t="shared" si="68"/>
        <v>0</v>
      </c>
      <c r="F539">
        <f t="shared" si="69"/>
        <v>0</v>
      </c>
      <c r="G539">
        <f t="shared" si="70"/>
        <v>20</v>
      </c>
      <c r="H539">
        <f t="shared" si="71"/>
        <v>20</v>
      </c>
      <c r="I539" t="str">
        <f t="shared" si="72"/>
        <v>SPRITE_ID_NEW_TRAIN</v>
      </c>
      <c r="U539"/>
      <c r="V539"/>
      <c r="W539"/>
    </row>
    <row r="540" spans="1:23">
      <c r="A540" s="2" t="s">
        <v>567</v>
      </c>
      <c r="B540">
        <f t="shared" si="65"/>
        <v>0</v>
      </c>
      <c r="C540">
        <f t="shared" si="66"/>
        <v>0</v>
      </c>
      <c r="D540">
        <f t="shared" si="67"/>
        <v>185</v>
      </c>
      <c r="E540">
        <f t="shared" si="68"/>
        <v>0</v>
      </c>
      <c r="F540">
        <f t="shared" si="69"/>
        <v>0</v>
      </c>
      <c r="G540">
        <f t="shared" si="70"/>
        <v>20</v>
      </c>
      <c r="H540">
        <f t="shared" si="71"/>
        <v>20</v>
      </c>
      <c r="I540" t="str">
        <f t="shared" si="72"/>
        <v>SPRITE_ID_NEW_TRAIN</v>
      </c>
      <c r="U540"/>
      <c r="V540"/>
      <c r="W540"/>
    </row>
    <row r="541" spans="1:23">
      <c r="A541" s="2" t="s">
        <v>568</v>
      </c>
      <c r="B541">
        <f t="shared" si="65"/>
        <v>0</v>
      </c>
      <c r="C541">
        <f t="shared" si="66"/>
        <v>0</v>
      </c>
      <c r="D541">
        <f t="shared" si="67"/>
        <v>185</v>
      </c>
      <c r="E541">
        <f t="shared" si="68"/>
        <v>0</v>
      </c>
      <c r="F541">
        <f t="shared" si="69"/>
        <v>0</v>
      </c>
      <c r="G541">
        <f t="shared" si="70"/>
        <v>20</v>
      </c>
      <c r="H541">
        <f t="shared" si="71"/>
        <v>20</v>
      </c>
      <c r="I541" t="str">
        <f t="shared" si="72"/>
        <v>SPRITE_ID_NEW_TRAIN</v>
      </c>
      <c r="U541"/>
      <c r="V541"/>
      <c r="W541"/>
    </row>
    <row r="542" spans="1:23">
      <c r="A542" s="2" t="s">
        <v>569</v>
      </c>
      <c r="B542">
        <f t="shared" si="65"/>
        <v>0</v>
      </c>
      <c r="C542">
        <f t="shared" si="66"/>
        <v>0</v>
      </c>
      <c r="D542">
        <f t="shared" si="67"/>
        <v>185</v>
      </c>
      <c r="E542">
        <f t="shared" si="68"/>
        <v>0</v>
      </c>
      <c r="F542">
        <f t="shared" si="69"/>
        <v>0</v>
      </c>
      <c r="G542">
        <f t="shared" si="70"/>
        <v>20</v>
      </c>
      <c r="H542">
        <f t="shared" si="71"/>
        <v>20</v>
      </c>
      <c r="I542" t="str">
        <f t="shared" si="72"/>
        <v>SPRITE_ID_NEW_TRAIN</v>
      </c>
      <c r="U542"/>
      <c r="V542"/>
      <c r="W542"/>
    </row>
    <row r="543" spans="1:23">
      <c r="A543" s="2" t="s">
        <v>570</v>
      </c>
      <c r="B543">
        <f t="shared" si="65"/>
        <v>0</v>
      </c>
      <c r="C543">
        <f t="shared" si="66"/>
        <v>0</v>
      </c>
      <c r="D543">
        <f t="shared" si="67"/>
        <v>185</v>
      </c>
      <c r="E543">
        <f t="shared" si="68"/>
        <v>0</v>
      </c>
      <c r="F543">
        <f t="shared" si="69"/>
        <v>0</v>
      </c>
      <c r="G543">
        <f t="shared" si="70"/>
        <v>20</v>
      </c>
      <c r="H543">
        <f t="shared" si="71"/>
        <v>20</v>
      </c>
      <c r="I543" t="str">
        <f t="shared" si="72"/>
        <v>SPRITE_ID_NEW_TRAIN</v>
      </c>
      <c r="U543"/>
      <c r="V543"/>
      <c r="W543"/>
    </row>
    <row r="544" spans="1:23">
      <c r="A544" s="2" t="s">
        <v>571</v>
      </c>
      <c r="B544">
        <f t="shared" si="65"/>
        <v>0</v>
      </c>
      <c r="C544">
        <f t="shared" si="66"/>
        <v>0</v>
      </c>
      <c r="D544">
        <f t="shared" si="67"/>
        <v>185</v>
      </c>
      <c r="E544">
        <f t="shared" si="68"/>
        <v>0</v>
      </c>
      <c r="F544">
        <f t="shared" si="69"/>
        <v>0</v>
      </c>
      <c r="G544">
        <f t="shared" si="70"/>
        <v>20</v>
      </c>
      <c r="H544">
        <f t="shared" si="71"/>
        <v>20</v>
      </c>
      <c r="I544" t="str">
        <f t="shared" si="72"/>
        <v>SPRITE_ID_NEW_TRAIN</v>
      </c>
      <c r="U544"/>
      <c r="V544"/>
      <c r="W544"/>
    </row>
    <row r="545" spans="1:23">
      <c r="A545" s="2" t="s">
        <v>572</v>
      </c>
      <c r="B545">
        <f t="shared" si="65"/>
        <v>0</v>
      </c>
      <c r="C545">
        <f t="shared" si="66"/>
        <v>0</v>
      </c>
      <c r="D545">
        <f t="shared" si="67"/>
        <v>185</v>
      </c>
      <c r="E545">
        <f t="shared" si="68"/>
        <v>0</v>
      </c>
      <c r="F545">
        <f t="shared" si="69"/>
        <v>0</v>
      </c>
      <c r="G545">
        <f t="shared" si="70"/>
        <v>20</v>
      </c>
      <c r="H545">
        <f t="shared" si="71"/>
        <v>20</v>
      </c>
      <c r="I545" t="str">
        <f t="shared" si="72"/>
        <v>SPRITE_ID_NEW_TRAIN</v>
      </c>
      <c r="U545"/>
      <c r="V545"/>
      <c r="W545"/>
    </row>
    <row r="546" spans="1:23">
      <c r="A546" s="2" t="s">
        <v>573</v>
      </c>
      <c r="B546">
        <f t="shared" si="65"/>
        <v>0</v>
      </c>
      <c r="C546">
        <f t="shared" si="66"/>
        <v>0</v>
      </c>
      <c r="D546">
        <f t="shared" si="67"/>
        <v>185</v>
      </c>
      <c r="E546">
        <f t="shared" si="68"/>
        <v>0</v>
      </c>
      <c r="F546">
        <f t="shared" si="69"/>
        <v>0</v>
      </c>
      <c r="G546">
        <f t="shared" si="70"/>
        <v>20</v>
      </c>
      <c r="H546">
        <f t="shared" si="71"/>
        <v>20</v>
      </c>
      <c r="I546" t="str">
        <f t="shared" si="72"/>
        <v>SPRITE_ID_NEW_TRAIN</v>
      </c>
      <c r="U546"/>
      <c r="V546"/>
      <c r="W546"/>
    </row>
    <row r="547" spans="1:23">
      <c r="A547" s="2" t="s">
        <v>574</v>
      </c>
      <c r="B547">
        <f t="shared" si="65"/>
        <v>0</v>
      </c>
      <c r="C547">
        <f t="shared" si="66"/>
        <v>0</v>
      </c>
      <c r="D547">
        <f t="shared" si="67"/>
        <v>185</v>
      </c>
      <c r="E547">
        <f t="shared" si="68"/>
        <v>0</v>
      </c>
      <c r="F547">
        <f t="shared" si="69"/>
        <v>0</v>
      </c>
      <c r="G547">
        <f t="shared" si="70"/>
        <v>20</v>
      </c>
      <c r="H547">
        <f t="shared" si="71"/>
        <v>20</v>
      </c>
      <c r="I547" t="str">
        <f t="shared" si="72"/>
        <v>SPRITE_ID_NEW_TRAIN</v>
      </c>
      <c r="U547"/>
      <c r="V547"/>
      <c r="W547"/>
    </row>
    <row r="548" spans="1:23">
      <c r="A548" s="2" t="s">
        <v>575</v>
      </c>
      <c r="B548">
        <f t="shared" si="65"/>
        <v>0</v>
      </c>
      <c r="C548">
        <f t="shared" si="66"/>
        <v>0</v>
      </c>
      <c r="D548">
        <f t="shared" si="67"/>
        <v>185</v>
      </c>
      <c r="E548">
        <f t="shared" si="68"/>
        <v>0</v>
      </c>
      <c r="F548">
        <f t="shared" si="69"/>
        <v>0</v>
      </c>
      <c r="G548">
        <f t="shared" si="70"/>
        <v>20</v>
      </c>
      <c r="H548">
        <f t="shared" si="71"/>
        <v>20</v>
      </c>
      <c r="I548" t="str">
        <f t="shared" si="72"/>
        <v>SPRITE_ID_NEW_TRAIN</v>
      </c>
      <c r="U548"/>
      <c r="V548"/>
      <c r="W548"/>
    </row>
    <row r="549" spans="1:23">
      <c r="A549" s="2" t="s">
        <v>576</v>
      </c>
      <c r="B549">
        <f t="shared" si="65"/>
        <v>0</v>
      </c>
      <c r="C549">
        <f t="shared" si="66"/>
        <v>0</v>
      </c>
      <c r="D549">
        <f t="shared" si="67"/>
        <v>185</v>
      </c>
      <c r="E549">
        <f t="shared" si="68"/>
        <v>0</v>
      </c>
      <c r="F549">
        <f t="shared" si="69"/>
        <v>0</v>
      </c>
      <c r="G549">
        <f t="shared" si="70"/>
        <v>20</v>
      </c>
      <c r="H549">
        <f t="shared" si="71"/>
        <v>20</v>
      </c>
      <c r="I549" t="str">
        <f t="shared" si="72"/>
        <v>SPRITE_ID_NEW_TRAIN</v>
      </c>
      <c r="U549"/>
      <c r="V549"/>
      <c r="W549"/>
    </row>
    <row r="550" spans="1:23">
      <c r="A550" s="2" t="s">
        <v>577</v>
      </c>
      <c r="B550">
        <f t="shared" si="65"/>
        <v>0</v>
      </c>
      <c r="C550">
        <f t="shared" si="66"/>
        <v>0</v>
      </c>
      <c r="D550">
        <f t="shared" si="67"/>
        <v>185</v>
      </c>
      <c r="E550">
        <f t="shared" si="68"/>
        <v>0</v>
      </c>
      <c r="F550">
        <f t="shared" si="69"/>
        <v>0</v>
      </c>
      <c r="G550">
        <f t="shared" si="70"/>
        <v>20</v>
      </c>
      <c r="H550">
        <f t="shared" si="71"/>
        <v>20</v>
      </c>
      <c r="I550" t="str">
        <f t="shared" si="72"/>
        <v>SPRITE_ID_NEW_TRAIN</v>
      </c>
      <c r="U550"/>
      <c r="V550"/>
      <c r="W550"/>
    </row>
    <row r="551" spans="1:23">
      <c r="A551" s="2" t="s">
        <v>578</v>
      </c>
      <c r="B551">
        <f t="shared" si="65"/>
        <v>0</v>
      </c>
      <c r="C551">
        <f t="shared" si="66"/>
        <v>0</v>
      </c>
      <c r="D551">
        <f t="shared" si="67"/>
        <v>185</v>
      </c>
      <c r="E551">
        <f t="shared" si="68"/>
        <v>0</v>
      </c>
      <c r="F551">
        <f t="shared" si="69"/>
        <v>0</v>
      </c>
      <c r="G551">
        <f t="shared" si="70"/>
        <v>20</v>
      </c>
      <c r="H551">
        <f t="shared" si="71"/>
        <v>20</v>
      </c>
      <c r="I551" t="str">
        <f t="shared" si="72"/>
        <v>SPRITE_ID_NEW_TRAIN</v>
      </c>
      <c r="U551"/>
      <c r="V551"/>
      <c r="W551"/>
    </row>
    <row r="552" spans="1:23">
      <c r="A552" s="2" t="s">
        <v>579</v>
      </c>
      <c r="B552">
        <f t="shared" si="65"/>
        <v>0</v>
      </c>
      <c r="C552">
        <f t="shared" si="66"/>
        <v>0</v>
      </c>
      <c r="D552">
        <f t="shared" si="67"/>
        <v>185</v>
      </c>
      <c r="E552">
        <f t="shared" si="68"/>
        <v>0</v>
      </c>
      <c r="F552">
        <f t="shared" si="69"/>
        <v>0</v>
      </c>
      <c r="G552">
        <f t="shared" si="70"/>
        <v>20</v>
      </c>
      <c r="H552">
        <f t="shared" si="71"/>
        <v>20</v>
      </c>
      <c r="I552" t="str">
        <f t="shared" si="72"/>
        <v>SPRITE_ID_NEW_TRAIN</v>
      </c>
      <c r="U552"/>
      <c r="V552"/>
      <c r="W552"/>
    </row>
    <row r="553" spans="1:23">
      <c r="A553" s="2" t="s">
        <v>580</v>
      </c>
      <c r="B553">
        <f t="shared" si="65"/>
        <v>0</v>
      </c>
      <c r="C553">
        <f t="shared" si="66"/>
        <v>0</v>
      </c>
      <c r="D553">
        <f t="shared" si="67"/>
        <v>185</v>
      </c>
      <c r="E553">
        <f t="shared" si="68"/>
        <v>0</v>
      </c>
      <c r="F553">
        <f t="shared" si="69"/>
        <v>0</v>
      </c>
      <c r="G553">
        <f t="shared" si="70"/>
        <v>20</v>
      </c>
      <c r="H553">
        <f t="shared" si="71"/>
        <v>20</v>
      </c>
      <c r="I553" t="str">
        <f t="shared" si="72"/>
        <v>SPRITE_ID_NEW_TRAIN</v>
      </c>
      <c r="U553"/>
      <c r="V553"/>
      <c r="W553"/>
    </row>
    <row r="554" spans="1:23">
      <c r="A554" s="2" t="s">
        <v>581</v>
      </c>
      <c r="B554">
        <f t="shared" si="65"/>
        <v>0</v>
      </c>
      <c r="C554">
        <f t="shared" si="66"/>
        <v>0</v>
      </c>
      <c r="D554">
        <f t="shared" si="67"/>
        <v>185</v>
      </c>
      <c r="E554">
        <f t="shared" si="68"/>
        <v>0</v>
      </c>
      <c r="F554">
        <f t="shared" si="69"/>
        <v>0</v>
      </c>
      <c r="G554">
        <f t="shared" si="70"/>
        <v>20</v>
      </c>
      <c r="H554">
        <f t="shared" si="71"/>
        <v>20</v>
      </c>
      <c r="I554" t="str">
        <f t="shared" si="72"/>
        <v>SPRITE_ID_NEW_TRAIN</v>
      </c>
      <c r="U554"/>
      <c r="V554"/>
      <c r="W554"/>
    </row>
    <row r="555" spans="1:23">
      <c r="A555" s="2" t="s">
        <v>582</v>
      </c>
      <c r="B555">
        <f t="shared" si="65"/>
        <v>0</v>
      </c>
      <c r="C555">
        <f t="shared" si="66"/>
        <v>0</v>
      </c>
      <c r="D555">
        <f t="shared" si="67"/>
        <v>185</v>
      </c>
      <c r="E555">
        <f t="shared" si="68"/>
        <v>0</v>
      </c>
      <c r="F555">
        <f t="shared" si="69"/>
        <v>0</v>
      </c>
      <c r="G555">
        <f t="shared" si="70"/>
        <v>20</v>
      </c>
      <c r="H555">
        <f t="shared" si="71"/>
        <v>20</v>
      </c>
      <c r="I555" t="str">
        <f t="shared" si="72"/>
        <v>SPRITE_ID_NEW_TRAIN</v>
      </c>
      <c r="U555"/>
      <c r="V555"/>
      <c r="W555"/>
    </row>
    <row r="556" spans="1:23">
      <c r="A556" s="2" t="s">
        <v>583</v>
      </c>
      <c r="B556">
        <f t="shared" si="65"/>
        <v>0</v>
      </c>
      <c r="C556">
        <f t="shared" si="66"/>
        <v>0</v>
      </c>
      <c r="D556">
        <f t="shared" si="67"/>
        <v>185</v>
      </c>
      <c r="E556">
        <f t="shared" si="68"/>
        <v>0</v>
      </c>
      <c r="F556">
        <f t="shared" si="69"/>
        <v>0</v>
      </c>
      <c r="G556">
        <f t="shared" si="70"/>
        <v>20</v>
      </c>
      <c r="H556">
        <f t="shared" si="71"/>
        <v>20</v>
      </c>
      <c r="I556" t="str">
        <f t="shared" si="72"/>
        <v>SPRITE_ID_NEW_TRAIN</v>
      </c>
      <c r="U556"/>
      <c r="V556"/>
      <c r="W556"/>
    </row>
    <row r="557" spans="1:23">
      <c r="A557" s="2" t="s">
        <v>584</v>
      </c>
      <c r="B557">
        <f t="shared" si="65"/>
        <v>0</v>
      </c>
      <c r="C557">
        <f t="shared" si="66"/>
        <v>0</v>
      </c>
      <c r="D557">
        <f t="shared" si="67"/>
        <v>185</v>
      </c>
      <c r="E557">
        <f t="shared" si="68"/>
        <v>0</v>
      </c>
      <c r="F557">
        <f t="shared" si="69"/>
        <v>0</v>
      </c>
      <c r="G557">
        <f t="shared" si="70"/>
        <v>20</v>
      </c>
      <c r="H557">
        <f t="shared" si="71"/>
        <v>20</v>
      </c>
      <c r="I557" t="str">
        <f t="shared" si="72"/>
        <v>SPRITE_ID_NEW_TRAIN</v>
      </c>
      <c r="U557"/>
      <c r="V557"/>
      <c r="W557"/>
    </row>
    <row r="558" spans="1:23">
      <c r="A558" s="2" t="s">
        <v>585</v>
      </c>
      <c r="B558">
        <f t="shared" si="65"/>
        <v>0</v>
      </c>
      <c r="C558">
        <f t="shared" si="66"/>
        <v>0</v>
      </c>
      <c r="D558">
        <f t="shared" si="67"/>
        <v>185</v>
      </c>
      <c r="E558">
        <f t="shared" si="68"/>
        <v>0</v>
      </c>
      <c r="F558">
        <f t="shared" si="69"/>
        <v>0</v>
      </c>
      <c r="G558">
        <f t="shared" si="70"/>
        <v>20</v>
      </c>
      <c r="H558">
        <f t="shared" si="71"/>
        <v>20</v>
      </c>
      <c r="I558" t="str">
        <f t="shared" si="72"/>
        <v>SPRITE_ID_NEW_TRAIN</v>
      </c>
      <c r="U558"/>
      <c r="V558"/>
      <c r="W558"/>
    </row>
    <row r="559" spans="1:23">
      <c r="A559" s="2" t="s">
        <v>586</v>
      </c>
      <c r="B559">
        <f t="shared" si="65"/>
        <v>0</v>
      </c>
      <c r="C559">
        <f t="shared" si="66"/>
        <v>0</v>
      </c>
      <c r="D559">
        <f t="shared" si="67"/>
        <v>185</v>
      </c>
      <c r="E559">
        <f t="shared" si="68"/>
        <v>0</v>
      </c>
      <c r="F559">
        <f t="shared" si="69"/>
        <v>0</v>
      </c>
      <c r="G559">
        <f t="shared" si="70"/>
        <v>20</v>
      </c>
      <c r="H559">
        <f t="shared" si="71"/>
        <v>20</v>
      </c>
      <c r="I559" t="str">
        <f t="shared" si="72"/>
        <v>SPRITE_ID_NEW_TRAIN</v>
      </c>
      <c r="U559"/>
      <c r="V559"/>
      <c r="W559"/>
    </row>
    <row r="560" spans="1:23">
      <c r="A560" s="2" t="s">
        <v>587</v>
      </c>
      <c r="B560">
        <f t="shared" si="65"/>
        <v>0</v>
      </c>
      <c r="C560">
        <f t="shared" si="66"/>
        <v>0</v>
      </c>
      <c r="D560">
        <f t="shared" si="67"/>
        <v>185</v>
      </c>
      <c r="E560">
        <f t="shared" si="68"/>
        <v>0</v>
      </c>
      <c r="F560">
        <f t="shared" si="69"/>
        <v>0</v>
      </c>
      <c r="G560">
        <f t="shared" si="70"/>
        <v>20</v>
      </c>
      <c r="H560">
        <f t="shared" si="71"/>
        <v>20</v>
      </c>
      <c r="I560" t="str">
        <f t="shared" si="72"/>
        <v>SPRITE_ID_NEW_TRAIN</v>
      </c>
      <c r="U560"/>
      <c r="V560"/>
      <c r="W560"/>
    </row>
    <row r="561" spans="1:23">
      <c r="A561" s="2" t="s">
        <v>588</v>
      </c>
      <c r="B561">
        <f t="shared" si="65"/>
        <v>0</v>
      </c>
      <c r="C561">
        <f t="shared" si="66"/>
        <v>0</v>
      </c>
      <c r="D561">
        <f t="shared" si="67"/>
        <v>185</v>
      </c>
      <c r="E561">
        <f t="shared" si="68"/>
        <v>0</v>
      </c>
      <c r="F561">
        <f t="shared" si="69"/>
        <v>0</v>
      </c>
      <c r="G561">
        <f t="shared" si="70"/>
        <v>20</v>
      </c>
      <c r="H561">
        <f t="shared" si="71"/>
        <v>20</v>
      </c>
      <c r="I561" t="str">
        <f t="shared" si="72"/>
        <v>SPRITE_ID_NEW_TRAIN</v>
      </c>
      <c r="U561"/>
      <c r="V561"/>
      <c r="W561"/>
    </row>
    <row r="562" spans="1:23">
      <c r="A562" s="2" t="s">
        <v>589</v>
      </c>
      <c r="B562">
        <f t="shared" si="65"/>
        <v>0</v>
      </c>
      <c r="C562">
        <f t="shared" si="66"/>
        <v>0</v>
      </c>
      <c r="D562">
        <f t="shared" si="67"/>
        <v>185</v>
      </c>
      <c r="E562">
        <f t="shared" si="68"/>
        <v>0</v>
      </c>
      <c r="F562">
        <f t="shared" si="69"/>
        <v>0</v>
      </c>
      <c r="G562">
        <f t="shared" si="70"/>
        <v>20</v>
      </c>
      <c r="H562">
        <f t="shared" si="71"/>
        <v>20</v>
      </c>
      <c r="I562" t="str">
        <f t="shared" si="72"/>
        <v>SPRITE_ID_NEW_TRAIN</v>
      </c>
      <c r="U562"/>
      <c r="V562"/>
      <c r="W562"/>
    </row>
    <row r="563" spans="1:23">
      <c r="A563" s="2" t="s">
        <v>590</v>
      </c>
      <c r="B563">
        <f t="shared" si="65"/>
        <v>0</v>
      </c>
      <c r="C563">
        <f t="shared" si="66"/>
        <v>0</v>
      </c>
      <c r="D563">
        <f t="shared" si="67"/>
        <v>185</v>
      </c>
      <c r="E563">
        <f t="shared" si="68"/>
        <v>0</v>
      </c>
      <c r="F563">
        <f t="shared" si="69"/>
        <v>0</v>
      </c>
      <c r="G563">
        <f t="shared" si="70"/>
        <v>20</v>
      </c>
      <c r="H563">
        <f t="shared" si="71"/>
        <v>20</v>
      </c>
      <c r="I563" t="str">
        <f t="shared" si="72"/>
        <v>SPRITE_ID_NEW_TRAIN</v>
      </c>
      <c r="U563"/>
      <c r="V563"/>
      <c r="W563"/>
    </row>
    <row r="564" spans="1:23">
      <c r="A564" s="2" t="s">
        <v>591</v>
      </c>
      <c r="B564">
        <f t="shared" si="65"/>
        <v>0</v>
      </c>
      <c r="C564">
        <f t="shared" si="66"/>
        <v>0</v>
      </c>
      <c r="D564">
        <f t="shared" si="67"/>
        <v>185</v>
      </c>
      <c r="E564">
        <f t="shared" si="68"/>
        <v>0</v>
      </c>
      <c r="F564">
        <f t="shared" si="69"/>
        <v>0</v>
      </c>
      <c r="G564">
        <f t="shared" si="70"/>
        <v>20</v>
      </c>
      <c r="H564">
        <f t="shared" si="71"/>
        <v>20</v>
      </c>
      <c r="I564" t="str">
        <f t="shared" si="72"/>
        <v>SPRITE_ID_NEW_TRAIN</v>
      </c>
      <c r="U564"/>
      <c r="V564"/>
      <c r="W564"/>
    </row>
    <row r="565" spans="1:23">
      <c r="A565" s="2" t="s">
        <v>592</v>
      </c>
      <c r="B565">
        <f t="shared" si="65"/>
        <v>0</v>
      </c>
      <c r="C565">
        <f t="shared" si="66"/>
        <v>0</v>
      </c>
      <c r="D565">
        <f t="shared" si="67"/>
        <v>185</v>
      </c>
      <c r="E565">
        <f t="shared" si="68"/>
        <v>0</v>
      </c>
      <c r="F565">
        <f t="shared" si="69"/>
        <v>0</v>
      </c>
      <c r="G565">
        <f t="shared" si="70"/>
        <v>20</v>
      </c>
      <c r="H565">
        <f t="shared" si="71"/>
        <v>20</v>
      </c>
      <c r="I565" t="str">
        <f t="shared" si="72"/>
        <v>SPRITE_ID_NEW_TRAIN</v>
      </c>
      <c r="U565"/>
      <c r="V565"/>
      <c r="W565"/>
    </row>
    <row r="566" spans="1:23">
      <c r="A566" s="2" t="s">
        <v>593</v>
      </c>
      <c r="B566">
        <f t="shared" si="65"/>
        <v>0</v>
      </c>
      <c r="C566">
        <f t="shared" si="66"/>
        <v>0</v>
      </c>
      <c r="D566">
        <f t="shared" si="67"/>
        <v>185</v>
      </c>
      <c r="E566">
        <f t="shared" si="68"/>
        <v>0</v>
      </c>
      <c r="F566">
        <f t="shared" si="69"/>
        <v>0</v>
      </c>
      <c r="G566">
        <f t="shared" si="70"/>
        <v>20</v>
      </c>
      <c r="H566">
        <f t="shared" si="71"/>
        <v>20</v>
      </c>
      <c r="I566" t="str">
        <f t="shared" si="72"/>
        <v>SPRITE_ID_NEW_TRAIN</v>
      </c>
      <c r="U566"/>
      <c r="V566"/>
      <c r="W566"/>
    </row>
    <row r="567" spans="1:23">
      <c r="A567" s="2" t="s">
        <v>594</v>
      </c>
      <c r="B567">
        <f t="shared" si="65"/>
        <v>0</v>
      </c>
      <c r="C567">
        <f t="shared" si="66"/>
        <v>0</v>
      </c>
      <c r="D567">
        <f t="shared" si="67"/>
        <v>185</v>
      </c>
      <c r="E567">
        <f t="shared" si="68"/>
        <v>0</v>
      </c>
      <c r="F567">
        <f t="shared" si="69"/>
        <v>0</v>
      </c>
      <c r="G567">
        <f t="shared" si="70"/>
        <v>20</v>
      </c>
      <c r="H567">
        <f t="shared" si="71"/>
        <v>20</v>
      </c>
      <c r="I567" t="str">
        <f t="shared" si="72"/>
        <v>SPRITE_ID_NEW_TRAIN</v>
      </c>
      <c r="U567"/>
      <c r="V567"/>
      <c r="W567"/>
    </row>
    <row r="568" spans="1:23">
      <c r="A568" s="2" t="s">
        <v>595</v>
      </c>
      <c r="B568">
        <f t="shared" si="65"/>
        <v>0</v>
      </c>
      <c r="C568">
        <f t="shared" si="66"/>
        <v>0</v>
      </c>
      <c r="D568">
        <f t="shared" si="67"/>
        <v>185</v>
      </c>
      <c r="E568">
        <f t="shared" si="68"/>
        <v>0</v>
      </c>
      <c r="F568">
        <f t="shared" si="69"/>
        <v>0</v>
      </c>
      <c r="G568">
        <f t="shared" si="70"/>
        <v>20</v>
      </c>
      <c r="H568">
        <f t="shared" si="71"/>
        <v>20</v>
      </c>
      <c r="I568" t="str">
        <f t="shared" si="72"/>
        <v>SPRITE_ID_NEW_TRAIN</v>
      </c>
      <c r="U568"/>
      <c r="V568"/>
      <c r="W568"/>
    </row>
    <row r="569" spans="1:23">
      <c r="A569" s="2" t="s">
        <v>596</v>
      </c>
      <c r="B569">
        <f t="shared" si="65"/>
        <v>0</v>
      </c>
      <c r="C569">
        <f t="shared" si="66"/>
        <v>0</v>
      </c>
      <c r="D569">
        <f t="shared" si="67"/>
        <v>185</v>
      </c>
      <c r="E569">
        <f t="shared" si="68"/>
        <v>0</v>
      </c>
      <c r="F569">
        <f t="shared" si="69"/>
        <v>0</v>
      </c>
      <c r="G569">
        <f t="shared" si="70"/>
        <v>20</v>
      </c>
      <c r="H569">
        <f t="shared" si="71"/>
        <v>20</v>
      </c>
      <c r="I569" t="str">
        <f t="shared" si="72"/>
        <v>SPRITE_ID_NEW_TRAIN</v>
      </c>
      <c r="U569"/>
      <c r="V569"/>
      <c r="W569"/>
    </row>
    <row r="570" spans="1:23">
      <c r="A570" s="2" t="s">
        <v>597</v>
      </c>
      <c r="B570">
        <f t="shared" si="65"/>
        <v>0</v>
      </c>
      <c r="C570">
        <f t="shared" si="66"/>
        <v>0</v>
      </c>
      <c r="D570">
        <f t="shared" si="67"/>
        <v>185</v>
      </c>
      <c r="E570">
        <f t="shared" si="68"/>
        <v>0</v>
      </c>
      <c r="F570">
        <f t="shared" si="69"/>
        <v>0</v>
      </c>
      <c r="G570">
        <f t="shared" si="70"/>
        <v>20</v>
      </c>
      <c r="H570">
        <f t="shared" si="71"/>
        <v>20</v>
      </c>
      <c r="I570" t="str">
        <f t="shared" si="72"/>
        <v>SPRITE_ID_NEW_TRAIN</v>
      </c>
      <c r="U570"/>
      <c r="V570"/>
      <c r="W570"/>
    </row>
    <row r="571" spans="1:23">
      <c r="A571" s="2" t="s">
        <v>598</v>
      </c>
      <c r="B571">
        <f t="shared" si="65"/>
        <v>0</v>
      </c>
      <c r="C571">
        <f t="shared" si="66"/>
        <v>0</v>
      </c>
      <c r="D571">
        <f t="shared" si="67"/>
        <v>185</v>
      </c>
      <c r="E571">
        <f t="shared" si="68"/>
        <v>0</v>
      </c>
      <c r="F571">
        <f t="shared" si="69"/>
        <v>0</v>
      </c>
      <c r="G571">
        <f t="shared" si="70"/>
        <v>20</v>
      </c>
      <c r="H571">
        <f t="shared" si="71"/>
        <v>20</v>
      </c>
      <c r="I571" t="str">
        <f t="shared" si="72"/>
        <v>SPRITE_ID_NEW_TRAIN</v>
      </c>
      <c r="U571"/>
      <c r="V571"/>
      <c r="W571"/>
    </row>
    <row r="572" spans="1:23">
      <c r="A572" s="2" t="s">
        <v>910</v>
      </c>
      <c r="B572">
        <f t="shared" si="65"/>
        <v>0</v>
      </c>
      <c r="C572">
        <f t="shared" si="66"/>
        <v>0</v>
      </c>
      <c r="D572">
        <f t="shared" si="67"/>
        <v>185</v>
      </c>
      <c r="E572">
        <f t="shared" si="68"/>
        <v>0</v>
      </c>
      <c r="F572">
        <f t="shared" si="69"/>
        <v>0</v>
      </c>
      <c r="G572">
        <f t="shared" si="70"/>
        <v>20</v>
      </c>
      <c r="H572">
        <f t="shared" si="71"/>
        <v>20</v>
      </c>
      <c r="I572" t="str">
        <f t="shared" si="72"/>
        <v>SPRITE_ID_NEW_TRAIN</v>
      </c>
      <c r="U572"/>
      <c r="V572"/>
      <c r="W572"/>
    </row>
    <row r="573" spans="1:23">
      <c r="A573" s="2" t="s">
        <v>893</v>
      </c>
      <c r="B573">
        <f t="shared" si="65"/>
        <v>0</v>
      </c>
      <c r="C573">
        <f t="shared" si="66"/>
        <v>0</v>
      </c>
      <c r="D573">
        <f t="shared" si="67"/>
        <v>185</v>
      </c>
      <c r="E573">
        <f t="shared" si="68"/>
        <v>0</v>
      </c>
      <c r="F573">
        <f t="shared" si="69"/>
        <v>0</v>
      </c>
      <c r="G573">
        <f t="shared" si="70"/>
        <v>20</v>
      </c>
      <c r="H573">
        <f t="shared" si="71"/>
        <v>20</v>
      </c>
      <c r="I573" t="str">
        <f t="shared" si="72"/>
        <v>SPRITE_ID_NEW_TRAIN</v>
      </c>
      <c r="U573"/>
      <c r="V573"/>
      <c r="W573"/>
    </row>
    <row r="574" spans="1:23">
      <c r="A574" s="2" t="s">
        <v>894</v>
      </c>
      <c r="B574">
        <f t="shared" si="65"/>
        <v>0</v>
      </c>
      <c r="C574">
        <f t="shared" si="66"/>
        <v>0</v>
      </c>
      <c r="D574">
        <f t="shared" si="67"/>
        <v>185</v>
      </c>
      <c r="E574">
        <f t="shared" si="68"/>
        <v>0</v>
      </c>
      <c r="F574">
        <f t="shared" si="69"/>
        <v>0</v>
      </c>
      <c r="G574">
        <f t="shared" si="70"/>
        <v>20</v>
      </c>
      <c r="H574">
        <f t="shared" si="71"/>
        <v>20</v>
      </c>
      <c r="I574" t="str">
        <f t="shared" si="72"/>
        <v>SPRITE_ID_NEW_TRAIN</v>
      </c>
      <c r="U574"/>
      <c r="V574"/>
      <c r="W574"/>
    </row>
    <row r="575" spans="1:23">
      <c r="A575" s="2" t="s">
        <v>895</v>
      </c>
      <c r="B575">
        <f t="shared" si="65"/>
        <v>0</v>
      </c>
      <c r="C575">
        <f t="shared" si="66"/>
        <v>0</v>
      </c>
      <c r="D575">
        <f t="shared" si="67"/>
        <v>185</v>
      </c>
      <c r="E575">
        <f t="shared" si="68"/>
        <v>0</v>
      </c>
      <c r="F575">
        <f t="shared" si="69"/>
        <v>0</v>
      </c>
      <c r="G575">
        <f t="shared" si="70"/>
        <v>20</v>
      </c>
      <c r="H575">
        <f t="shared" si="71"/>
        <v>20</v>
      </c>
      <c r="I575" t="str">
        <f t="shared" si="72"/>
        <v>SPRITE_ID_NEW_TRAIN</v>
      </c>
      <c r="U575"/>
      <c r="V575"/>
      <c r="W575"/>
    </row>
    <row r="576" spans="1:23">
      <c r="A576" s="2" t="s">
        <v>896</v>
      </c>
      <c r="B576">
        <f t="shared" si="65"/>
        <v>0</v>
      </c>
      <c r="C576">
        <f t="shared" si="66"/>
        <v>0</v>
      </c>
      <c r="D576">
        <f t="shared" si="67"/>
        <v>185</v>
      </c>
      <c r="E576">
        <f t="shared" si="68"/>
        <v>0</v>
      </c>
      <c r="F576">
        <f t="shared" si="69"/>
        <v>0</v>
      </c>
      <c r="G576">
        <f t="shared" si="70"/>
        <v>20</v>
      </c>
      <c r="H576">
        <f t="shared" si="71"/>
        <v>20</v>
      </c>
      <c r="I576" t="str">
        <f t="shared" si="72"/>
        <v>SPRITE_ID_NEW_TRAIN</v>
      </c>
      <c r="U576"/>
      <c r="V576"/>
      <c r="W576"/>
    </row>
    <row r="577" spans="1:23">
      <c r="A577" s="2" t="s">
        <v>897</v>
      </c>
      <c r="B577">
        <f t="shared" si="65"/>
        <v>0</v>
      </c>
      <c r="C577">
        <f t="shared" si="66"/>
        <v>0</v>
      </c>
      <c r="D577">
        <f t="shared" si="67"/>
        <v>185</v>
      </c>
      <c r="E577">
        <f t="shared" si="68"/>
        <v>0</v>
      </c>
      <c r="F577">
        <f t="shared" si="69"/>
        <v>0</v>
      </c>
      <c r="G577">
        <f t="shared" si="70"/>
        <v>20</v>
      </c>
      <c r="H577">
        <f t="shared" si="71"/>
        <v>20</v>
      </c>
      <c r="I577" t="str">
        <f t="shared" si="72"/>
        <v>SPRITE_ID_NEW_TRAIN</v>
      </c>
      <c r="U577"/>
      <c r="V577"/>
      <c r="W577"/>
    </row>
    <row r="578" spans="1:23">
      <c r="A578" s="2" t="s">
        <v>898</v>
      </c>
      <c r="B578">
        <f t="shared" si="65"/>
        <v>0</v>
      </c>
      <c r="C578">
        <f t="shared" si="66"/>
        <v>0</v>
      </c>
      <c r="D578">
        <f t="shared" si="67"/>
        <v>185</v>
      </c>
      <c r="E578">
        <f t="shared" si="68"/>
        <v>0</v>
      </c>
      <c r="F578">
        <f t="shared" si="69"/>
        <v>0</v>
      </c>
      <c r="G578">
        <f t="shared" si="70"/>
        <v>20</v>
      </c>
      <c r="H578">
        <f t="shared" si="71"/>
        <v>20</v>
      </c>
      <c r="I578" t="str">
        <f t="shared" si="72"/>
        <v>SPRITE_ID_NEW_TRAIN</v>
      </c>
      <c r="U578"/>
      <c r="V578"/>
      <c r="W578"/>
    </row>
    <row r="579" spans="1:23">
      <c r="A579" s="2" t="s">
        <v>899</v>
      </c>
      <c r="B579">
        <f t="shared" si="65"/>
        <v>0</v>
      </c>
      <c r="C579">
        <f t="shared" si="66"/>
        <v>0</v>
      </c>
      <c r="D579">
        <f t="shared" si="67"/>
        <v>185</v>
      </c>
      <c r="E579">
        <f t="shared" si="68"/>
        <v>0</v>
      </c>
      <c r="F579">
        <f t="shared" si="69"/>
        <v>0</v>
      </c>
      <c r="G579">
        <f t="shared" si="70"/>
        <v>20</v>
      </c>
      <c r="H579">
        <f t="shared" si="71"/>
        <v>20</v>
      </c>
      <c r="I579" t="str">
        <f t="shared" si="72"/>
        <v>SPRITE_ID_NEW_TRAIN</v>
      </c>
      <c r="U579"/>
      <c r="V579"/>
      <c r="W579"/>
    </row>
    <row r="580" spans="1:23">
      <c r="A580" s="2" t="s">
        <v>900</v>
      </c>
      <c r="B580">
        <f t="shared" ref="B580:B643" si="73">B579</f>
        <v>0</v>
      </c>
      <c r="C580">
        <f t="shared" ref="C580:C643" si="74">C579</f>
        <v>0</v>
      </c>
      <c r="D580">
        <f t="shared" ref="D580:D643" si="75">D579</f>
        <v>185</v>
      </c>
      <c r="E580">
        <f t="shared" ref="E580:E643" si="76">E579</f>
        <v>0</v>
      </c>
      <c r="F580">
        <f t="shared" ref="F580:F643" si="77">F579</f>
        <v>0</v>
      </c>
      <c r="G580">
        <f t="shared" ref="G580:G643" si="78">G579</f>
        <v>20</v>
      </c>
      <c r="H580">
        <f t="shared" ref="H580:H643" si="79">H579</f>
        <v>20</v>
      </c>
      <c r="I580" t="str">
        <f t="shared" ref="I580:I643" si="80">I579</f>
        <v>SPRITE_ID_NEW_TRAIN</v>
      </c>
      <c r="U580"/>
      <c r="V580"/>
      <c r="W580"/>
    </row>
    <row r="581" spans="1:23">
      <c r="A581" s="2" t="s">
        <v>901</v>
      </c>
      <c r="B581">
        <f t="shared" si="73"/>
        <v>0</v>
      </c>
      <c r="C581">
        <f t="shared" si="74"/>
        <v>0</v>
      </c>
      <c r="D581">
        <f t="shared" si="75"/>
        <v>185</v>
      </c>
      <c r="E581">
        <f t="shared" si="76"/>
        <v>0</v>
      </c>
      <c r="F581">
        <f t="shared" si="77"/>
        <v>0</v>
      </c>
      <c r="G581">
        <f t="shared" si="78"/>
        <v>20</v>
      </c>
      <c r="H581">
        <f t="shared" si="79"/>
        <v>20</v>
      </c>
      <c r="I581" t="str">
        <f t="shared" si="80"/>
        <v>SPRITE_ID_NEW_TRAIN</v>
      </c>
      <c r="U581"/>
      <c r="V581"/>
      <c r="W581"/>
    </row>
    <row r="582" spans="1:23">
      <c r="A582" s="2" t="s">
        <v>902</v>
      </c>
      <c r="B582">
        <f t="shared" si="73"/>
        <v>0</v>
      </c>
      <c r="C582">
        <f t="shared" si="74"/>
        <v>0</v>
      </c>
      <c r="D582">
        <f t="shared" si="75"/>
        <v>185</v>
      </c>
      <c r="E582">
        <f t="shared" si="76"/>
        <v>0</v>
      </c>
      <c r="F582">
        <f t="shared" si="77"/>
        <v>0</v>
      </c>
      <c r="G582">
        <f t="shared" si="78"/>
        <v>20</v>
      </c>
      <c r="H582">
        <f t="shared" si="79"/>
        <v>20</v>
      </c>
      <c r="I582" t="str">
        <f t="shared" si="80"/>
        <v>SPRITE_ID_NEW_TRAIN</v>
      </c>
      <c r="U582"/>
      <c r="V582"/>
      <c r="W582"/>
    </row>
    <row r="583" spans="1:23">
      <c r="A583" s="2" t="s">
        <v>903</v>
      </c>
      <c r="B583">
        <f t="shared" si="73"/>
        <v>0</v>
      </c>
      <c r="C583">
        <f t="shared" si="74"/>
        <v>0</v>
      </c>
      <c r="D583">
        <f t="shared" si="75"/>
        <v>185</v>
      </c>
      <c r="E583">
        <f t="shared" si="76"/>
        <v>0</v>
      </c>
      <c r="F583">
        <f t="shared" si="77"/>
        <v>0</v>
      </c>
      <c r="G583">
        <f t="shared" si="78"/>
        <v>20</v>
      </c>
      <c r="H583">
        <f t="shared" si="79"/>
        <v>20</v>
      </c>
      <c r="I583" t="str">
        <f t="shared" si="80"/>
        <v>SPRITE_ID_NEW_TRAIN</v>
      </c>
      <c r="U583"/>
      <c r="V583"/>
      <c r="W583"/>
    </row>
    <row r="584" spans="1:23">
      <c r="A584" s="2" t="s">
        <v>904</v>
      </c>
      <c r="B584">
        <f t="shared" si="73"/>
        <v>0</v>
      </c>
      <c r="C584">
        <f t="shared" si="74"/>
        <v>0</v>
      </c>
      <c r="D584">
        <f t="shared" si="75"/>
        <v>185</v>
      </c>
      <c r="E584">
        <f t="shared" si="76"/>
        <v>0</v>
      </c>
      <c r="F584">
        <f t="shared" si="77"/>
        <v>0</v>
      </c>
      <c r="G584">
        <f t="shared" si="78"/>
        <v>20</v>
      </c>
      <c r="H584">
        <f t="shared" si="79"/>
        <v>20</v>
      </c>
      <c r="I584" t="str">
        <f t="shared" si="80"/>
        <v>SPRITE_ID_NEW_TRAIN</v>
      </c>
      <c r="U584"/>
      <c r="V584"/>
      <c r="W584"/>
    </row>
    <row r="585" spans="1:23">
      <c r="A585" s="2" t="s">
        <v>905</v>
      </c>
      <c r="B585">
        <f t="shared" si="73"/>
        <v>0</v>
      </c>
      <c r="C585">
        <f t="shared" si="74"/>
        <v>0</v>
      </c>
      <c r="D585">
        <f t="shared" si="75"/>
        <v>185</v>
      </c>
      <c r="E585">
        <f t="shared" si="76"/>
        <v>0</v>
      </c>
      <c r="F585">
        <f t="shared" si="77"/>
        <v>0</v>
      </c>
      <c r="G585">
        <f t="shared" si="78"/>
        <v>20</v>
      </c>
      <c r="H585">
        <f t="shared" si="79"/>
        <v>20</v>
      </c>
      <c r="I585" t="str">
        <f t="shared" si="80"/>
        <v>SPRITE_ID_NEW_TRAIN</v>
      </c>
      <c r="U585"/>
      <c r="V585"/>
      <c r="W585"/>
    </row>
    <row r="586" spans="1:23">
      <c r="A586" s="2" t="s">
        <v>906</v>
      </c>
      <c r="B586">
        <f t="shared" si="73"/>
        <v>0</v>
      </c>
      <c r="C586">
        <f t="shared" si="74"/>
        <v>0</v>
      </c>
      <c r="D586">
        <f t="shared" si="75"/>
        <v>185</v>
      </c>
      <c r="E586">
        <f t="shared" si="76"/>
        <v>0</v>
      </c>
      <c r="F586">
        <f t="shared" si="77"/>
        <v>0</v>
      </c>
      <c r="G586">
        <f t="shared" si="78"/>
        <v>20</v>
      </c>
      <c r="H586">
        <f t="shared" si="79"/>
        <v>20</v>
      </c>
      <c r="I586" t="str">
        <f t="shared" si="80"/>
        <v>SPRITE_ID_NEW_TRAIN</v>
      </c>
      <c r="U586"/>
      <c r="V586"/>
      <c r="W586"/>
    </row>
    <row r="587" spans="1:23">
      <c r="A587" s="2" t="s">
        <v>610</v>
      </c>
      <c r="B587">
        <f t="shared" si="73"/>
        <v>0</v>
      </c>
      <c r="C587">
        <f t="shared" si="74"/>
        <v>0</v>
      </c>
      <c r="D587">
        <f t="shared" si="75"/>
        <v>185</v>
      </c>
      <c r="E587">
        <f t="shared" si="76"/>
        <v>0</v>
      </c>
      <c r="F587">
        <f t="shared" si="77"/>
        <v>0</v>
      </c>
      <c r="G587">
        <f t="shared" si="78"/>
        <v>20</v>
      </c>
      <c r="H587">
        <f t="shared" si="79"/>
        <v>20</v>
      </c>
      <c r="I587" t="str">
        <f t="shared" si="80"/>
        <v>SPRITE_ID_NEW_TRAIN</v>
      </c>
      <c r="U587"/>
      <c r="V587"/>
      <c r="W587"/>
    </row>
    <row r="588" spans="1:23">
      <c r="A588" s="2" t="s">
        <v>611</v>
      </c>
      <c r="B588">
        <f t="shared" si="73"/>
        <v>0</v>
      </c>
      <c r="C588">
        <f t="shared" si="74"/>
        <v>0</v>
      </c>
      <c r="D588">
        <f t="shared" si="75"/>
        <v>185</v>
      </c>
      <c r="E588">
        <f t="shared" si="76"/>
        <v>0</v>
      </c>
      <c r="F588">
        <f t="shared" si="77"/>
        <v>0</v>
      </c>
      <c r="G588">
        <f t="shared" si="78"/>
        <v>20</v>
      </c>
      <c r="H588">
        <f t="shared" si="79"/>
        <v>20</v>
      </c>
      <c r="I588" t="str">
        <f t="shared" si="80"/>
        <v>SPRITE_ID_NEW_TRAIN</v>
      </c>
      <c r="U588"/>
      <c r="V588"/>
      <c r="W588"/>
    </row>
    <row r="589" spans="1:23">
      <c r="A589" s="2" t="s">
        <v>612</v>
      </c>
      <c r="B589">
        <f t="shared" si="73"/>
        <v>0</v>
      </c>
      <c r="C589">
        <f t="shared" si="74"/>
        <v>0</v>
      </c>
      <c r="D589">
        <f t="shared" si="75"/>
        <v>185</v>
      </c>
      <c r="E589">
        <f t="shared" si="76"/>
        <v>0</v>
      </c>
      <c r="F589">
        <f t="shared" si="77"/>
        <v>0</v>
      </c>
      <c r="G589">
        <f t="shared" si="78"/>
        <v>20</v>
      </c>
      <c r="H589">
        <f t="shared" si="79"/>
        <v>20</v>
      </c>
      <c r="I589" t="str">
        <f t="shared" si="80"/>
        <v>SPRITE_ID_NEW_TRAIN</v>
      </c>
      <c r="U589"/>
      <c r="V589"/>
      <c r="W589"/>
    </row>
    <row r="590" spans="1:23">
      <c r="A590" s="2" t="s">
        <v>613</v>
      </c>
      <c r="B590">
        <f t="shared" si="73"/>
        <v>0</v>
      </c>
      <c r="C590">
        <f t="shared" si="74"/>
        <v>0</v>
      </c>
      <c r="D590">
        <f t="shared" si="75"/>
        <v>185</v>
      </c>
      <c r="E590">
        <f t="shared" si="76"/>
        <v>0</v>
      </c>
      <c r="F590">
        <f t="shared" si="77"/>
        <v>0</v>
      </c>
      <c r="G590">
        <f t="shared" si="78"/>
        <v>20</v>
      </c>
      <c r="H590">
        <f t="shared" si="79"/>
        <v>20</v>
      </c>
      <c r="I590" t="str">
        <f t="shared" si="80"/>
        <v>SPRITE_ID_NEW_TRAIN</v>
      </c>
      <c r="U590"/>
      <c r="V590"/>
      <c r="W590"/>
    </row>
    <row r="591" spans="1:23">
      <c r="A591" s="2" t="s">
        <v>614</v>
      </c>
      <c r="B591">
        <f t="shared" si="73"/>
        <v>0</v>
      </c>
      <c r="C591">
        <f t="shared" si="74"/>
        <v>0</v>
      </c>
      <c r="D591">
        <f t="shared" si="75"/>
        <v>185</v>
      </c>
      <c r="E591">
        <f t="shared" si="76"/>
        <v>0</v>
      </c>
      <c r="F591">
        <f t="shared" si="77"/>
        <v>0</v>
      </c>
      <c r="G591">
        <f t="shared" si="78"/>
        <v>20</v>
      </c>
      <c r="H591">
        <f t="shared" si="79"/>
        <v>20</v>
      </c>
      <c r="I591" t="str">
        <f t="shared" si="80"/>
        <v>SPRITE_ID_NEW_TRAIN</v>
      </c>
      <c r="U591"/>
      <c r="V591"/>
      <c r="W591"/>
    </row>
    <row r="592" spans="1:23">
      <c r="A592" s="2" t="s">
        <v>615</v>
      </c>
      <c r="B592">
        <f t="shared" si="73"/>
        <v>0</v>
      </c>
      <c r="C592">
        <f t="shared" si="74"/>
        <v>0</v>
      </c>
      <c r="D592">
        <f t="shared" si="75"/>
        <v>185</v>
      </c>
      <c r="E592">
        <f t="shared" si="76"/>
        <v>0</v>
      </c>
      <c r="F592">
        <f t="shared" si="77"/>
        <v>0</v>
      </c>
      <c r="G592">
        <f t="shared" si="78"/>
        <v>20</v>
      </c>
      <c r="H592">
        <f t="shared" si="79"/>
        <v>20</v>
      </c>
      <c r="I592" t="str">
        <f t="shared" si="80"/>
        <v>SPRITE_ID_NEW_TRAIN</v>
      </c>
      <c r="U592"/>
      <c r="V592"/>
      <c r="W592"/>
    </row>
    <row r="593" spans="1:23">
      <c r="A593" s="2" t="s">
        <v>616</v>
      </c>
      <c r="B593">
        <f t="shared" si="73"/>
        <v>0</v>
      </c>
      <c r="C593">
        <f t="shared" si="74"/>
        <v>0</v>
      </c>
      <c r="D593">
        <f t="shared" si="75"/>
        <v>185</v>
      </c>
      <c r="E593">
        <f t="shared" si="76"/>
        <v>0</v>
      </c>
      <c r="F593">
        <f t="shared" si="77"/>
        <v>0</v>
      </c>
      <c r="G593">
        <f t="shared" si="78"/>
        <v>20</v>
      </c>
      <c r="H593">
        <f t="shared" si="79"/>
        <v>20</v>
      </c>
      <c r="I593" t="str">
        <f t="shared" si="80"/>
        <v>SPRITE_ID_NEW_TRAIN</v>
      </c>
      <c r="U593"/>
      <c r="V593"/>
      <c r="W593"/>
    </row>
    <row r="594" spans="1:23">
      <c r="A594" s="2" t="s">
        <v>617</v>
      </c>
      <c r="B594">
        <f t="shared" si="73"/>
        <v>0</v>
      </c>
      <c r="C594">
        <f t="shared" si="74"/>
        <v>0</v>
      </c>
      <c r="D594">
        <f t="shared" si="75"/>
        <v>185</v>
      </c>
      <c r="E594">
        <f t="shared" si="76"/>
        <v>0</v>
      </c>
      <c r="F594">
        <f t="shared" si="77"/>
        <v>0</v>
      </c>
      <c r="G594">
        <f t="shared" si="78"/>
        <v>20</v>
      </c>
      <c r="H594">
        <f t="shared" si="79"/>
        <v>20</v>
      </c>
      <c r="I594" t="str">
        <f t="shared" si="80"/>
        <v>SPRITE_ID_NEW_TRAIN</v>
      </c>
      <c r="U594"/>
      <c r="V594"/>
      <c r="W594"/>
    </row>
    <row r="595" spans="1:23">
      <c r="A595" s="2" t="s">
        <v>618</v>
      </c>
      <c r="B595">
        <f t="shared" si="73"/>
        <v>0</v>
      </c>
      <c r="C595">
        <f t="shared" si="74"/>
        <v>0</v>
      </c>
      <c r="D595">
        <f t="shared" si="75"/>
        <v>185</v>
      </c>
      <c r="E595">
        <f t="shared" si="76"/>
        <v>0</v>
      </c>
      <c r="F595">
        <f t="shared" si="77"/>
        <v>0</v>
      </c>
      <c r="G595">
        <f t="shared" si="78"/>
        <v>20</v>
      </c>
      <c r="H595">
        <f t="shared" si="79"/>
        <v>20</v>
      </c>
      <c r="I595" t="str">
        <f t="shared" si="80"/>
        <v>SPRITE_ID_NEW_TRAIN</v>
      </c>
      <c r="U595"/>
      <c r="V595"/>
      <c r="W595"/>
    </row>
    <row r="596" spans="1:23">
      <c r="A596" s="2" t="s">
        <v>619</v>
      </c>
      <c r="B596">
        <f t="shared" si="73"/>
        <v>0</v>
      </c>
      <c r="C596">
        <f t="shared" si="74"/>
        <v>0</v>
      </c>
      <c r="D596">
        <f t="shared" si="75"/>
        <v>185</v>
      </c>
      <c r="E596">
        <f t="shared" si="76"/>
        <v>0</v>
      </c>
      <c r="F596">
        <f t="shared" si="77"/>
        <v>0</v>
      </c>
      <c r="G596">
        <f t="shared" si="78"/>
        <v>20</v>
      </c>
      <c r="H596">
        <f t="shared" si="79"/>
        <v>20</v>
      </c>
      <c r="I596" t="str">
        <f t="shared" si="80"/>
        <v>SPRITE_ID_NEW_TRAIN</v>
      </c>
      <c r="U596"/>
      <c r="V596"/>
      <c r="W596"/>
    </row>
    <row r="597" spans="1:23">
      <c r="A597" s="2" t="s">
        <v>620</v>
      </c>
      <c r="B597">
        <f t="shared" si="73"/>
        <v>0</v>
      </c>
      <c r="C597">
        <f t="shared" si="74"/>
        <v>0</v>
      </c>
      <c r="D597">
        <f t="shared" si="75"/>
        <v>185</v>
      </c>
      <c r="E597">
        <f t="shared" si="76"/>
        <v>0</v>
      </c>
      <c r="F597">
        <f t="shared" si="77"/>
        <v>0</v>
      </c>
      <c r="G597">
        <f t="shared" si="78"/>
        <v>20</v>
      </c>
      <c r="H597">
        <f t="shared" si="79"/>
        <v>20</v>
      </c>
      <c r="I597" t="str">
        <f t="shared" si="80"/>
        <v>SPRITE_ID_NEW_TRAIN</v>
      </c>
      <c r="U597"/>
      <c r="V597"/>
      <c r="W597"/>
    </row>
    <row r="598" spans="1:23">
      <c r="A598" s="2" t="s">
        <v>621</v>
      </c>
      <c r="B598">
        <f t="shared" si="73"/>
        <v>0</v>
      </c>
      <c r="C598">
        <f t="shared" si="74"/>
        <v>0</v>
      </c>
      <c r="D598">
        <f t="shared" si="75"/>
        <v>185</v>
      </c>
      <c r="E598">
        <f t="shared" si="76"/>
        <v>0</v>
      </c>
      <c r="F598">
        <f t="shared" si="77"/>
        <v>0</v>
      </c>
      <c r="G598">
        <f t="shared" si="78"/>
        <v>20</v>
      </c>
      <c r="H598">
        <f t="shared" si="79"/>
        <v>20</v>
      </c>
      <c r="I598" t="str">
        <f t="shared" si="80"/>
        <v>SPRITE_ID_NEW_TRAIN</v>
      </c>
      <c r="U598"/>
      <c r="V598"/>
      <c r="W598"/>
    </row>
    <row r="599" spans="1:23">
      <c r="A599" s="2" t="s">
        <v>622</v>
      </c>
      <c r="B599">
        <f t="shared" si="73"/>
        <v>0</v>
      </c>
      <c r="C599">
        <f t="shared" si="74"/>
        <v>0</v>
      </c>
      <c r="D599">
        <f t="shared" si="75"/>
        <v>185</v>
      </c>
      <c r="E599">
        <f t="shared" si="76"/>
        <v>0</v>
      </c>
      <c r="F599">
        <f t="shared" si="77"/>
        <v>0</v>
      </c>
      <c r="G599">
        <f t="shared" si="78"/>
        <v>20</v>
      </c>
      <c r="H599">
        <f t="shared" si="79"/>
        <v>20</v>
      </c>
      <c r="I599" t="str">
        <f t="shared" si="80"/>
        <v>SPRITE_ID_NEW_TRAIN</v>
      </c>
      <c r="U599"/>
      <c r="V599"/>
      <c r="W599"/>
    </row>
    <row r="600" spans="1:23">
      <c r="A600" s="2" t="s">
        <v>623</v>
      </c>
      <c r="B600">
        <f t="shared" si="73"/>
        <v>0</v>
      </c>
      <c r="C600">
        <f t="shared" si="74"/>
        <v>0</v>
      </c>
      <c r="D600">
        <f t="shared" si="75"/>
        <v>185</v>
      </c>
      <c r="E600">
        <f t="shared" si="76"/>
        <v>0</v>
      </c>
      <c r="F600">
        <f t="shared" si="77"/>
        <v>0</v>
      </c>
      <c r="G600">
        <f t="shared" si="78"/>
        <v>20</v>
      </c>
      <c r="H600">
        <f t="shared" si="79"/>
        <v>20</v>
      </c>
      <c r="I600" t="str">
        <f t="shared" si="80"/>
        <v>SPRITE_ID_NEW_TRAIN</v>
      </c>
      <c r="U600"/>
      <c r="V600"/>
      <c r="W600"/>
    </row>
    <row r="601" spans="1:23">
      <c r="A601" s="2" t="s">
        <v>624</v>
      </c>
      <c r="B601">
        <f t="shared" si="73"/>
        <v>0</v>
      </c>
      <c r="C601">
        <f t="shared" si="74"/>
        <v>0</v>
      </c>
      <c r="D601">
        <f t="shared" si="75"/>
        <v>185</v>
      </c>
      <c r="E601">
        <f t="shared" si="76"/>
        <v>0</v>
      </c>
      <c r="F601">
        <f t="shared" si="77"/>
        <v>0</v>
      </c>
      <c r="G601">
        <f t="shared" si="78"/>
        <v>20</v>
      </c>
      <c r="H601">
        <f t="shared" si="79"/>
        <v>20</v>
      </c>
      <c r="I601" t="str">
        <f t="shared" si="80"/>
        <v>SPRITE_ID_NEW_TRAIN</v>
      </c>
      <c r="U601"/>
      <c r="V601"/>
      <c r="W601"/>
    </row>
    <row r="602" spans="1:23">
      <c r="A602" s="2" t="s">
        <v>625</v>
      </c>
      <c r="B602">
        <f t="shared" si="73"/>
        <v>0</v>
      </c>
      <c r="C602">
        <f t="shared" si="74"/>
        <v>0</v>
      </c>
      <c r="D602">
        <f t="shared" si="75"/>
        <v>185</v>
      </c>
      <c r="E602">
        <f t="shared" si="76"/>
        <v>0</v>
      </c>
      <c r="F602">
        <f t="shared" si="77"/>
        <v>0</v>
      </c>
      <c r="G602">
        <f t="shared" si="78"/>
        <v>20</v>
      </c>
      <c r="H602">
        <f t="shared" si="79"/>
        <v>20</v>
      </c>
      <c r="I602" t="str">
        <f t="shared" si="80"/>
        <v>SPRITE_ID_NEW_TRAIN</v>
      </c>
      <c r="U602"/>
      <c r="V602"/>
      <c r="W602"/>
    </row>
    <row r="603" spans="1:23">
      <c r="A603" s="2" t="s">
        <v>626</v>
      </c>
      <c r="B603">
        <f t="shared" si="73"/>
        <v>0</v>
      </c>
      <c r="C603">
        <f t="shared" si="74"/>
        <v>0</v>
      </c>
      <c r="D603">
        <f t="shared" si="75"/>
        <v>185</v>
      </c>
      <c r="E603">
        <f t="shared" si="76"/>
        <v>0</v>
      </c>
      <c r="F603">
        <f t="shared" si="77"/>
        <v>0</v>
      </c>
      <c r="G603">
        <f t="shared" si="78"/>
        <v>20</v>
      </c>
      <c r="H603">
        <f t="shared" si="79"/>
        <v>20</v>
      </c>
      <c r="I603" t="str">
        <f t="shared" si="80"/>
        <v>SPRITE_ID_NEW_TRAIN</v>
      </c>
      <c r="U603"/>
      <c r="V603"/>
      <c r="W603"/>
    </row>
    <row r="604" spans="1:23">
      <c r="A604" s="2" t="s">
        <v>627</v>
      </c>
      <c r="B604">
        <f t="shared" si="73"/>
        <v>0</v>
      </c>
      <c r="C604">
        <f t="shared" si="74"/>
        <v>0</v>
      </c>
      <c r="D604">
        <f t="shared" si="75"/>
        <v>185</v>
      </c>
      <c r="E604">
        <f t="shared" si="76"/>
        <v>0</v>
      </c>
      <c r="F604">
        <f t="shared" si="77"/>
        <v>0</v>
      </c>
      <c r="G604">
        <f t="shared" si="78"/>
        <v>20</v>
      </c>
      <c r="H604">
        <f t="shared" si="79"/>
        <v>20</v>
      </c>
      <c r="I604" t="str">
        <f t="shared" si="80"/>
        <v>SPRITE_ID_NEW_TRAIN</v>
      </c>
      <c r="U604"/>
      <c r="V604"/>
      <c r="W604"/>
    </row>
    <row r="605" spans="1:23">
      <c r="A605" s="2" t="s">
        <v>628</v>
      </c>
      <c r="B605">
        <f t="shared" si="73"/>
        <v>0</v>
      </c>
      <c r="C605">
        <f t="shared" si="74"/>
        <v>0</v>
      </c>
      <c r="D605">
        <f t="shared" si="75"/>
        <v>185</v>
      </c>
      <c r="E605">
        <f t="shared" si="76"/>
        <v>0</v>
      </c>
      <c r="F605">
        <f t="shared" si="77"/>
        <v>0</v>
      </c>
      <c r="G605">
        <f t="shared" si="78"/>
        <v>20</v>
      </c>
      <c r="H605">
        <f t="shared" si="79"/>
        <v>20</v>
      </c>
      <c r="I605" t="str">
        <f t="shared" si="80"/>
        <v>SPRITE_ID_NEW_TRAIN</v>
      </c>
      <c r="U605"/>
      <c r="V605"/>
      <c r="W605"/>
    </row>
    <row r="606" spans="1:23">
      <c r="A606" s="2" t="s">
        <v>629</v>
      </c>
      <c r="B606">
        <f t="shared" si="73"/>
        <v>0</v>
      </c>
      <c r="C606">
        <f t="shared" si="74"/>
        <v>0</v>
      </c>
      <c r="D606">
        <f t="shared" si="75"/>
        <v>185</v>
      </c>
      <c r="E606">
        <f t="shared" si="76"/>
        <v>0</v>
      </c>
      <c r="F606">
        <f t="shared" si="77"/>
        <v>0</v>
      </c>
      <c r="G606">
        <f t="shared" si="78"/>
        <v>20</v>
      </c>
      <c r="H606">
        <f t="shared" si="79"/>
        <v>20</v>
      </c>
      <c r="I606" t="str">
        <f t="shared" si="80"/>
        <v>SPRITE_ID_NEW_TRAIN</v>
      </c>
      <c r="U606"/>
      <c r="V606"/>
      <c r="W606"/>
    </row>
    <row r="607" spans="1:23">
      <c r="A607" s="2" t="s">
        <v>630</v>
      </c>
      <c r="B607">
        <f t="shared" si="73"/>
        <v>0</v>
      </c>
      <c r="C607">
        <f t="shared" si="74"/>
        <v>0</v>
      </c>
      <c r="D607">
        <f t="shared" si="75"/>
        <v>185</v>
      </c>
      <c r="E607">
        <f t="shared" si="76"/>
        <v>0</v>
      </c>
      <c r="F607">
        <f t="shared" si="77"/>
        <v>0</v>
      </c>
      <c r="G607">
        <f t="shared" si="78"/>
        <v>20</v>
      </c>
      <c r="H607">
        <f t="shared" si="79"/>
        <v>20</v>
      </c>
      <c r="I607" t="str">
        <f t="shared" si="80"/>
        <v>SPRITE_ID_NEW_TRAIN</v>
      </c>
      <c r="U607"/>
      <c r="V607"/>
      <c r="W607"/>
    </row>
    <row r="608" spans="1:23">
      <c r="A608" s="2" t="s">
        <v>631</v>
      </c>
      <c r="B608">
        <f t="shared" si="73"/>
        <v>0</v>
      </c>
      <c r="C608">
        <f t="shared" si="74"/>
        <v>0</v>
      </c>
      <c r="D608">
        <f t="shared" si="75"/>
        <v>185</v>
      </c>
      <c r="E608">
        <f t="shared" si="76"/>
        <v>0</v>
      </c>
      <c r="F608">
        <f t="shared" si="77"/>
        <v>0</v>
      </c>
      <c r="G608">
        <f t="shared" si="78"/>
        <v>20</v>
      </c>
      <c r="H608">
        <f t="shared" si="79"/>
        <v>20</v>
      </c>
      <c r="I608" t="str">
        <f t="shared" si="80"/>
        <v>SPRITE_ID_NEW_TRAIN</v>
      </c>
      <c r="U608"/>
      <c r="V608"/>
      <c r="W608"/>
    </row>
    <row r="609" spans="1:23">
      <c r="A609" s="2" t="s">
        <v>632</v>
      </c>
      <c r="B609">
        <f t="shared" si="73"/>
        <v>0</v>
      </c>
      <c r="C609">
        <f t="shared" si="74"/>
        <v>0</v>
      </c>
      <c r="D609">
        <f t="shared" si="75"/>
        <v>185</v>
      </c>
      <c r="E609">
        <f t="shared" si="76"/>
        <v>0</v>
      </c>
      <c r="F609">
        <f t="shared" si="77"/>
        <v>0</v>
      </c>
      <c r="G609">
        <f t="shared" si="78"/>
        <v>20</v>
      </c>
      <c r="H609">
        <f t="shared" si="79"/>
        <v>20</v>
      </c>
      <c r="I609" t="str">
        <f t="shared" si="80"/>
        <v>SPRITE_ID_NEW_TRAIN</v>
      </c>
      <c r="U609"/>
      <c r="V609"/>
      <c r="W609"/>
    </row>
    <row r="610" spans="1:23">
      <c r="A610" s="2" t="s">
        <v>633</v>
      </c>
      <c r="B610">
        <f t="shared" si="73"/>
        <v>0</v>
      </c>
      <c r="C610">
        <f t="shared" si="74"/>
        <v>0</v>
      </c>
      <c r="D610">
        <f t="shared" si="75"/>
        <v>185</v>
      </c>
      <c r="E610">
        <f t="shared" si="76"/>
        <v>0</v>
      </c>
      <c r="F610">
        <f t="shared" si="77"/>
        <v>0</v>
      </c>
      <c r="G610">
        <f t="shared" si="78"/>
        <v>20</v>
      </c>
      <c r="H610">
        <f t="shared" si="79"/>
        <v>20</v>
      </c>
      <c r="I610" t="str">
        <f t="shared" si="80"/>
        <v>SPRITE_ID_NEW_TRAIN</v>
      </c>
      <c r="U610"/>
      <c r="V610"/>
      <c r="W610"/>
    </row>
    <row r="611" spans="1:23">
      <c r="A611" s="2" t="s">
        <v>634</v>
      </c>
      <c r="B611">
        <f t="shared" si="73"/>
        <v>0</v>
      </c>
      <c r="C611">
        <f t="shared" si="74"/>
        <v>0</v>
      </c>
      <c r="D611">
        <f t="shared" si="75"/>
        <v>185</v>
      </c>
      <c r="E611">
        <f t="shared" si="76"/>
        <v>0</v>
      </c>
      <c r="F611">
        <f t="shared" si="77"/>
        <v>0</v>
      </c>
      <c r="G611">
        <f t="shared" si="78"/>
        <v>20</v>
      </c>
      <c r="H611">
        <f t="shared" si="79"/>
        <v>20</v>
      </c>
      <c r="I611" t="str">
        <f t="shared" si="80"/>
        <v>SPRITE_ID_NEW_TRAIN</v>
      </c>
      <c r="U611"/>
      <c r="V611"/>
      <c r="W611"/>
    </row>
    <row r="612" spans="1:23">
      <c r="A612" s="2" t="s">
        <v>635</v>
      </c>
      <c r="B612">
        <f t="shared" si="73"/>
        <v>0</v>
      </c>
      <c r="C612">
        <f t="shared" si="74"/>
        <v>0</v>
      </c>
      <c r="D612">
        <f t="shared" si="75"/>
        <v>185</v>
      </c>
      <c r="E612">
        <f t="shared" si="76"/>
        <v>0</v>
      </c>
      <c r="F612">
        <f t="shared" si="77"/>
        <v>0</v>
      </c>
      <c r="G612">
        <f t="shared" si="78"/>
        <v>20</v>
      </c>
      <c r="H612">
        <f t="shared" si="79"/>
        <v>20</v>
      </c>
      <c r="I612" t="str">
        <f t="shared" si="80"/>
        <v>SPRITE_ID_NEW_TRAIN</v>
      </c>
      <c r="U612"/>
      <c r="V612"/>
      <c r="W612"/>
    </row>
    <row r="613" spans="1:23">
      <c r="A613" s="2" t="s">
        <v>636</v>
      </c>
      <c r="B613">
        <f t="shared" si="73"/>
        <v>0</v>
      </c>
      <c r="C613">
        <f t="shared" si="74"/>
        <v>0</v>
      </c>
      <c r="D613">
        <f t="shared" si="75"/>
        <v>185</v>
      </c>
      <c r="E613">
        <f t="shared" si="76"/>
        <v>0</v>
      </c>
      <c r="F613">
        <f t="shared" si="77"/>
        <v>0</v>
      </c>
      <c r="G613">
        <f t="shared" si="78"/>
        <v>20</v>
      </c>
      <c r="H613">
        <f t="shared" si="79"/>
        <v>20</v>
      </c>
      <c r="I613" t="str">
        <f t="shared" si="80"/>
        <v>SPRITE_ID_NEW_TRAIN</v>
      </c>
      <c r="U613"/>
      <c r="V613"/>
      <c r="W613"/>
    </row>
    <row r="614" spans="1:23">
      <c r="A614" s="2" t="s">
        <v>637</v>
      </c>
      <c r="B614">
        <f t="shared" si="73"/>
        <v>0</v>
      </c>
      <c r="C614">
        <f t="shared" si="74"/>
        <v>0</v>
      </c>
      <c r="D614">
        <f t="shared" si="75"/>
        <v>185</v>
      </c>
      <c r="E614">
        <f t="shared" si="76"/>
        <v>0</v>
      </c>
      <c r="F614">
        <f t="shared" si="77"/>
        <v>0</v>
      </c>
      <c r="G614">
        <f t="shared" si="78"/>
        <v>20</v>
      </c>
      <c r="H614">
        <f t="shared" si="79"/>
        <v>20</v>
      </c>
      <c r="I614" t="str">
        <f t="shared" si="80"/>
        <v>SPRITE_ID_NEW_TRAIN</v>
      </c>
      <c r="U614"/>
      <c r="V614"/>
      <c r="W614"/>
    </row>
    <row r="615" spans="1:23">
      <c r="A615" s="2" t="s">
        <v>638</v>
      </c>
      <c r="B615">
        <f t="shared" si="73"/>
        <v>0</v>
      </c>
      <c r="C615">
        <f t="shared" si="74"/>
        <v>0</v>
      </c>
      <c r="D615">
        <f t="shared" si="75"/>
        <v>185</v>
      </c>
      <c r="E615">
        <f t="shared" si="76"/>
        <v>0</v>
      </c>
      <c r="F615">
        <f t="shared" si="77"/>
        <v>0</v>
      </c>
      <c r="G615">
        <f t="shared" si="78"/>
        <v>20</v>
      </c>
      <c r="H615">
        <f t="shared" si="79"/>
        <v>20</v>
      </c>
      <c r="I615" t="str">
        <f t="shared" si="80"/>
        <v>SPRITE_ID_NEW_TRAIN</v>
      </c>
      <c r="U615"/>
      <c r="V615"/>
      <c r="W615"/>
    </row>
    <row r="616" spans="1:23">
      <c r="A616" s="2" t="s">
        <v>639</v>
      </c>
      <c r="B616">
        <f t="shared" si="73"/>
        <v>0</v>
      </c>
      <c r="C616">
        <f t="shared" si="74"/>
        <v>0</v>
      </c>
      <c r="D616">
        <f t="shared" si="75"/>
        <v>185</v>
      </c>
      <c r="E616">
        <f t="shared" si="76"/>
        <v>0</v>
      </c>
      <c r="F616">
        <f t="shared" si="77"/>
        <v>0</v>
      </c>
      <c r="G616">
        <f t="shared" si="78"/>
        <v>20</v>
      </c>
      <c r="H616">
        <f t="shared" si="79"/>
        <v>20</v>
      </c>
      <c r="I616" t="str">
        <f t="shared" si="80"/>
        <v>SPRITE_ID_NEW_TRAIN</v>
      </c>
      <c r="U616"/>
      <c r="V616"/>
      <c r="W616"/>
    </row>
    <row r="617" spans="1:23">
      <c r="A617" s="2" t="s">
        <v>640</v>
      </c>
      <c r="B617">
        <f t="shared" si="73"/>
        <v>0</v>
      </c>
      <c r="C617">
        <f t="shared" si="74"/>
        <v>0</v>
      </c>
      <c r="D617">
        <f t="shared" si="75"/>
        <v>185</v>
      </c>
      <c r="E617">
        <f t="shared" si="76"/>
        <v>0</v>
      </c>
      <c r="F617">
        <f t="shared" si="77"/>
        <v>0</v>
      </c>
      <c r="G617">
        <f t="shared" si="78"/>
        <v>20</v>
      </c>
      <c r="H617">
        <f t="shared" si="79"/>
        <v>20</v>
      </c>
      <c r="I617" t="str">
        <f t="shared" si="80"/>
        <v>SPRITE_ID_NEW_TRAIN</v>
      </c>
      <c r="U617"/>
      <c r="V617"/>
      <c r="W617"/>
    </row>
    <row r="618" spans="1:23">
      <c r="A618" s="2" t="s">
        <v>641</v>
      </c>
      <c r="B618">
        <f t="shared" si="73"/>
        <v>0</v>
      </c>
      <c r="C618">
        <f t="shared" si="74"/>
        <v>0</v>
      </c>
      <c r="D618">
        <f t="shared" si="75"/>
        <v>185</v>
      </c>
      <c r="E618">
        <f t="shared" si="76"/>
        <v>0</v>
      </c>
      <c r="F618">
        <f t="shared" si="77"/>
        <v>0</v>
      </c>
      <c r="G618">
        <f t="shared" si="78"/>
        <v>20</v>
      </c>
      <c r="H618">
        <f t="shared" si="79"/>
        <v>20</v>
      </c>
      <c r="I618" t="str">
        <f t="shared" si="80"/>
        <v>SPRITE_ID_NEW_TRAIN</v>
      </c>
      <c r="U618"/>
      <c r="V618"/>
      <c r="W618"/>
    </row>
    <row r="619" spans="1:23">
      <c r="A619" s="2" t="s">
        <v>642</v>
      </c>
      <c r="B619">
        <f t="shared" si="73"/>
        <v>0</v>
      </c>
      <c r="C619">
        <f t="shared" si="74"/>
        <v>0</v>
      </c>
      <c r="D619">
        <f t="shared" si="75"/>
        <v>185</v>
      </c>
      <c r="E619">
        <f t="shared" si="76"/>
        <v>0</v>
      </c>
      <c r="F619">
        <f t="shared" si="77"/>
        <v>0</v>
      </c>
      <c r="G619">
        <f t="shared" si="78"/>
        <v>20</v>
      </c>
      <c r="H619">
        <f t="shared" si="79"/>
        <v>20</v>
      </c>
      <c r="I619" t="str">
        <f t="shared" si="80"/>
        <v>SPRITE_ID_NEW_TRAIN</v>
      </c>
      <c r="U619"/>
      <c r="V619"/>
      <c r="W619"/>
    </row>
    <row r="620" spans="1:23">
      <c r="A620" s="2" t="s">
        <v>643</v>
      </c>
      <c r="B620">
        <f t="shared" si="73"/>
        <v>0</v>
      </c>
      <c r="C620">
        <f t="shared" si="74"/>
        <v>0</v>
      </c>
      <c r="D620">
        <f t="shared" si="75"/>
        <v>185</v>
      </c>
      <c r="E620">
        <f t="shared" si="76"/>
        <v>0</v>
      </c>
      <c r="F620">
        <f t="shared" si="77"/>
        <v>0</v>
      </c>
      <c r="G620">
        <f t="shared" si="78"/>
        <v>20</v>
      </c>
      <c r="H620">
        <f t="shared" si="79"/>
        <v>20</v>
      </c>
      <c r="I620" t="str">
        <f t="shared" si="80"/>
        <v>SPRITE_ID_NEW_TRAIN</v>
      </c>
      <c r="U620"/>
      <c r="V620"/>
      <c r="W620"/>
    </row>
    <row r="621" spans="1:23">
      <c r="A621" s="2" t="s">
        <v>644</v>
      </c>
      <c r="B621">
        <f t="shared" si="73"/>
        <v>0</v>
      </c>
      <c r="C621">
        <f t="shared" si="74"/>
        <v>0</v>
      </c>
      <c r="D621">
        <f t="shared" si="75"/>
        <v>185</v>
      </c>
      <c r="E621">
        <f t="shared" si="76"/>
        <v>0</v>
      </c>
      <c r="F621">
        <f t="shared" si="77"/>
        <v>0</v>
      </c>
      <c r="G621">
        <f t="shared" si="78"/>
        <v>20</v>
      </c>
      <c r="H621">
        <f t="shared" si="79"/>
        <v>20</v>
      </c>
      <c r="I621" t="str">
        <f t="shared" si="80"/>
        <v>SPRITE_ID_NEW_TRAIN</v>
      </c>
      <c r="U621"/>
      <c r="V621"/>
      <c r="W621"/>
    </row>
    <row r="622" spans="1:23">
      <c r="A622" s="2" t="s">
        <v>645</v>
      </c>
      <c r="B622">
        <f t="shared" si="73"/>
        <v>0</v>
      </c>
      <c r="C622">
        <f t="shared" si="74"/>
        <v>0</v>
      </c>
      <c r="D622">
        <f t="shared" si="75"/>
        <v>185</v>
      </c>
      <c r="E622">
        <f t="shared" si="76"/>
        <v>0</v>
      </c>
      <c r="F622">
        <f t="shared" si="77"/>
        <v>0</v>
      </c>
      <c r="G622">
        <f t="shared" si="78"/>
        <v>20</v>
      </c>
      <c r="H622">
        <f t="shared" si="79"/>
        <v>20</v>
      </c>
      <c r="I622" t="str">
        <f t="shared" si="80"/>
        <v>SPRITE_ID_NEW_TRAIN</v>
      </c>
      <c r="U622"/>
      <c r="V622"/>
      <c r="W622"/>
    </row>
    <row r="623" spans="1:23">
      <c r="A623" s="2" t="s">
        <v>646</v>
      </c>
      <c r="B623">
        <f t="shared" si="73"/>
        <v>0</v>
      </c>
      <c r="C623">
        <f t="shared" si="74"/>
        <v>0</v>
      </c>
      <c r="D623">
        <f t="shared" si="75"/>
        <v>185</v>
      </c>
      <c r="E623">
        <f t="shared" si="76"/>
        <v>0</v>
      </c>
      <c r="F623">
        <f t="shared" si="77"/>
        <v>0</v>
      </c>
      <c r="G623">
        <f t="shared" si="78"/>
        <v>20</v>
      </c>
      <c r="H623">
        <f t="shared" si="79"/>
        <v>20</v>
      </c>
      <c r="I623" t="str">
        <f t="shared" si="80"/>
        <v>SPRITE_ID_NEW_TRAIN</v>
      </c>
      <c r="U623"/>
      <c r="V623"/>
      <c r="W623"/>
    </row>
    <row r="624" spans="1:23">
      <c r="A624" s="2" t="s">
        <v>647</v>
      </c>
      <c r="B624">
        <f t="shared" si="73"/>
        <v>0</v>
      </c>
      <c r="C624">
        <f t="shared" si="74"/>
        <v>0</v>
      </c>
      <c r="D624">
        <f t="shared" si="75"/>
        <v>185</v>
      </c>
      <c r="E624">
        <f t="shared" si="76"/>
        <v>0</v>
      </c>
      <c r="F624">
        <f t="shared" si="77"/>
        <v>0</v>
      </c>
      <c r="G624">
        <f t="shared" si="78"/>
        <v>20</v>
      </c>
      <c r="H624">
        <f t="shared" si="79"/>
        <v>20</v>
      </c>
      <c r="I624" t="str">
        <f t="shared" si="80"/>
        <v>SPRITE_ID_NEW_TRAIN</v>
      </c>
      <c r="U624"/>
      <c r="V624"/>
      <c r="W624"/>
    </row>
    <row r="625" spans="1:23">
      <c r="A625" s="2" t="s">
        <v>648</v>
      </c>
      <c r="B625">
        <f t="shared" si="73"/>
        <v>0</v>
      </c>
      <c r="C625">
        <f t="shared" si="74"/>
        <v>0</v>
      </c>
      <c r="D625">
        <f t="shared" si="75"/>
        <v>185</v>
      </c>
      <c r="E625">
        <f t="shared" si="76"/>
        <v>0</v>
      </c>
      <c r="F625">
        <f t="shared" si="77"/>
        <v>0</v>
      </c>
      <c r="G625">
        <f t="shared" si="78"/>
        <v>20</v>
      </c>
      <c r="H625">
        <f t="shared" si="79"/>
        <v>20</v>
      </c>
      <c r="I625" t="str">
        <f t="shared" si="80"/>
        <v>SPRITE_ID_NEW_TRAIN</v>
      </c>
      <c r="U625"/>
      <c r="V625"/>
      <c r="W625"/>
    </row>
    <row r="626" spans="1:23">
      <c r="A626" s="2" t="s">
        <v>649</v>
      </c>
      <c r="B626">
        <f t="shared" si="73"/>
        <v>0</v>
      </c>
      <c r="C626">
        <f t="shared" si="74"/>
        <v>0</v>
      </c>
      <c r="D626">
        <f t="shared" si="75"/>
        <v>185</v>
      </c>
      <c r="E626">
        <f t="shared" si="76"/>
        <v>0</v>
      </c>
      <c r="F626">
        <f t="shared" si="77"/>
        <v>0</v>
      </c>
      <c r="G626">
        <f t="shared" si="78"/>
        <v>20</v>
      </c>
      <c r="H626">
        <f t="shared" si="79"/>
        <v>20</v>
      </c>
      <c r="I626" t="str">
        <f t="shared" si="80"/>
        <v>SPRITE_ID_NEW_TRAIN</v>
      </c>
      <c r="U626"/>
      <c r="V626"/>
      <c r="W626"/>
    </row>
    <row r="627" spans="1:23">
      <c r="A627" s="2" t="s">
        <v>650</v>
      </c>
      <c r="B627">
        <f t="shared" si="73"/>
        <v>0</v>
      </c>
      <c r="C627">
        <f t="shared" si="74"/>
        <v>0</v>
      </c>
      <c r="D627">
        <f t="shared" si="75"/>
        <v>185</v>
      </c>
      <c r="E627">
        <f t="shared" si="76"/>
        <v>0</v>
      </c>
      <c r="F627">
        <f t="shared" si="77"/>
        <v>0</v>
      </c>
      <c r="G627">
        <f t="shared" si="78"/>
        <v>20</v>
      </c>
      <c r="H627">
        <f t="shared" si="79"/>
        <v>20</v>
      </c>
      <c r="I627" t="str">
        <f t="shared" si="80"/>
        <v>SPRITE_ID_NEW_TRAIN</v>
      </c>
      <c r="U627"/>
      <c r="V627"/>
      <c r="W627"/>
    </row>
    <row r="628" spans="1:23">
      <c r="A628" s="2" t="s">
        <v>651</v>
      </c>
      <c r="B628">
        <f t="shared" si="73"/>
        <v>0</v>
      </c>
      <c r="C628">
        <f t="shared" si="74"/>
        <v>0</v>
      </c>
      <c r="D628">
        <f t="shared" si="75"/>
        <v>185</v>
      </c>
      <c r="E628">
        <f t="shared" si="76"/>
        <v>0</v>
      </c>
      <c r="F628">
        <f t="shared" si="77"/>
        <v>0</v>
      </c>
      <c r="G628">
        <f t="shared" si="78"/>
        <v>20</v>
      </c>
      <c r="H628">
        <f t="shared" si="79"/>
        <v>20</v>
      </c>
      <c r="I628" t="str">
        <f t="shared" si="80"/>
        <v>SPRITE_ID_NEW_TRAIN</v>
      </c>
      <c r="U628"/>
      <c r="V628"/>
      <c r="W628"/>
    </row>
    <row r="629" spans="1:23">
      <c r="A629" s="2" t="s">
        <v>652</v>
      </c>
      <c r="B629">
        <f t="shared" si="73"/>
        <v>0</v>
      </c>
      <c r="C629">
        <f t="shared" si="74"/>
        <v>0</v>
      </c>
      <c r="D629">
        <f t="shared" si="75"/>
        <v>185</v>
      </c>
      <c r="E629">
        <f t="shared" si="76"/>
        <v>0</v>
      </c>
      <c r="F629">
        <f t="shared" si="77"/>
        <v>0</v>
      </c>
      <c r="G629">
        <f t="shared" si="78"/>
        <v>20</v>
      </c>
      <c r="H629">
        <f t="shared" si="79"/>
        <v>20</v>
      </c>
      <c r="I629" t="str">
        <f t="shared" si="80"/>
        <v>SPRITE_ID_NEW_TRAIN</v>
      </c>
      <c r="U629"/>
      <c r="V629"/>
      <c r="W629"/>
    </row>
    <row r="630" spans="1:23">
      <c r="A630" s="2" t="s">
        <v>653</v>
      </c>
      <c r="B630">
        <f t="shared" si="73"/>
        <v>0</v>
      </c>
      <c r="C630">
        <f t="shared" si="74"/>
        <v>0</v>
      </c>
      <c r="D630">
        <f t="shared" si="75"/>
        <v>185</v>
      </c>
      <c r="E630">
        <f t="shared" si="76"/>
        <v>0</v>
      </c>
      <c r="F630">
        <f t="shared" si="77"/>
        <v>0</v>
      </c>
      <c r="G630">
        <f t="shared" si="78"/>
        <v>20</v>
      </c>
      <c r="H630">
        <f t="shared" si="79"/>
        <v>20</v>
      </c>
      <c r="I630" t="str">
        <f t="shared" si="80"/>
        <v>SPRITE_ID_NEW_TRAIN</v>
      </c>
      <c r="U630"/>
      <c r="V630"/>
      <c r="W630"/>
    </row>
    <row r="631" spans="1:23">
      <c r="A631" s="2" t="s">
        <v>654</v>
      </c>
      <c r="B631">
        <f t="shared" si="73"/>
        <v>0</v>
      </c>
      <c r="C631">
        <f t="shared" si="74"/>
        <v>0</v>
      </c>
      <c r="D631">
        <f t="shared" si="75"/>
        <v>185</v>
      </c>
      <c r="E631">
        <f t="shared" si="76"/>
        <v>0</v>
      </c>
      <c r="F631">
        <f t="shared" si="77"/>
        <v>0</v>
      </c>
      <c r="G631">
        <f t="shared" si="78"/>
        <v>20</v>
      </c>
      <c r="H631">
        <f t="shared" si="79"/>
        <v>20</v>
      </c>
      <c r="I631" t="str">
        <f t="shared" si="80"/>
        <v>SPRITE_ID_NEW_TRAIN</v>
      </c>
      <c r="U631"/>
      <c r="V631"/>
      <c r="W631"/>
    </row>
    <row r="632" spans="1:23">
      <c r="A632" s="2" t="s">
        <v>655</v>
      </c>
      <c r="B632">
        <f t="shared" si="73"/>
        <v>0</v>
      </c>
      <c r="C632">
        <f t="shared" si="74"/>
        <v>0</v>
      </c>
      <c r="D632">
        <f t="shared" si="75"/>
        <v>185</v>
      </c>
      <c r="E632">
        <f t="shared" si="76"/>
        <v>0</v>
      </c>
      <c r="F632">
        <f t="shared" si="77"/>
        <v>0</v>
      </c>
      <c r="G632">
        <f t="shared" si="78"/>
        <v>20</v>
      </c>
      <c r="H632">
        <f t="shared" si="79"/>
        <v>20</v>
      </c>
      <c r="I632" t="str">
        <f t="shared" si="80"/>
        <v>SPRITE_ID_NEW_TRAIN</v>
      </c>
      <c r="U632"/>
      <c r="V632"/>
      <c r="W632"/>
    </row>
    <row r="633" spans="1:23">
      <c r="A633" s="2" t="s">
        <v>656</v>
      </c>
      <c r="B633">
        <f t="shared" si="73"/>
        <v>0</v>
      </c>
      <c r="C633">
        <f t="shared" si="74"/>
        <v>0</v>
      </c>
      <c r="D633">
        <f t="shared" si="75"/>
        <v>185</v>
      </c>
      <c r="E633">
        <f t="shared" si="76"/>
        <v>0</v>
      </c>
      <c r="F633">
        <f t="shared" si="77"/>
        <v>0</v>
      </c>
      <c r="G633">
        <f t="shared" si="78"/>
        <v>20</v>
      </c>
      <c r="H633">
        <f t="shared" si="79"/>
        <v>20</v>
      </c>
      <c r="I633" t="str">
        <f t="shared" si="80"/>
        <v>SPRITE_ID_NEW_TRAIN</v>
      </c>
      <c r="U633"/>
      <c r="V633"/>
      <c r="W633"/>
    </row>
    <row r="634" spans="1:23">
      <c r="A634" s="2" t="s">
        <v>657</v>
      </c>
      <c r="B634">
        <f t="shared" si="73"/>
        <v>0</v>
      </c>
      <c r="C634">
        <f t="shared" si="74"/>
        <v>0</v>
      </c>
      <c r="D634">
        <f t="shared" si="75"/>
        <v>185</v>
      </c>
      <c r="E634">
        <f t="shared" si="76"/>
        <v>0</v>
      </c>
      <c r="F634">
        <f t="shared" si="77"/>
        <v>0</v>
      </c>
      <c r="G634">
        <f t="shared" si="78"/>
        <v>20</v>
      </c>
      <c r="H634">
        <f t="shared" si="79"/>
        <v>20</v>
      </c>
      <c r="I634" t="str">
        <f t="shared" si="80"/>
        <v>SPRITE_ID_NEW_TRAIN</v>
      </c>
      <c r="U634"/>
      <c r="V634"/>
      <c r="W634"/>
    </row>
    <row r="635" spans="1:23">
      <c r="A635" s="2" t="s">
        <v>658</v>
      </c>
      <c r="B635">
        <f t="shared" si="73"/>
        <v>0</v>
      </c>
      <c r="C635">
        <f t="shared" si="74"/>
        <v>0</v>
      </c>
      <c r="D635">
        <f t="shared" si="75"/>
        <v>185</v>
      </c>
      <c r="E635">
        <f t="shared" si="76"/>
        <v>0</v>
      </c>
      <c r="F635">
        <f t="shared" si="77"/>
        <v>0</v>
      </c>
      <c r="G635">
        <f t="shared" si="78"/>
        <v>20</v>
      </c>
      <c r="H635">
        <f t="shared" si="79"/>
        <v>20</v>
      </c>
      <c r="I635" t="str">
        <f t="shared" si="80"/>
        <v>SPRITE_ID_NEW_TRAIN</v>
      </c>
      <c r="U635"/>
      <c r="V635"/>
      <c r="W635"/>
    </row>
    <row r="636" spans="1:23">
      <c r="A636" s="2" t="s">
        <v>659</v>
      </c>
      <c r="B636">
        <f t="shared" si="73"/>
        <v>0</v>
      </c>
      <c r="C636">
        <f t="shared" si="74"/>
        <v>0</v>
      </c>
      <c r="D636">
        <f t="shared" si="75"/>
        <v>185</v>
      </c>
      <c r="E636">
        <f t="shared" si="76"/>
        <v>0</v>
      </c>
      <c r="F636">
        <f t="shared" si="77"/>
        <v>0</v>
      </c>
      <c r="G636">
        <f t="shared" si="78"/>
        <v>20</v>
      </c>
      <c r="H636">
        <f t="shared" si="79"/>
        <v>20</v>
      </c>
      <c r="I636" t="str">
        <f t="shared" si="80"/>
        <v>SPRITE_ID_NEW_TRAIN</v>
      </c>
      <c r="U636"/>
      <c r="V636"/>
      <c r="W636"/>
    </row>
    <row r="637" spans="1:23">
      <c r="A637" s="2" t="s">
        <v>660</v>
      </c>
      <c r="B637">
        <f t="shared" si="73"/>
        <v>0</v>
      </c>
      <c r="C637">
        <f t="shared" si="74"/>
        <v>0</v>
      </c>
      <c r="D637">
        <f t="shared" si="75"/>
        <v>185</v>
      </c>
      <c r="E637">
        <f t="shared" si="76"/>
        <v>0</v>
      </c>
      <c r="F637">
        <f t="shared" si="77"/>
        <v>0</v>
      </c>
      <c r="G637">
        <f t="shared" si="78"/>
        <v>20</v>
      </c>
      <c r="H637">
        <f t="shared" si="79"/>
        <v>20</v>
      </c>
      <c r="I637" t="str">
        <f t="shared" si="80"/>
        <v>SPRITE_ID_NEW_TRAIN</v>
      </c>
      <c r="U637"/>
      <c r="V637"/>
      <c r="W637"/>
    </row>
    <row r="638" spans="1:23">
      <c r="A638" s="2" t="s">
        <v>661</v>
      </c>
      <c r="B638">
        <f t="shared" si="73"/>
        <v>0</v>
      </c>
      <c r="C638">
        <f t="shared" si="74"/>
        <v>0</v>
      </c>
      <c r="D638">
        <f t="shared" si="75"/>
        <v>185</v>
      </c>
      <c r="E638">
        <f t="shared" si="76"/>
        <v>0</v>
      </c>
      <c r="F638">
        <f t="shared" si="77"/>
        <v>0</v>
      </c>
      <c r="G638">
        <f t="shared" si="78"/>
        <v>20</v>
      </c>
      <c r="H638">
        <f t="shared" si="79"/>
        <v>20</v>
      </c>
      <c r="I638" t="str">
        <f t="shared" si="80"/>
        <v>SPRITE_ID_NEW_TRAIN</v>
      </c>
      <c r="U638"/>
      <c r="V638"/>
      <c r="W638"/>
    </row>
    <row r="639" spans="1:23">
      <c r="A639" s="2" t="s">
        <v>662</v>
      </c>
      <c r="B639">
        <f t="shared" si="73"/>
        <v>0</v>
      </c>
      <c r="C639">
        <f t="shared" si="74"/>
        <v>0</v>
      </c>
      <c r="D639">
        <f t="shared" si="75"/>
        <v>185</v>
      </c>
      <c r="E639">
        <f t="shared" si="76"/>
        <v>0</v>
      </c>
      <c r="F639">
        <f t="shared" si="77"/>
        <v>0</v>
      </c>
      <c r="G639">
        <f t="shared" si="78"/>
        <v>20</v>
      </c>
      <c r="H639">
        <f t="shared" si="79"/>
        <v>20</v>
      </c>
      <c r="I639" t="str">
        <f t="shared" si="80"/>
        <v>SPRITE_ID_NEW_TRAIN</v>
      </c>
      <c r="U639"/>
      <c r="V639"/>
      <c r="W639"/>
    </row>
    <row r="640" spans="1:23">
      <c r="A640" s="2" t="s">
        <v>663</v>
      </c>
      <c r="B640">
        <f t="shared" si="73"/>
        <v>0</v>
      </c>
      <c r="C640">
        <f t="shared" si="74"/>
        <v>0</v>
      </c>
      <c r="D640">
        <f t="shared" si="75"/>
        <v>185</v>
      </c>
      <c r="E640">
        <f t="shared" si="76"/>
        <v>0</v>
      </c>
      <c r="F640">
        <f t="shared" si="77"/>
        <v>0</v>
      </c>
      <c r="G640">
        <f t="shared" si="78"/>
        <v>20</v>
      </c>
      <c r="H640">
        <f t="shared" si="79"/>
        <v>20</v>
      </c>
      <c r="I640" t="str">
        <f t="shared" si="80"/>
        <v>SPRITE_ID_NEW_TRAIN</v>
      </c>
      <c r="U640"/>
      <c r="V640"/>
      <c r="W640"/>
    </row>
    <row r="641" spans="1:23">
      <c r="A641" s="2" t="s">
        <v>664</v>
      </c>
      <c r="B641">
        <f t="shared" si="73"/>
        <v>0</v>
      </c>
      <c r="C641">
        <f t="shared" si="74"/>
        <v>0</v>
      </c>
      <c r="D641">
        <f t="shared" si="75"/>
        <v>185</v>
      </c>
      <c r="E641">
        <f t="shared" si="76"/>
        <v>0</v>
      </c>
      <c r="F641">
        <f t="shared" si="77"/>
        <v>0</v>
      </c>
      <c r="G641">
        <f t="shared" si="78"/>
        <v>20</v>
      </c>
      <c r="H641">
        <f t="shared" si="79"/>
        <v>20</v>
      </c>
      <c r="I641" t="str">
        <f t="shared" si="80"/>
        <v>SPRITE_ID_NEW_TRAIN</v>
      </c>
      <c r="U641"/>
      <c r="V641"/>
      <c r="W641"/>
    </row>
    <row r="642" spans="1:23">
      <c r="A642" s="2" t="s">
        <v>665</v>
      </c>
      <c r="B642">
        <f t="shared" si="73"/>
        <v>0</v>
      </c>
      <c r="C642">
        <f t="shared" si="74"/>
        <v>0</v>
      </c>
      <c r="D642">
        <f t="shared" si="75"/>
        <v>185</v>
      </c>
      <c r="E642">
        <f t="shared" si="76"/>
        <v>0</v>
      </c>
      <c r="F642">
        <f t="shared" si="77"/>
        <v>0</v>
      </c>
      <c r="G642">
        <f t="shared" si="78"/>
        <v>20</v>
      </c>
      <c r="H642">
        <f t="shared" si="79"/>
        <v>20</v>
      </c>
      <c r="I642" t="str">
        <f t="shared" si="80"/>
        <v>SPRITE_ID_NEW_TRAIN</v>
      </c>
      <c r="U642"/>
      <c r="V642"/>
      <c r="W642"/>
    </row>
    <row r="643" spans="1:23">
      <c r="A643" s="2" t="s">
        <v>666</v>
      </c>
      <c r="B643">
        <f t="shared" si="73"/>
        <v>0</v>
      </c>
      <c r="C643">
        <f t="shared" si="74"/>
        <v>0</v>
      </c>
      <c r="D643">
        <f t="shared" si="75"/>
        <v>185</v>
      </c>
      <c r="E643">
        <f t="shared" si="76"/>
        <v>0</v>
      </c>
      <c r="F643">
        <f t="shared" si="77"/>
        <v>0</v>
      </c>
      <c r="G643">
        <f t="shared" si="78"/>
        <v>20</v>
      </c>
      <c r="H643">
        <f t="shared" si="79"/>
        <v>20</v>
      </c>
      <c r="I643" t="str">
        <f t="shared" si="80"/>
        <v>SPRITE_ID_NEW_TRAIN</v>
      </c>
      <c r="U643"/>
      <c r="V643"/>
      <c r="W643"/>
    </row>
    <row r="644" spans="1:23">
      <c r="A644" s="2" t="s">
        <v>667</v>
      </c>
      <c r="B644">
        <f t="shared" ref="B644:B707" si="81">B643</f>
        <v>0</v>
      </c>
      <c r="C644">
        <f t="shared" ref="C644:C707" si="82">C643</f>
        <v>0</v>
      </c>
      <c r="D644">
        <f t="shared" ref="D644:D707" si="83">D643</f>
        <v>185</v>
      </c>
      <c r="E644">
        <f t="shared" ref="E644:E707" si="84">E643</f>
        <v>0</v>
      </c>
      <c r="F644">
        <f t="shared" ref="F644:F707" si="85">F643</f>
        <v>0</v>
      </c>
      <c r="G644">
        <f t="shared" ref="G644:G707" si="86">G643</f>
        <v>20</v>
      </c>
      <c r="H644">
        <f t="shared" ref="H644:H707" si="87">H643</f>
        <v>20</v>
      </c>
      <c r="I644" t="str">
        <f t="shared" ref="I644:I707" si="88">I643</f>
        <v>SPRITE_ID_NEW_TRAIN</v>
      </c>
      <c r="U644"/>
      <c r="V644"/>
      <c r="W644"/>
    </row>
    <row r="645" spans="1:23">
      <c r="A645" s="2" t="s">
        <v>668</v>
      </c>
      <c r="B645">
        <f t="shared" si="81"/>
        <v>0</v>
      </c>
      <c r="C645">
        <f t="shared" si="82"/>
        <v>0</v>
      </c>
      <c r="D645">
        <f t="shared" si="83"/>
        <v>185</v>
      </c>
      <c r="E645">
        <f t="shared" si="84"/>
        <v>0</v>
      </c>
      <c r="F645">
        <f t="shared" si="85"/>
        <v>0</v>
      </c>
      <c r="G645">
        <f t="shared" si="86"/>
        <v>20</v>
      </c>
      <c r="H645">
        <f t="shared" si="87"/>
        <v>20</v>
      </c>
      <c r="I645" t="str">
        <f t="shared" si="88"/>
        <v>SPRITE_ID_NEW_TRAIN</v>
      </c>
      <c r="U645"/>
      <c r="V645"/>
      <c r="W645"/>
    </row>
    <row r="646" spans="1:23">
      <c r="A646" s="2" t="s">
        <v>669</v>
      </c>
      <c r="B646">
        <f t="shared" si="81"/>
        <v>0</v>
      </c>
      <c r="C646">
        <f t="shared" si="82"/>
        <v>0</v>
      </c>
      <c r="D646">
        <f t="shared" si="83"/>
        <v>185</v>
      </c>
      <c r="E646">
        <f t="shared" si="84"/>
        <v>0</v>
      </c>
      <c r="F646">
        <f t="shared" si="85"/>
        <v>0</v>
      </c>
      <c r="G646">
        <f t="shared" si="86"/>
        <v>20</v>
      </c>
      <c r="H646">
        <f t="shared" si="87"/>
        <v>20</v>
      </c>
      <c r="I646" t="str">
        <f t="shared" si="88"/>
        <v>SPRITE_ID_NEW_TRAIN</v>
      </c>
      <c r="U646"/>
      <c r="V646"/>
      <c r="W646"/>
    </row>
    <row r="647" spans="1:23">
      <c r="A647" s="2" t="s">
        <v>670</v>
      </c>
      <c r="B647">
        <f t="shared" si="81"/>
        <v>0</v>
      </c>
      <c r="C647">
        <f t="shared" si="82"/>
        <v>0</v>
      </c>
      <c r="D647">
        <f t="shared" si="83"/>
        <v>185</v>
      </c>
      <c r="E647">
        <f t="shared" si="84"/>
        <v>0</v>
      </c>
      <c r="F647">
        <f t="shared" si="85"/>
        <v>0</v>
      </c>
      <c r="G647">
        <f t="shared" si="86"/>
        <v>20</v>
      </c>
      <c r="H647">
        <f t="shared" si="87"/>
        <v>20</v>
      </c>
      <c r="I647" t="str">
        <f t="shared" si="88"/>
        <v>SPRITE_ID_NEW_TRAIN</v>
      </c>
      <c r="U647"/>
      <c r="V647"/>
      <c r="W647"/>
    </row>
    <row r="648" spans="1:23">
      <c r="A648" s="2" t="s">
        <v>671</v>
      </c>
      <c r="B648">
        <f t="shared" si="81"/>
        <v>0</v>
      </c>
      <c r="C648">
        <f t="shared" si="82"/>
        <v>0</v>
      </c>
      <c r="D648">
        <f t="shared" si="83"/>
        <v>185</v>
      </c>
      <c r="E648">
        <f t="shared" si="84"/>
        <v>0</v>
      </c>
      <c r="F648">
        <f t="shared" si="85"/>
        <v>0</v>
      </c>
      <c r="G648">
        <f t="shared" si="86"/>
        <v>20</v>
      </c>
      <c r="H648">
        <f t="shared" si="87"/>
        <v>20</v>
      </c>
      <c r="I648" t="str">
        <f t="shared" si="88"/>
        <v>SPRITE_ID_NEW_TRAIN</v>
      </c>
      <c r="U648"/>
      <c r="V648"/>
      <c r="W648"/>
    </row>
    <row r="649" spans="1:23">
      <c r="A649" s="2" t="s">
        <v>754</v>
      </c>
      <c r="B649">
        <f t="shared" si="81"/>
        <v>0</v>
      </c>
      <c r="C649">
        <f t="shared" si="82"/>
        <v>0</v>
      </c>
      <c r="D649">
        <f t="shared" si="83"/>
        <v>185</v>
      </c>
      <c r="E649">
        <f t="shared" si="84"/>
        <v>0</v>
      </c>
      <c r="F649">
        <f t="shared" si="85"/>
        <v>0</v>
      </c>
      <c r="G649">
        <f t="shared" si="86"/>
        <v>20</v>
      </c>
      <c r="H649">
        <f t="shared" si="87"/>
        <v>20</v>
      </c>
      <c r="I649" t="str">
        <f t="shared" si="88"/>
        <v>SPRITE_ID_NEW_TRAIN</v>
      </c>
      <c r="U649"/>
      <c r="V649"/>
      <c r="W649"/>
    </row>
    <row r="650" spans="1:23">
      <c r="A650" s="2" t="s">
        <v>753</v>
      </c>
      <c r="B650">
        <f t="shared" si="81"/>
        <v>0</v>
      </c>
      <c r="C650">
        <f t="shared" si="82"/>
        <v>0</v>
      </c>
      <c r="D650">
        <f t="shared" si="83"/>
        <v>185</v>
      </c>
      <c r="E650">
        <f t="shared" si="84"/>
        <v>0</v>
      </c>
      <c r="F650">
        <f t="shared" si="85"/>
        <v>0</v>
      </c>
      <c r="G650">
        <f t="shared" si="86"/>
        <v>20</v>
      </c>
      <c r="H650">
        <f t="shared" si="87"/>
        <v>20</v>
      </c>
      <c r="I650" t="str">
        <f t="shared" si="88"/>
        <v>SPRITE_ID_NEW_TRAIN</v>
      </c>
      <c r="U650"/>
      <c r="V650"/>
      <c r="W650"/>
    </row>
    <row r="651" spans="1:23">
      <c r="A651" s="2" t="s">
        <v>755</v>
      </c>
      <c r="B651">
        <f t="shared" si="81"/>
        <v>0</v>
      </c>
      <c r="C651">
        <f t="shared" si="82"/>
        <v>0</v>
      </c>
      <c r="D651">
        <f t="shared" si="83"/>
        <v>185</v>
      </c>
      <c r="E651">
        <f t="shared" si="84"/>
        <v>0</v>
      </c>
      <c r="F651">
        <f t="shared" si="85"/>
        <v>0</v>
      </c>
      <c r="G651">
        <f t="shared" si="86"/>
        <v>20</v>
      </c>
      <c r="H651">
        <f t="shared" si="87"/>
        <v>20</v>
      </c>
      <c r="I651" t="str">
        <f t="shared" si="88"/>
        <v>SPRITE_ID_NEW_TRAIN</v>
      </c>
      <c r="U651"/>
      <c r="V651"/>
      <c r="W651"/>
    </row>
    <row r="652" spans="1:23">
      <c r="A652" s="2" t="s">
        <v>756</v>
      </c>
      <c r="B652">
        <f t="shared" si="81"/>
        <v>0</v>
      </c>
      <c r="C652">
        <f t="shared" si="82"/>
        <v>0</v>
      </c>
      <c r="D652">
        <f t="shared" si="83"/>
        <v>185</v>
      </c>
      <c r="E652">
        <f t="shared" si="84"/>
        <v>0</v>
      </c>
      <c r="F652">
        <f t="shared" si="85"/>
        <v>0</v>
      </c>
      <c r="G652">
        <f t="shared" si="86"/>
        <v>20</v>
      </c>
      <c r="H652">
        <f t="shared" si="87"/>
        <v>20</v>
      </c>
      <c r="I652" t="str">
        <f t="shared" si="88"/>
        <v>SPRITE_ID_NEW_TRAIN</v>
      </c>
      <c r="U652"/>
      <c r="V652"/>
      <c r="W652"/>
    </row>
    <row r="653" spans="1:23">
      <c r="A653" s="2" t="s">
        <v>757</v>
      </c>
      <c r="B653">
        <f t="shared" si="81"/>
        <v>0</v>
      </c>
      <c r="C653">
        <f t="shared" si="82"/>
        <v>0</v>
      </c>
      <c r="D653">
        <f t="shared" si="83"/>
        <v>185</v>
      </c>
      <c r="E653">
        <f t="shared" si="84"/>
        <v>0</v>
      </c>
      <c r="F653">
        <f t="shared" si="85"/>
        <v>0</v>
      </c>
      <c r="G653">
        <f t="shared" si="86"/>
        <v>20</v>
      </c>
      <c r="H653">
        <f t="shared" si="87"/>
        <v>20</v>
      </c>
      <c r="I653" t="str">
        <f t="shared" si="88"/>
        <v>SPRITE_ID_NEW_TRAIN</v>
      </c>
      <c r="U653"/>
      <c r="V653"/>
      <c r="W653"/>
    </row>
    <row r="654" spans="1:23">
      <c r="A654" s="2" t="s">
        <v>758</v>
      </c>
      <c r="B654">
        <f t="shared" si="81"/>
        <v>0</v>
      </c>
      <c r="C654">
        <f t="shared" si="82"/>
        <v>0</v>
      </c>
      <c r="D654">
        <f t="shared" si="83"/>
        <v>185</v>
      </c>
      <c r="E654">
        <f t="shared" si="84"/>
        <v>0</v>
      </c>
      <c r="F654">
        <f t="shared" si="85"/>
        <v>0</v>
      </c>
      <c r="G654">
        <f t="shared" si="86"/>
        <v>20</v>
      </c>
      <c r="H654">
        <f t="shared" si="87"/>
        <v>20</v>
      </c>
      <c r="I654" t="str">
        <f t="shared" si="88"/>
        <v>SPRITE_ID_NEW_TRAIN</v>
      </c>
      <c r="U654"/>
      <c r="V654"/>
      <c r="W654"/>
    </row>
    <row r="655" spans="1:23">
      <c r="A655" s="2" t="s">
        <v>760</v>
      </c>
      <c r="B655">
        <f t="shared" si="81"/>
        <v>0</v>
      </c>
      <c r="C655">
        <f t="shared" si="82"/>
        <v>0</v>
      </c>
      <c r="D655">
        <f t="shared" si="83"/>
        <v>185</v>
      </c>
      <c r="E655">
        <f t="shared" si="84"/>
        <v>0</v>
      </c>
      <c r="F655">
        <f t="shared" si="85"/>
        <v>0</v>
      </c>
      <c r="G655">
        <f t="shared" si="86"/>
        <v>20</v>
      </c>
      <c r="H655">
        <f t="shared" si="87"/>
        <v>20</v>
      </c>
      <c r="I655" t="str">
        <f t="shared" si="88"/>
        <v>SPRITE_ID_NEW_TRAIN</v>
      </c>
      <c r="U655"/>
      <c r="V655"/>
      <c r="W655"/>
    </row>
    <row r="656" spans="1:23">
      <c r="A656" s="2" t="s">
        <v>761</v>
      </c>
      <c r="B656">
        <f t="shared" si="81"/>
        <v>0</v>
      </c>
      <c r="C656">
        <f t="shared" si="82"/>
        <v>0</v>
      </c>
      <c r="D656">
        <f t="shared" si="83"/>
        <v>185</v>
      </c>
      <c r="E656">
        <f t="shared" si="84"/>
        <v>0</v>
      </c>
      <c r="F656">
        <f t="shared" si="85"/>
        <v>0</v>
      </c>
      <c r="G656">
        <f t="shared" si="86"/>
        <v>20</v>
      </c>
      <c r="H656">
        <f t="shared" si="87"/>
        <v>20</v>
      </c>
      <c r="I656" t="str">
        <f t="shared" si="88"/>
        <v>SPRITE_ID_NEW_TRAIN</v>
      </c>
      <c r="U656"/>
      <c r="V656"/>
      <c r="W656"/>
    </row>
    <row r="657" spans="1:23">
      <c r="A657" s="2" t="s">
        <v>762</v>
      </c>
      <c r="B657">
        <f t="shared" si="81"/>
        <v>0</v>
      </c>
      <c r="C657">
        <f t="shared" si="82"/>
        <v>0</v>
      </c>
      <c r="D657">
        <f t="shared" si="83"/>
        <v>185</v>
      </c>
      <c r="E657">
        <f t="shared" si="84"/>
        <v>0</v>
      </c>
      <c r="F657">
        <f t="shared" si="85"/>
        <v>0</v>
      </c>
      <c r="G657">
        <f t="shared" si="86"/>
        <v>20</v>
      </c>
      <c r="H657">
        <f t="shared" si="87"/>
        <v>20</v>
      </c>
      <c r="I657" t="str">
        <f t="shared" si="88"/>
        <v>SPRITE_ID_NEW_TRAIN</v>
      </c>
      <c r="U657"/>
      <c r="V657"/>
      <c r="W657"/>
    </row>
    <row r="658" spans="1:23">
      <c r="A658" s="2" t="s">
        <v>763</v>
      </c>
      <c r="B658">
        <f t="shared" si="81"/>
        <v>0</v>
      </c>
      <c r="C658">
        <f t="shared" si="82"/>
        <v>0</v>
      </c>
      <c r="D658">
        <f t="shared" si="83"/>
        <v>185</v>
      </c>
      <c r="E658">
        <f t="shared" si="84"/>
        <v>0</v>
      </c>
      <c r="F658">
        <f t="shared" si="85"/>
        <v>0</v>
      </c>
      <c r="G658">
        <f t="shared" si="86"/>
        <v>20</v>
      </c>
      <c r="H658">
        <f t="shared" si="87"/>
        <v>20</v>
      </c>
      <c r="I658" t="str">
        <f t="shared" si="88"/>
        <v>SPRITE_ID_NEW_TRAIN</v>
      </c>
      <c r="U658"/>
      <c r="V658"/>
      <c r="W658"/>
    </row>
    <row r="659" spans="1:23">
      <c r="A659" s="2" t="s">
        <v>835</v>
      </c>
      <c r="B659">
        <f t="shared" si="81"/>
        <v>0</v>
      </c>
      <c r="C659">
        <f t="shared" si="82"/>
        <v>0</v>
      </c>
      <c r="D659">
        <f t="shared" si="83"/>
        <v>185</v>
      </c>
      <c r="E659">
        <f t="shared" si="84"/>
        <v>0</v>
      </c>
      <c r="F659">
        <f t="shared" si="85"/>
        <v>0</v>
      </c>
      <c r="G659">
        <f t="shared" si="86"/>
        <v>20</v>
      </c>
      <c r="H659">
        <f t="shared" si="87"/>
        <v>20</v>
      </c>
      <c r="I659" t="str">
        <f t="shared" si="88"/>
        <v>SPRITE_ID_NEW_TRAIN</v>
      </c>
      <c r="U659"/>
      <c r="V659"/>
      <c r="W659"/>
    </row>
    <row r="660" spans="1:23">
      <c r="A660" s="2" t="s">
        <v>836</v>
      </c>
      <c r="B660">
        <f t="shared" si="81"/>
        <v>0</v>
      </c>
      <c r="C660">
        <f t="shared" si="82"/>
        <v>0</v>
      </c>
      <c r="D660">
        <f t="shared" si="83"/>
        <v>185</v>
      </c>
      <c r="E660">
        <f t="shared" si="84"/>
        <v>0</v>
      </c>
      <c r="F660">
        <f t="shared" si="85"/>
        <v>0</v>
      </c>
      <c r="G660">
        <f t="shared" si="86"/>
        <v>20</v>
      </c>
      <c r="H660">
        <f t="shared" si="87"/>
        <v>20</v>
      </c>
      <c r="I660" t="str">
        <f t="shared" si="88"/>
        <v>SPRITE_ID_NEW_TRAIN</v>
      </c>
      <c r="U660"/>
      <c r="V660"/>
      <c r="W660"/>
    </row>
    <row r="661" spans="1:23">
      <c r="A661" s="2" t="s">
        <v>837</v>
      </c>
      <c r="B661">
        <f t="shared" si="81"/>
        <v>0</v>
      </c>
      <c r="C661">
        <f t="shared" si="82"/>
        <v>0</v>
      </c>
      <c r="D661">
        <f t="shared" si="83"/>
        <v>185</v>
      </c>
      <c r="E661">
        <f t="shared" si="84"/>
        <v>0</v>
      </c>
      <c r="F661">
        <f t="shared" si="85"/>
        <v>0</v>
      </c>
      <c r="G661">
        <f t="shared" si="86"/>
        <v>20</v>
      </c>
      <c r="H661">
        <f t="shared" si="87"/>
        <v>20</v>
      </c>
      <c r="I661" t="str">
        <f t="shared" si="88"/>
        <v>SPRITE_ID_NEW_TRAIN</v>
      </c>
      <c r="U661"/>
      <c r="V661"/>
      <c r="W661"/>
    </row>
    <row r="662" spans="1:23">
      <c r="A662" s="2" t="s">
        <v>838</v>
      </c>
      <c r="B662">
        <f t="shared" si="81"/>
        <v>0</v>
      </c>
      <c r="C662">
        <f t="shared" si="82"/>
        <v>0</v>
      </c>
      <c r="D662">
        <f t="shared" si="83"/>
        <v>185</v>
      </c>
      <c r="E662">
        <f t="shared" si="84"/>
        <v>0</v>
      </c>
      <c r="F662">
        <f t="shared" si="85"/>
        <v>0</v>
      </c>
      <c r="G662">
        <f t="shared" si="86"/>
        <v>20</v>
      </c>
      <c r="H662">
        <f t="shared" si="87"/>
        <v>20</v>
      </c>
      <c r="I662" t="str">
        <f t="shared" si="88"/>
        <v>SPRITE_ID_NEW_TRAIN</v>
      </c>
      <c r="U662"/>
      <c r="V662"/>
      <c r="W662"/>
    </row>
    <row r="663" spans="1:23">
      <c r="A663" s="2" t="s">
        <v>839</v>
      </c>
      <c r="B663">
        <f t="shared" si="81"/>
        <v>0</v>
      </c>
      <c r="C663">
        <f t="shared" si="82"/>
        <v>0</v>
      </c>
      <c r="D663">
        <f t="shared" si="83"/>
        <v>185</v>
      </c>
      <c r="E663">
        <f t="shared" si="84"/>
        <v>0</v>
      </c>
      <c r="F663">
        <f t="shared" si="85"/>
        <v>0</v>
      </c>
      <c r="G663">
        <f t="shared" si="86"/>
        <v>20</v>
      </c>
      <c r="H663">
        <f t="shared" si="87"/>
        <v>20</v>
      </c>
      <c r="I663" t="str">
        <f t="shared" si="88"/>
        <v>SPRITE_ID_NEW_TRAIN</v>
      </c>
      <c r="U663"/>
      <c r="V663"/>
      <c r="W663"/>
    </row>
    <row r="664" spans="1:23">
      <c r="A664" s="2" t="s">
        <v>840</v>
      </c>
      <c r="B664">
        <f t="shared" si="81"/>
        <v>0</v>
      </c>
      <c r="C664">
        <f t="shared" si="82"/>
        <v>0</v>
      </c>
      <c r="D664">
        <f t="shared" si="83"/>
        <v>185</v>
      </c>
      <c r="E664">
        <f t="shared" si="84"/>
        <v>0</v>
      </c>
      <c r="F664">
        <f t="shared" si="85"/>
        <v>0</v>
      </c>
      <c r="G664">
        <f t="shared" si="86"/>
        <v>20</v>
      </c>
      <c r="H664">
        <f t="shared" si="87"/>
        <v>20</v>
      </c>
      <c r="I664" t="str">
        <f t="shared" si="88"/>
        <v>SPRITE_ID_NEW_TRAIN</v>
      </c>
      <c r="U664"/>
      <c r="V664"/>
      <c r="W664"/>
    </row>
    <row r="665" spans="1:23">
      <c r="A665" s="2" t="s">
        <v>841</v>
      </c>
      <c r="B665">
        <f t="shared" si="81"/>
        <v>0</v>
      </c>
      <c r="C665">
        <f t="shared" si="82"/>
        <v>0</v>
      </c>
      <c r="D665">
        <f t="shared" si="83"/>
        <v>185</v>
      </c>
      <c r="E665">
        <f t="shared" si="84"/>
        <v>0</v>
      </c>
      <c r="F665">
        <f t="shared" si="85"/>
        <v>0</v>
      </c>
      <c r="G665">
        <f t="shared" si="86"/>
        <v>20</v>
      </c>
      <c r="H665">
        <f t="shared" si="87"/>
        <v>20</v>
      </c>
      <c r="I665" t="str">
        <f t="shared" si="88"/>
        <v>SPRITE_ID_NEW_TRAIN</v>
      </c>
      <c r="U665"/>
      <c r="V665"/>
      <c r="W665"/>
    </row>
    <row r="666" spans="1:23">
      <c r="A666" s="2" t="s">
        <v>842</v>
      </c>
      <c r="B666">
        <f t="shared" si="81"/>
        <v>0</v>
      </c>
      <c r="C666">
        <f t="shared" si="82"/>
        <v>0</v>
      </c>
      <c r="D666">
        <f t="shared" si="83"/>
        <v>185</v>
      </c>
      <c r="E666">
        <f t="shared" si="84"/>
        <v>0</v>
      </c>
      <c r="F666">
        <f t="shared" si="85"/>
        <v>0</v>
      </c>
      <c r="G666">
        <f t="shared" si="86"/>
        <v>20</v>
      </c>
      <c r="H666">
        <f t="shared" si="87"/>
        <v>20</v>
      </c>
      <c r="I666" t="str">
        <f t="shared" si="88"/>
        <v>SPRITE_ID_NEW_TRAIN</v>
      </c>
      <c r="U666"/>
      <c r="V666"/>
      <c r="W666"/>
    </row>
    <row r="667" spans="1:23">
      <c r="A667" s="2" t="s">
        <v>843</v>
      </c>
      <c r="B667">
        <f t="shared" si="81"/>
        <v>0</v>
      </c>
      <c r="C667">
        <f t="shared" si="82"/>
        <v>0</v>
      </c>
      <c r="D667">
        <f t="shared" si="83"/>
        <v>185</v>
      </c>
      <c r="E667">
        <f t="shared" si="84"/>
        <v>0</v>
      </c>
      <c r="F667">
        <f t="shared" si="85"/>
        <v>0</v>
      </c>
      <c r="G667">
        <f t="shared" si="86"/>
        <v>20</v>
      </c>
      <c r="H667">
        <f t="shared" si="87"/>
        <v>20</v>
      </c>
      <c r="I667" t="str">
        <f t="shared" si="88"/>
        <v>SPRITE_ID_NEW_TRAIN</v>
      </c>
      <c r="U667"/>
      <c r="V667"/>
      <c r="W667"/>
    </row>
    <row r="668" spans="1:23">
      <c r="A668" s="2" t="s">
        <v>844</v>
      </c>
      <c r="B668">
        <f t="shared" si="81"/>
        <v>0</v>
      </c>
      <c r="C668">
        <f t="shared" si="82"/>
        <v>0</v>
      </c>
      <c r="D668">
        <f t="shared" si="83"/>
        <v>185</v>
      </c>
      <c r="E668">
        <f t="shared" si="84"/>
        <v>0</v>
      </c>
      <c r="F668">
        <f t="shared" si="85"/>
        <v>0</v>
      </c>
      <c r="G668">
        <f t="shared" si="86"/>
        <v>20</v>
      </c>
      <c r="H668">
        <f t="shared" si="87"/>
        <v>20</v>
      </c>
      <c r="I668" t="str">
        <f t="shared" si="88"/>
        <v>SPRITE_ID_NEW_TRAIN</v>
      </c>
      <c r="U668"/>
      <c r="V668"/>
      <c r="W668"/>
    </row>
    <row r="669" spans="1:23">
      <c r="A669" s="2" t="s">
        <v>845</v>
      </c>
      <c r="B669">
        <f t="shared" si="81"/>
        <v>0</v>
      </c>
      <c r="C669">
        <f t="shared" si="82"/>
        <v>0</v>
      </c>
      <c r="D669">
        <f t="shared" si="83"/>
        <v>185</v>
      </c>
      <c r="E669">
        <f t="shared" si="84"/>
        <v>0</v>
      </c>
      <c r="F669">
        <f t="shared" si="85"/>
        <v>0</v>
      </c>
      <c r="G669">
        <f t="shared" si="86"/>
        <v>20</v>
      </c>
      <c r="H669">
        <f t="shared" si="87"/>
        <v>20</v>
      </c>
      <c r="I669" t="str">
        <f t="shared" si="88"/>
        <v>SPRITE_ID_NEW_TRAIN</v>
      </c>
      <c r="U669"/>
      <c r="V669"/>
      <c r="W669"/>
    </row>
    <row r="670" spans="1:23">
      <c r="A670" s="2" t="s">
        <v>846</v>
      </c>
      <c r="B670">
        <f t="shared" si="81"/>
        <v>0</v>
      </c>
      <c r="C670">
        <f t="shared" si="82"/>
        <v>0</v>
      </c>
      <c r="D670">
        <f t="shared" si="83"/>
        <v>185</v>
      </c>
      <c r="E670">
        <f t="shared" si="84"/>
        <v>0</v>
      </c>
      <c r="F670">
        <f t="shared" si="85"/>
        <v>0</v>
      </c>
      <c r="G670">
        <f t="shared" si="86"/>
        <v>20</v>
      </c>
      <c r="H670">
        <f t="shared" si="87"/>
        <v>20</v>
      </c>
      <c r="I670" t="str">
        <f t="shared" si="88"/>
        <v>SPRITE_ID_NEW_TRAIN</v>
      </c>
      <c r="U670"/>
      <c r="V670"/>
      <c r="W670"/>
    </row>
    <row r="671" spans="1:23">
      <c r="A671" s="2" t="s">
        <v>847</v>
      </c>
      <c r="B671">
        <f t="shared" si="81"/>
        <v>0</v>
      </c>
      <c r="C671">
        <f t="shared" si="82"/>
        <v>0</v>
      </c>
      <c r="D671">
        <f t="shared" si="83"/>
        <v>185</v>
      </c>
      <c r="E671">
        <f t="shared" si="84"/>
        <v>0</v>
      </c>
      <c r="F671">
        <f t="shared" si="85"/>
        <v>0</v>
      </c>
      <c r="G671">
        <f t="shared" si="86"/>
        <v>20</v>
      </c>
      <c r="H671">
        <f t="shared" si="87"/>
        <v>20</v>
      </c>
      <c r="I671" t="str">
        <f t="shared" si="88"/>
        <v>SPRITE_ID_NEW_TRAIN</v>
      </c>
      <c r="U671"/>
      <c r="V671"/>
      <c r="W671"/>
    </row>
    <row r="672" spans="1:23">
      <c r="A672" s="2" t="s">
        <v>848</v>
      </c>
      <c r="B672">
        <f t="shared" si="81"/>
        <v>0</v>
      </c>
      <c r="C672">
        <f t="shared" si="82"/>
        <v>0</v>
      </c>
      <c r="D672">
        <f t="shared" si="83"/>
        <v>185</v>
      </c>
      <c r="E672">
        <f t="shared" si="84"/>
        <v>0</v>
      </c>
      <c r="F672">
        <f t="shared" si="85"/>
        <v>0</v>
      </c>
      <c r="G672">
        <f t="shared" si="86"/>
        <v>20</v>
      </c>
      <c r="H672">
        <f t="shared" si="87"/>
        <v>20</v>
      </c>
      <c r="I672" t="str">
        <f t="shared" si="88"/>
        <v>SPRITE_ID_NEW_TRAIN</v>
      </c>
      <c r="U672"/>
      <c r="V672"/>
      <c r="W672"/>
    </row>
    <row r="673" spans="1:23">
      <c r="A673" s="2" t="s">
        <v>849</v>
      </c>
      <c r="B673">
        <f t="shared" si="81"/>
        <v>0</v>
      </c>
      <c r="C673">
        <f t="shared" si="82"/>
        <v>0</v>
      </c>
      <c r="D673">
        <f t="shared" si="83"/>
        <v>185</v>
      </c>
      <c r="E673">
        <f t="shared" si="84"/>
        <v>0</v>
      </c>
      <c r="F673">
        <f t="shared" si="85"/>
        <v>0</v>
      </c>
      <c r="G673">
        <f t="shared" si="86"/>
        <v>20</v>
      </c>
      <c r="H673">
        <f t="shared" si="87"/>
        <v>20</v>
      </c>
      <c r="I673" t="str">
        <f t="shared" si="88"/>
        <v>SPRITE_ID_NEW_TRAIN</v>
      </c>
      <c r="U673"/>
      <c r="V673"/>
      <c r="W673"/>
    </row>
    <row r="674" spans="1:23">
      <c r="A674" s="2" t="s">
        <v>850</v>
      </c>
      <c r="B674">
        <f t="shared" si="81"/>
        <v>0</v>
      </c>
      <c r="C674">
        <f t="shared" si="82"/>
        <v>0</v>
      </c>
      <c r="D674">
        <f t="shared" si="83"/>
        <v>185</v>
      </c>
      <c r="E674">
        <f t="shared" si="84"/>
        <v>0</v>
      </c>
      <c r="F674">
        <f t="shared" si="85"/>
        <v>0</v>
      </c>
      <c r="G674">
        <f t="shared" si="86"/>
        <v>20</v>
      </c>
      <c r="H674">
        <f t="shared" si="87"/>
        <v>20</v>
      </c>
      <c r="I674" t="str">
        <f t="shared" si="88"/>
        <v>SPRITE_ID_NEW_TRAIN</v>
      </c>
      <c r="U674"/>
      <c r="V674"/>
      <c r="W674"/>
    </row>
    <row r="675" spans="1:23">
      <c r="A675" s="2" t="s">
        <v>851</v>
      </c>
      <c r="B675">
        <f t="shared" si="81"/>
        <v>0</v>
      </c>
      <c r="C675">
        <f t="shared" si="82"/>
        <v>0</v>
      </c>
      <c r="D675">
        <f t="shared" si="83"/>
        <v>185</v>
      </c>
      <c r="E675">
        <f t="shared" si="84"/>
        <v>0</v>
      </c>
      <c r="F675">
        <f t="shared" si="85"/>
        <v>0</v>
      </c>
      <c r="G675">
        <f t="shared" si="86"/>
        <v>20</v>
      </c>
      <c r="H675">
        <f t="shared" si="87"/>
        <v>20</v>
      </c>
      <c r="I675" t="str">
        <f t="shared" si="88"/>
        <v>SPRITE_ID_NEW_TRAIN</v>
      </c>
      <c r="U675"/>
      <c r="V675"/>
      <c r="W675"/>
    </row>
    <row r="676" spans="1:23">
      <c r="A676" s="2" t="s">
        <v>852</v>
      </c>
      <c r="B676">
        <f t="shared" si="81"/>
        <v>0</v>
      </c>
      <c r="C676">
        <f t="shared" si="82"/>
        <v>0</v>
      </c>
      <c r="D676">
        <f t="shared" si="83"/>
        <v>185</v>
      </c>
      <c r="E676">
        <f t="shared" si="84"/>
        <v>0</v>
      </c>
      <c r="F676">
        <f t="shared" si="85"/>
        <v>0</v>
      </c>
      <c r="G676">
        <f t="shared" si="86"/>
        <v>20</v>
      </c>
      <c r="H676">
        <f t="shared" si="87"/>
        <v>20</v>
      </c>
      <c r="I676" t="str">
        <f t="shared" si="88"/>
        <v>SPRITE_ID_NEW_TRAIN</v>
      </c>
      <c r="U676"/>
      <c r="V676"/>
      <c r="W676"/>
    </row>
    <row r="677" spans="1:23">
      <c r="A677" s="2" t="s">
        <v>853</v>
      </c>
      <c r="B677">
        <f t="shared" si="81"/>
        <v>0</v>
      </c>
      <c r="C677">
        <f t="shared" si="82"/>
        <v>0</v>
      </c>
      <c r="D677">
        <f t="shared" si="83"/>
        <v>185</v>
      </c>
      <c r="E677">
        <f t="shared" si="84"/>
        <v>0</v>
      </c>
      <c r="F677">
        <f t="shared" si="85"/>
        <v>0</v>
      </c>
      <c r="G677">
        <f t="shared" si="86"/>
        <v>20</v>
      </c>
      <c r="H677">
        <f t="shared" si="87"/>
        <v>20</v>
      </c>
      <c r="I677" t="str">
        <f t="shared" si="88"/>
        <v>SPRITE_ID_NEW_TRAIN</v>
      </c>
      <c r="U677"/>
      <c r="V677"/>
      <c r="W677"/>
    </row>
    <row r="678" spans="1:23">
      <c r="A678" s="2" t="s">
        <v>854</v>
      </c>
      <c r="B678">
        <f t="shared" si="81"/>
        <v>0</v>
      </c>
      <c r="C678">
        <f t="shared" si="82"/>
        <v>0</v>
      </c>
      <c r="D678">
        <f t="shared" si="83"/>
        <v>185</v>
      </c>
      <c r="E678">
        <f t="shared" si="84"/>
        <v>0</v>
      </c>
      <c r="F678">
        <f t="shared" si="85"/>
        <v>0</v>
      </c>
      <c r="G678">
        <f t="shared" si="86"/>
        <v>20</v>
      </c>
      <c r="H678">
        <f t="shared" si="87"/>
        <v>20</v>
      </c>
      <c r="I678" t="str">
        <f t="shared" si="88"/>
        <v>SPRITE_ID_NEW_TRAIN</v>
      </c>
      <c r="U678"/>
      <c r="V678"/>
      <c r="W678"/>
    </row>
    <row r="679" spans="1:23">
      <c r="A679" s="2" t="s">
        <v>855</v>
      </c>
      <c r="B679">
        <f t="shared" si="81"/>
        <v>0</v>
      </c>
      <c r="C679">
        <f t="shared" si="82"/>
        <v>0</v>
      </c>
      <c r="D679">
        <f t="shared" si="83"/>
        <v>185</v>
      </c>
      <c r="E679">
        <f t="shared" si="84"/>
        <v>0</v>
      </c>
      <c r="F679">
        <f t="shared" si="85"/>
        <v>0</v>
      </c>
      <c r="G679">
        <f t="shared" si="86"/>
        <v>20</v>
      </c>
      <c r="H679">
        <f t="shared" si="87"/>
        <v>20</v>
      </c>
      <c r="I679" t="str">
        <f t="shared" si="88"/>
        <v>SPRITE_ID_NEW_TRAIN</v>
      </c>
      <c r="U679"/>
      <c r="V679"/>
      <c r="W679"/>
    </row>
    <row r="680" spans="1:23">
      <c r="A680" s="2" t="s">
        <v>856</v>
      </c>
      <c r="B680">
        <f t="shared" si="81"/>
        <v>0</v>
      </c>
      <c r="C680">
        <f t="shared" si="82"/>
        <v>0</v>
      </c>
      <c r="D680">
        <f t="shared" si="83"/>
        <v>185</v>
      </c>
      <c r="E680">
        <f t="shared" si="84"/>
        <v>0</v>
      </c>
      <c r="F680">
        <f t="shared" si="85"/>
        <v>0</v>
      </c>
      <c r="G680">
        <f t="shared" si="86"/>
        <v>20</v>
      </c>
      <c r="H680">
        <f t="shared" si="87"/>
        <v>20</v>
      </c>
      <c r="I680" t="str">
        <f t="shared" si="88"/>
        <v>SPRITE_ID_NEW_TRAIN</v>
      </c>
      <c r="U680"/>
      <c r="V680"/>
      <c r="W680"/>
    </row>
    <row r="681" spans="1:23">
      <c r="A681" s="2" t="s">
        <v>857</v>
      </c>
      <c r="B681">
        <f t="shared" si="81"/>
        <v>0</v>
      </c>
      <c r="C681">
        <f t="shared" si="82"/>
        <v>0</v>
      </c>
      <c r="D681">
        <f t="shared" si="83"/>
        <v>185</v>
      </c>
      <c r="E681">
        <f t="shared" si="84"/>
        <v>0</v>
      </c>
      <c r="F681">
        <f t="shared" si="85"/>
        <v>0</v>
      </c>
      <c r="G681">
        <f t="shared" si="86"/>
        <v>20</v>
      </c>
      <c r="H681">
        <f t="shared" si="87"/>
        <v>20</v>
      </c>
      <c r="I681" t="str">
        <f t="shared" si="88"/>
        <v>SPRITE_ID_NEW_TRAIN</v>
      </c>
      <c r="U681"/>
      <c r="V681"/>
      <c r="W681"/>
    </row>
    <row r="682" spans="1:23">
      <c r="A682" s="2" t="s">
        <v>858</v>
      </c>
      <c r="B682">
        <f t="shared" si="81"/>
        <v>0</v>
      </c>
      <c r="C682">
        <f t="shared" si="82"/>
        <v>0</v>
      </c>
      <c r="D682">
        <f t="shared" si="83"/>
        <v>185</v>
      </c>
      <c r="E682">
        <f t="shared" si="84"/>
        <v>0</v>
      </c>
      <c r="F682">
        <f t="shared" si="85"/>
        <v>0</v>
      </c>
      <c r="G682">
        <f t="shared" si="86"/>
        <v>20</v>
      </c>
      <c r="H682">
        <f t="shared" si="87"/>
        <v>20</v>
      </c>
      <c r="I682" t="str">
        <f t="shared" si="88"/>
        <v>SPRITE_ID_NEW_TRAIN</v>
      </c>
      <c r="U682"/>
      <c r="V682"/>
      <c r="W682"/>
    </row>
    <row r="683" spans="1:23">
      <c r="A683" s="2" t="s">
        <v>859</v>
      </c>
      <c r="B683">
        <f t="shared" si="81"/>
        <v>0</v>
      </c>
      <c r="C683">
        <f t="shared" si="82"/>
        <v>0</v>
      </c>
      <c r="D683">
        <f t="shared" si="83"/>
        <v>185</v>
      </c>
      <c r="E683">
        <f t="shared" si="84"/>
        <v>0</v>
      </c>
      <c r="F683">
        <f t="shared" si="85"/>
        <v>0</v>
      </c>
      <c r="G683">
        <f t="shared" si="86"/>
        <v>20</v>
      </c>
      <c r="H683">
        <f t="shared" si="87"/>
        <v>20</v>
      </c>
      <c r="I683" t="str">
        <f t="shared" si="88"/>
        <v>SPRITE_ID_NEW_TRAIN</v>
      </c>
      <c r="U683"/>
      <c r="V683"/>
      <c r="W683"/>
    </row>
    <row r="684" spans="1:23">
      <c r="A684" s="2" t="s">
        <v>860</v>
      </c>
      <c r="B684">
        <f t="shared" si="81"/>
        <v>0</v>
      </c>
      <c r="C684">
        <f t="shared" si="82"/>
        <v>0</v>
      </c>
      <c r="D684">
        <f t="shared" si="83"/>
        <v>185</v>
      </c>
      <c r="E684">
        <f t="shared" si="84"/>
        <v>0</v>
      </c>
      <c r="F684">
        <f t="shared" si="85"/>
        <v>0</v>
      </c>
      <c r="G684">
        <f t="shared" si="86"/>
        <v>20</v>
      </c>
      <c r="H684">
        <f t="shared" si="87"/>
        <v>20</v>
      </c>
      <c r="I684" t="str">
        <f t="shared" si="88"/>
        <v>SPRITE_ID_NEW_TRAIN</v>
      </c>
      <c r="U684"/>
      <c r="V684"/>
      <c r="W684"/>
    </row>
    <row r="685" spans="1:23">
      <c r="A685" s="2" t="s">
        <v>861</v>
      </c>
      <c r="B685">
        <f t="shared" si="81"/>
        <v>0</v>
      </c>
      <c r="C685">
        <f t="shared" si="82"/>
        <v>0</v>
      </c>
      <c r="D685">
        <f t="shared" si="83"/>
        <v>185</v>
      </c>
      <c r="E685">
        <f t="shared" si="84"/>
        <v>0</v>
      </c>
      <c r="F685">
        <f t="shared" si="85"/>
        <v>0</v>
      </c>
      <c r="G685">
        <f t="shared" si="86"/>
        <v>20</v>
      </c>
      <c r="H685">
        <f t="shared" si="87"/>
        <v>20</v>
      </c>
      <c r="I685" t="str">
        <f t="shared" si="88"/>
        <v>SPRITE_ID_NEW_TRAIN</v>
      </c>
      <c r="U685"/>
      <c r="V685"/>
      <c r="W685"/>
    </row>
    <row r="686" spans="1:23">
      <c r="A686" s="2" t="s">
        <v>862</v>
      </c>
      <c r="B686">
        <f t="shared" si="81"/>
        <v>0</v>
      </c>
      <c r="C686">
        <f t="shared" si="82"/>
        <v>0</v>
      </c>
      <c r="D686">
        <f t="shared" si="83"/>
        <v>185</v>
      </c>
      <c r="E686">
        <f t="shared" si="84"/>
        <v>0</v>
      </c>
      <c r="F686">
        <f t="shared" si="85"/>
        <v>0</v>
      </c>
      <c r="G686">
        <f t="shared" si="86"/>
        <v>20</v>
      </c>
      <c r="H686">
        <f t="shared" si="87"/>
        <v>20</v>
      </c>
      <c r="I686" t="str">
        <f t="shared" si="88"/>
        <v>SPRITE_ID_NEW_TRAIN</v>
      </c>
      <c r="U686"/>
      <c r="V686"/>
      <c r="W686"/>
    </row>
    <row r="687" spans="1:23">
      <c r="A687" s="2" t="s">
        <v>863</v>
      </c>
      <c r="B687">
        <f t="shared" si="81"/>
        <v>0</v>
      </c>
      <c r="C687">
        <f t="shared" si="82"/>
        <v>0</v>
      </c>
      <c r="D687">
        <f t="shared" si="83"/>
        <v>185</v>
      </c>
      <c r="E687">
        <f t="shared" si="84"/>
        <v>0</v>
      </c>
      <c r="F687">
        <f t="shared" si="85"/>
        <v>0</v>
      </c>
      <c r="G687">
        <f t="shared" si="86"/>
        <v>20</v>
      </c>
      <c r="H687">
        <f t="shared" si="87"/>
        <v>20</v>
      </c>
      <c r="I687" t="str">
        <f t="shared" si="88"/>
        <v>SPRITE_ID_NEW_TRAIN</v>
      </c>
      <c r="U687"/>
      <c r="V687"/>
      <c r="W687"/>
    </row>
    <row r="688" spans="1:23">
      <c r="A688" s="2" t="s">
        <v>864</v>
      </c>
      <c r="B688">
        <f t="shared" si="81"/>
        <v>0</v>
      </c>
      <c r="C688">
        <f t="shared" si="82"/>
        <v>0</v>
      </c>
      <c r="D688">
        <f t="shared" si="83"/>
        <v>185</v>
      </c>
      <c r="E688">
        <f t="shared" si="84"/>
        <v>0</v>
      </c>
      <c r="F688">
        <f t="shared" si="85"/>
        <v>0</v>
      </c>
      <c r="G688">
        <f t="shared" si="86"/>
        <v>20</v>
      </c>
      <c r="H688">
        <f t="shared" si="87"/>
        <v>20</v>
      </c>
      <c r="I688" t="str">
        <f t="shared" si="88"/>
        <v>SPRITE_ID_NEW_TRAIN</v>
      </c>
      <c r="U688"/>
      <c r="V688"/>
      <c r="W688"/>
    </row>
    <row r="689" spans="1:23">
      <c r="A689" s="2" t="s">
        <v>865</v>
      </c>
      <c r="B689">
        <f t="shared" si="81"/>
        <v>0</v>
      </c>
      <c r="C689">
        <f t="shared" si="82"/>
        <v>0</v>
      </c>
      <c r="D689">
        <f t="shared" si="83"/>
        <v>185</v>
      </c>
      <c r="E689">
        <f t="shared" si="84"/>
        <v>0</v>
      </c>
      <c r="F689">
        <f t="shared" si="85"/>
        <v>0</v>
      </c>
      <c r="G689">
        <f t="shared" si="86"/>
        <v>20</v>
      </c>
      <c r="H689">
        <f t="shared" si="87"/>
        <v>20</v>
      </c>
      <c r="I689" t="str">
        <f t="shared" si="88"/>
        <v>SPRITE_ID_NEW_TRAIN</v>
      </c>
      <c r="U689"/>
      <c r="V689"/>
      <c r="W689"/>
    </row>
    <row r="690" spans="1:23">
      <c r="A690" s="2" t="s">
        <v>866</v>
      </c>
      <c r="B690">
        <f t="shared" si="81"/>
        <v>0</v>
      </c>
      <c r="C690">
        <f t="shared" si="82"/>
        <v>0</v>
      </c>
      <c r="D690">
        <f t="shared" si="83"/>
        <v>185</v>
      </c>
      <c r="E690">
        <f t="shared" si="84"/>
        <v>0</v>
      </c>
      <c r="F690">
        <f t="shared" si="85"/>
        <v>0</v>
      </c>
      <c r="G690">
        <f t="shared" si="86"/>
        <v>20</v>
      </c>
      <c r="H690">
        <f t="shared" si="87"/>
        <v>20</v>
      </c>
      <c r="I690" t="str">
        <f t="shared" si="88"/>
        <v>SPRITE_ID_NEW_TRAIN</v>
      </c>
      <c r="U690"/>
      <c r="V690"/>
      <c r="W690"/>
    </row>
    <row r="691" spans="1:23">
      <c r="A691" s="2" t="s">
        <v>867</v>
      </c>
      <c r="B691">
        <f t="shared" si="81"/>
        <v>0</v>
      </c>
      <c r="C691">
        <f t="shared" si="82"/>
        <v>0</v>
      </c>
      <c r="D691">
        <f t="shared" si="83"/>
        <v>185</v>
      </c>
      <c r="E691">
        <f t="shared" si="84"/>
        <v>0</v>
      </c>
      <c r="F691">
        <f t="shared" si="85"/>
        <v>0</v>
      </c>
      <c r="G691">
        <f t="shared" si="86"/>
        <v>20</v>
      </c>
      <c r="H691">
        <f t="shared" si="87"/>
        <v>20</v>
      </c>
      <c r="I691" t="str">
        <f t="shared" si="88"/>
        <v>SPRITE_ID_NEW_TRAIN</v>
      </c>
      <c r="U691"/>
      <c r="V691"/>
      <c r="W691"/>
    </row>
    <row r="692" spans="1:23">
      <c r="A692" s="2" t="s">
        <v>868</v>
      </c>
      <c r="B692">
        <f t="shared" si="81"/>
        <v>0</v>
      </c>
      <c r="C692">
        <f t="shared" si="82"/>
        <v>0</v>
      </c>
      <c r="D692">
        <f t="shared" si="83"/>
        <v>185</v>
      </c>
      <c r="E692">
        <f t="shared" si="84"/>
        <v>0</v>
      </c>
      <c r="F692">
        <f t="shared" si="85"/>
        <v>0</v>
      </c>
      <c r="G692">
        <f t="shared" si="86"/>
        <v>20</v>
      </c>
      <c r="H692">
        <f t="shared" si="87"/>
        <v>20</v>
      </c>
      <c r="I692" t="str">
        <f t="shared" si="88"/>
        <v>SPRITE_ID_NEW_TRAIN</v>
      </c>
      <c r="U692"/>
      <c r="V692"/>
      <c r="W692"/>
    </row>
    <row r="693" spans="1:23">
      <c r="A693" s="2" t="s">
        <v>869</v>
      </c>
      <c r="B693">
        <f t="shared" si="81"/>
        <v>0</v>
      </c>
      <c r="C693">
        <f t="shared" si="82"/>
        <v>0</v>
      </c>
      <c r="D693">
        <f t="shared" si="83"/>
        <v>185</v>
      </c>
      <c r="E693">
        <f t="shared" si="84"/>
        <v>0</v>
      </c>
      <c r="F693">
        <f t="shared" si="85"/>
        <v>0</v>
      </c>
      <c r="G693">
        <f t="shared" si="86"/>
        <v>20</v>
      </c>
      <c r="H693">
        <f t="shared" si="87"/>
        <v>20</v>
      </c>
      <c r="I693" t="str">
        <f t="shared" si="88"/>
        <v>SPRITE_ID_NEW_TRAIN</v>
      </c>
      <c r="U693"/>
      <c r="V693"/>
      <c r="W693"/>
    </row>
    <row r="694" spans="1:23">
      <c r="A694" s="2" t="s">
        <v>870</v>
      </c>
      <c r="B694">
        <f t="shared" si="81"/>
        <v>0</v>
      </c>
      <c r="C694">
        <f t="shared" si="82"/>
        <v>0</v>
      </c>
      <c r="D694">
        <f t="shared" si="83"/>
        <v>185</v>
      </c>
      <c r="E694">
        <f t="shared" si="84"/>
        <v>0</v>
      </c>
      <c r="F694">
        <f t="shared" si="85"/>
        <v>0</v>
      </c>
      <c r="G694">
        <f t="shared" si="86"/>
        <v>20</v>
      </c>
      <c r="H694">
        <f t="shared" si="87"/>
        <v>20</v>
      </c>
      <c r="I694" t="str">
        <f t="shared" si="88"/>
        <v>SPRITE_ID_NEW_TRAIN</v>
      </c>
      <c r="U694"/>
      <c r="V694"/>
      <c r="W694"/>
    </row>
    <row r="695" spans="1:23">
      <c r="A695" s="2" t="s">
        <v>871</v>
      </c>
      <c r="B695">
        <f t="shared" si="81"/>
        <v>0</v>
      </c>
      <c r="C695">
        <f t="shared" si="82"/>
        <v>0</v>
      </c>
      <c r="D695">
        <f t="shared" si="83"/>
        <v>185</v>
      </c>
      <c r="E695">
        <f t="shared" si="84"/>
        <v>0</v>
      </c>
      <c r="F695">
        <f t="shared" si="85"/>
        <v>0</v>
      </c>
      <c r="G695">
        <f t="shared" si="86"/>
        <v>20</v>
      </c>
      <c r="H695">
        <f t="shared" si="87"/>
        <v>20</v>
      </c>
      <c r="I695" t="str">
        <f t="shared" si="88"/>
        <v>SPRITE_ID_NEW_TRAIN</v>
      </c>
      <c r="U695"/>
      <c r="V695"/>
      <c r="W695"/>
    </row>
    <row r="696" spans="1:23">
      <c r="A696" s="2" t="s">
        <v>872</v>
      </c>
      <c r="B696">
        <f t="shared" si="81"/>
        <v>0</v>
      </c>
      <c r="C696">
        <f t="shared" si="82"/>
        <v>0</v>
      </c>
      <c r="D696">
        <f t="shared" si="83"/>
        <v>185</v>
      </c>
      <c r="E696">
        <f t="shared" si="84"/>
        <v>0</v>
      </c>
      <c r="F696">
        <f t="shared" si="85"/>
        <v>0</v>
      </c>
      <c r="G696">
        <f t="shared" si="86"/>
        <v>20</v>
      </c>
      <c r="H696">
        <f t="shared" si="87"/>
        <v>20</v>
      </c>
      <c r="I696" t="str">
        <f t="shared" si="88"/>
        <v>SPRITE_ID_NEW_TRAIN</v>
      </c>
      <c r="U696"/>
      <c r="V696"/>
      <c r="W696"/>
    </row>
    <row r="697" spans="1:23">
      <c r="A697" s="2" t="s">
        <v>873</v>
      </c>
      <c r="B697">
        <f t="shared" si="81"/>
        <v>0</v>
      </c>
      <c r="C697">
        <f t="shared" si="82"/>
        <v>0</v>
      </c>
      <c r="D697">
        <f t="shared" si="83"/>
        <v>185</v>
      </c>
      <c r="E697">
        <f t="shared" si="84"/>
        <v>0</v>
      </c>
      <c r="F697">
        <f t="shared" si="85"/>
        <v>0</v>
      </c>
      <c r="G697">
        <f t="shared" si="86"/>
        <v>20</v>
      </c>
      <c r="H697">
        <f t="shared" si="87"/>
        <v>20</v>
      </c>
      <c r="I697" t="str">
        <f t="shared" si="88"/>
        <v>SPRITE_ID_NEW_TRAIN</v>
      </c>
      <c r="U697"/>
      <c r="V697"/>
      <c r="W697"/>
    </row>
    <row r="698" spans="1:23">
      <c r="A698" s="2" t="s">
        <v>874</v>
      </c>
      <c r="B698">
        <f t="shared" si="81"/>
        <v>0</v>
      </c>
      <c r="C698">
        <f t="shared" si="82"/>
        <v>0</v>
      </c>
      <c r="D698">
        <f t="shared" si="83"/>
        <v>185</v>
      </c>
      <c r="E698">
        <f t="shared" si="84"/>
        <v>0</v>
      </c>
      <c r="F698">
        <f t="shared" si="85"/>
        <v>0</v>
      </c>
      <c r="G698">
        <f t="shared" si="86"/>
        <v>20</v>
      </c>
      <c r="H698">
        <f t="shared" si="87"/>
        <v>20</v>
      </c>
      <c r="I698" t="str">
        <f t="shared" si="88"/>
        <v>SPRITE_ID_NEW_TRAIN</v>
      </c>
      <c r="U698"/>
      <c r="V698"/>
      <c r="W698"/>
    </row>
    <row r="699" spans="1:23">
      <c r="A699" s="2" t="s">
        <v>875</v>
      </c>
      <c r="B699">
        <f t="shared" si="81"/>
        <v>0</v>
      </c>
      <c r="C699">
        <f t="shared" si="82"/>
        <v>0</v>
      </c>
      <c r="D699">
        <f t="shared" si="83"/>
        <v>185</v>
      </c>
      <c r="E699">
        <f t="shared" si="84"/>
        <v>0</v>
      </c>
      <c r="F699">
        <f t="shared" si="85"/>
        <v>0</v>
      </c>
      <c r="G699">
        <f t="shared" si="86"/>
        <v>20</v>
      </c>
      <c r="H699">
        <f t="shared" si="87"/>
        <v>20</v>
      </c>
      <c r="I699" t="str">
        <f t="shared" si="88"/>
        <v>SPRITE_ID_NEW_TRAIN</v>
      </c>
      <c r="U699"/>
      <c r="V699"/>
      <c r="W699"/>
    </row>
    <row r="700" spans="1:23">
      <c r="A700" s="2" t="s">
        <v>876</v>
      </c>
      <c r="B700">
        <f t="shared" si="81"/>
        <v>0</v>
      </c>
      <c r="C700">
        <f t="shared" si="82"/>
        <v>0</v>
      </c>
      <c r="D700">
        <f t="shared" si="83"/>
        <v>185</v>
      </c>
      <c r="E700">
        <f t="shared" si="84"/>
        <v>0</v>
      </c>
      <c r="F700">
        <f t="shared" si="85"/>
        <v>0</v>
      </c>
      <c r="G700">
        <f t="shared" si="86"/>
        <v>20</v>
      </c>
      <c r="H700">
        <f t="shared" si="87"/>
        <v>20</v>
      </c>
      <c r="I700" t="str">
        <f t="shared" si="88"/>
        <v>SPRITE_ID_NEW_TRAIN</v>
      </c>
      <c r="U700"/>
      <c r="V700"/>
      <c r="W700"/>
    </row>
    <row r="701" spans="1:23">
      <c r="A701" s="2" t="s">
        <v>877</v>
      </c>
      <c r="B701">
        <f t="shared" si="81"/>
        <v>0</v>
      </c>
      <c r="C701">
        <f t="shared" si="82"/>
        <v>0</v>
      </c>
      <c r="D701">
        <f t="shared" si="83"/>
        <v>185</v>
      </c>
      <c r="E701">
        <f t="shared" si="84"/>
        <v>0</v>
      </c>
      <c r="F701">
        <f t="shared" si="85"/>
        <v>0</v>
      </c>
      <c r="G701">
        <f t="shared" si="86"/>
        <v>20</v>
      </c>
      <c r="H701">
        <f t="shared" si="87"/>
        <v>20</v>
      </c>
      <c r="I701" t="str">
        <f t="shared" si="88"/>
        <v>SPRITE_ID_NEW_TRAIN</v>
      </c>
      <c r="U701"/>
      <c r="V701"/>
      <c r="W701"/>
    </row>
    <row r="702" spans="1:23">
      <c r="A702" s="2" t="s">
        <v>878</v>
      </c>
      <c r="B702">
        <f t="shared" si="81"/>
        <v>0</v>
      </c>
      <c r="C702">
        <f t="shared" si="82"/>
        <v>0</v>
      </c>
      <c r="D702">
        <f t="shared" si="83"/>
        <v>185</v>
      </c>
      <c r="E702">
        <f t="shared" si="84"/>
        <v>0</v>
      </c>
      <c r="F702">
        <f t="shared" si="85"/>
        <v>0</v>
      </c>
      <c r="G702">
        <f t="shared" si="86"/>
        <v>20</v>
      </c>
      <c r="H702">
        <f t="shared" si="87"/>
        <v>20</v>
      </c>
      <c r="I702" t="str">
        <f t="shared" si="88"/>
        <v>SPRITE_ID_NEW_TRAIN</v>
      </c>
      <c r="U702"/>
      <c r="V702"/>
      <c r="W702"/>
    </row>
    <row r="703" spans="1:23">
      <c r="A703" s="2" t="s">
        <v>879</v>
      </c>
      <c r="B703">
        <f t="shared" si="81"/>
        <v>0</v>
      </c>
      <c r="C703">
        <f t="shared" si="82"/>
        <v>0</v>
      </c>
      <c r="D703">
        <f t="shared" si="83"/>
        <v>185</v>
      </c>
      <c r="E703">
        <f t="shared" si="84"/>
        <v>0</v>
      </c>
      <c r="F703">
        <f t="shared" si="85"/>
        <v>0</v>
      </c>
      <c r="G703">
        <f t="shared" si="86"/>
        <v>20</v>
      </c>
      <c r="H703">
        <f t="shared" si="87"/>
        <v>20</v>
      </c>
      <c r="I703" t="str">
        <f t="shared" si="88"/>
        <v>SPRITE_ID_NEW_TRAIN</v>
      </c>
      <c r="U703"/>
      <c r="V703"/>
      <c r="W703"/>
    </row>
    <row r="704" spans="1:23">
      <c r="A704" s="2" t="s">
        <v>880</v>
      </c>
      <c r="B704">
        <f t="shared" si="81"/>
        <v>0</v>
      </c>
      <c r="C704">
        <f t="shared" si="82"/>
        <v>0</v>
      </c>
      <c r="D704">
        <f t="shared" si="83"/>
        <v>185</v>
      </c>
      <c r="E704">
        <f t="shared" si="84"/>
        <v>0</v>
      </c>
      <c r="F704">
        <f t="shared" si="85"/>
        <v>0</v>
      </c>
      <c r="G704">
        <f t="shared" si="86"/>
        <v>20</v>
      </c>
      <c r="H704">
        <f t="shared" si="87"/>
        <v>20</v>
      </c>
      <c r="I704" t="str">
        <f t="shared" si="88"/>
        <v>SPRITE_ID_NEW_TRAIN</v>
      </c>
      <c r="U704"/>
      <c r="V704"/>
      <c r="W704"/>
    </row>
    <row r="705" spans="1:23">
      <c r="A705" s="2" t="s">
        <v>881</v>
      </c>
      <c r="B705">
        <f t="shared" si="81"/>
        <v>0</v>
      </c>
      <c r="C705">
        <f t="shared" si="82"/>
        <v>0</v>
      </c>
      <c r="D705">
        <f t="shared" si="83"/>
        <v>185</v>
      </c>
      <c r="E705">
        <f t="shared" si="84"/>
        <v>0</v>
      </c>
      <c r="F705">
        <f t="shared" si="85"/>
        <v>0</v>
      </c>
      <c r="G705">
        <f t="shared" si="86"/>
        <v>20</v>
      </c>
      <c r="H705">
        <f t="shared" si="87"/>
        <v>20</v>
      </c>
      <c r="I705" t="str">
        <f t="shared" si="88"/>
        <v>SPRITE_ID_NEW_TRAIN</v>
      </c>
      <c r="U705"/>
      <c r="V705"/>
      <c r="W705"/>
    </row>
    <row r="706" spans="1:23">
      <c r="A706" s="2" t="s">
        <v>882</v>
      </c>
      <c r="B706">
        <f t="shared" si="81"/>
        <v>0</v>
      </c>
      <c r="C706">
        <f t="shared" si="82"/>
        <v>0</v>
      </c>
      <c r="D706">
        <f t="shared" si="83"/>
        <v>185</v>
      </c>
      <c r="E706">
        <f t="shared" si="84"/>
        <v>0</v>
      </c>
      <c r="F706">
        <f t="shared" si="85"/>
        <v>0</v>
      </c>
      <c r="G706">
        <f t="shared" si="86"/>
        <v>20</v>
      </c>
      <c r="H706">
        <f t="shared" si="87"/>
        <v>20</v>
      </c>
      <c r="I706" t="str">
        <f t="shared" si="88"/>
        <v>SPRITE_ID_NEW_TRAIN</v>
      </c>
      <c r="U706"/>
      <c r="V706"/>
      <c r="W706"/>
    </row>
    <row r="707" spans="1:23">
      <c r="A707" s="2" t="s">
        <v>883</v>
      </c>
      <c r="B707">
        <f t="shared" si="81"/>
        <v>0</v>
      </c>
      <c r="C707">
        <f t="shared" si="82"/>
        <v>0</v>
      </c>
      <c r="D707">
        <f t="shared" si="83"/>
        <v>185</v>
      </c>
      <c r="E707">
        <f t="shared" si="84"/>
        <v>0</v>
      </c>
      <c r="F707">
        <f t="shared" si="85"/>
        <v>0</v>
      </c>
      <c r="G707">
        <f t="shared" si="86"/>
        <v>20</v>
      </c>
      <c r="H707">
        <f t="shared" si="87"/>
        <v>20</v>
      </c>
      <c r="I707" t="str">
        <f t="shared" si="88"/>
        <v>SPRITE_ID_NEW_TRAIN</v>
      </c>
      <c r="U707"/>
      <c r="V707"/>
      <c r="W707"/>
    </row>
    <row r="708" spans="1:23">
      <c r="A708" s="2" t="s">
        <v>884</v>
      </c>
      <c r="B708">
        <f t="shared" ref="B708:B771" si="89">B707</f>
        <v>0</v>
      </c>
      <c r="C708">
        <f t="shared" ref="C708:C771" si="90">C707</f>
        <v>0</v>
      </c>
      <c r="D708">
        <f t="shared" ref="D708:D771" si="91">D707</f>
        <v>185</v>
      </c>
      <c r="E708">
        <f t="shared" ref="E708:E771" si="92">E707</f>
        <v>0</v>
      </c>
      <c r="F708">
        <f t="shared" ref="F708:F771" si="93">F707</f>
        <v>0</v>
      </c>
      <c r="G708">
        <f t="shared" ref="G708:G771" si="94">G707</f>
        <v>20</v>
      </c>
      <c r="H708">
        <f t="shared" ref="H708:H771" si="95">H707</f>
        <v>20</v>
      </c>
      <c r="I708" t="str">
        <f t="shared" ref="I708:I771" si="96">I707</f>
        <v>SPRITE_ID_NEW_TRAIN</v>
      </c>
      <c r="U708"/>
      <c r="V708"/>
      <c r="W708"/>
    </row>
    <row r="709" spans="1:23">
      <c r="A709" s="2" t="s">
        <v>885</v>
      </c>
      <c r="B709">
        <f t="shared" si="89"/>
        <v>0</v>
      </c>
      <c r="C709">
        <f t="shared" si="90"/>
        <v>0</v>
      </c>
      <c r="D709">
        <f t="shared" si="91"/>
        <v>185</v>
      </c>
      <c r="E709">
        <f t="shared" si="92"/>
        <v>0</v>
      </c>
      <c r="F709">
        <f t="shared" si="93"/>
        <v>0</v>
      </c>
      <c r="G709">
        <f t="shared" si="94"/>
        <v>20</v>
      </c>
      <c r="H709">
        <f t="shared" si="95"/>
        <v>20</v>
      </c>
      <c r="I709" t="str">
        <f t="shared" si="96"/>
        <v>SPRITE_ID_NEW_TRAIN</v>
      </c>
      <c r="U709"/>
      <c r="V709"/>
      <c r="W709"/>
    </row>
    <row r="710" spans="1:23">
      <c r="A710" s="2" t="s">
        <v>886</v>
      </c>
      <c r="B710">
        <f t="shared" si="89"/>
        <v>0</v>
      </c>
      <c r="C710">
        <f t="shared" si="90"/>
        <v>0</v>
      </c>
      <c r="D710">
        <f t="shared" si="91"/>
        <v>185</v>
      </c>
      <c r="E710">
        <f t="shared" si="92"/>
        <v>0</v>
      </c>
      <c r="F710">
        <f t="shared" si="93"/>
        <v>0</v>
      </c>
      <c r="G710">
        <f t="shared" si="94"/>
        <v>20</v>
      </c>
      <c r="H710">
        <f t="shared" si="95"/>
        <v>20</v>
      </c>
      <c r="I710" t="str">
        <f t="shared" si="96"/>
        <v>SPRITE_ID_NEW_TRAIN</v>
      </c>
      <c r="U710"/>
      <c r="V710"/>
      <c r="W710"/>
    </row>
    <row r="711" spans="1:23">
      <c r="A711" s="2" t="s">
        <v>887</v>
      </c>
      <c r="B711">
        <f t="shared" si="89"/>
        <v>0</v>
      </c>
      <c r="C711">
        <f t="shared" si="90"/>
        <v>0</v>
      </c>
      <c r="D711">
        <f t="shared" si="91"/>
        <v>185</v>
      </c>
      <c r="E711">
        <f t="shared" si="92"/>
        <v>0</v>
      </c>
      <c r="F711">
        <f t="shared" si="93"/>
        <v>0</v>
      </c>
      <c r="G711">
        <f t="shared" si="94"/>
        <v>20</v>
      </c>
      <c r="H711">
        <f t="shared" si="95"/>
        <v>20</v>
      </c>
      <c r="I711" t="str">
        <f t="shared" si="96"/>
        <v>SPRITE_ID_NEW_TRAIN</v>
      </c>
      <c r="U711"/>
      <c r="V711"/>
      <c r="W711"/>
    </row>
    <row r="712" spans="1:23">
      <c r="A712" s="2" t="s">
        <v>888</v>
      </c>
      <c r="B712">
        <f t="shared" si="89"/>
        <v>0</v>
      </c>
      <c r="C712">
        <f t="shared" si="90"/>
        <v>0</v>
      </c>
      <c r="D712">
        <f t="shared" si="91"/>
        <v>185</v>
      </c>
      <c r="E712">
        <f t="shared" si="92"/>
        <v>0</v>
      </c>
      <c r="F712">
        <f t="shared" si="93"/>
        <v>0</v>
      </c>
      <c r="G712">
        <f t="shared" si="94"/>
        <v>20</v>
      </c>
      <c r="H712">
        <f t="shared" si="95"/>
        <v>20</v>
      </c>
      <c r="I712" t="str">
        <f t="shared" si="96"/>
        <v>SPRITE_ID_NEW_TRAIN</v>
      </c>
      <c r="U712"/>
      <c r="V712"/>
      <c r="W712"/>
    </row>
    <row r="713" spans="1:23">
      <c r="A713" s="2" t="s">
        <v>889</v>
      </c>
      <c r="B713">
        <f t="shared" si="89"/>
        <v>0</v>
      </c>
      <c r="C713">
        <f t="shared" si="90"/>
        <v>0</v>
      </c>
      <c r="D713">
        <f t="shared" si="91"/>
        <v>185</v>
      </c>
      <c r="E713">
        <f t="shared" si="92"/>
        <v>0</v>
      </c>
      <c r="F713">
        <f t="shared" si="93"/>
        <v>0</v>
      </c>
      <c r="G713">
        <f t="shared" si="94"/>
        <v>20</v>
      </c>
      <c r="H713">
        <f t="shared" si="95"/>
        <v>20</v>
      </c>
      <c r="I713" t="str">
        <f t="shared" si="96"/>
        <v>SPRITE_ID_NEW_TRAIN</v>
      </c>
      <c r="U713"/>
      <c r="V713"/>
      <c r="W713"/>
    </row>
    <row r="714" spans="1:23">
      <c r="A714" s="2" t="s">
        <v>890</v>
      </c>
      <c r="B714">
        <f t="shared" si="89"/>
        <v>0</v>
      </c>
      <c r="C714">
        <f t="shared" si="90"/>
        <v>0</v>
      </c>
      <c r="D714">
        <f t="shared" si="91"/>
        <v>185</v>
      </c>
      <c r="E714">
        <f t="shared" si="92"/>
        <v>0</v>
      </c>
      <c r="F714">
        <f t="shared" si="93"/>
        <v>0</v>
      </c>
      <c r="G714">
        <f t="shared" si="94"/>
        <v>20</v>
      </c>
      <c r="H714">
        <f t="shared" si="95"/>
        <v>20</v>
      </c>
      <c r="I714" t="str">
        <f t="shared" si="96"/>
        <v>SPRITE_ID_NEW_TRAIN</v>
      </c>
      <c r="U714"/>
      <c r="V714"/>
      <c r="W714"/>
    </row>
    <row r="715" spans="1:23">
      <c r="A715" s="2" t="s">
        <v>891</v>
      </c>
      <c r="B715">
        <f t="shared" si="89"/>
        <v>0</v>
      </c>
      <c r="C715">
        <f t="shared" si="90"/>
        <v>0</v>
      </c>
      <c r="D715">
        <f t="shared" si="91"/>
        <v>185</v>
      </c>
      <c r="E715">
        <f t="shared" si="92"/>
        <v>0</v>
      </c>
      <c r="F715">
        <f t="shared" si="93"/>
        <v>0</v>
      </c>
      <c r="G715">
        <f t="shared" si="94"/>
        <v>20</v>
      </c>
      <c r="H715">
        <f t="shared" si="95"/>
        <v>20</v>
      </c>
      <c r="I715" t="str">
        <f t="shared" si="96"/>
        <v>SPRITE_ID_NEW_TRAIN</v>
      </c>
      <c r="U715"/>
      <c r="V715"/>
      <c r="W715"/>
    </row>
    <row r="716" spans="1:23">
      <c r="A716" s="2" t="s">
        <v>892</v>
      </c>
      <c r="B716">
        <f t="shared" si="89"/>
        <v>0</v>
      </c>
      <c r="C716">
        <f t="shared" si="90"/>
        <v>0</v>
      </c>
      <c r="D716">
        <f t="shared" si="91"/>
        <v>185</v>
      </c>
      <c r="E716">
        <f t="shared" si="92"/>
        <v>0</v>
      </c>
      <c r="F716">
        <f t="shared" si="93"/>
        <v>0</v>
      </c>
      <c r="G716">
        <f t="shared" si="94"/>
        <v>20</v>
      </c>
      <c r="H716">
        <f t="shared" si="95"/>
        <v>20</v>
      </c>
      <c r="I716" t="str">
        <f t="shared" si="96"/>
        <v>SPRITE_ID_NEW_TRAIN</v>
      </c>
      <c r="U716"/>
      <c r="V716"/>
      <c r="W716"/>
    </row>
    <row r="717" spans="1:23">
      <c r="A717" s="2" t="s">
        <v>907</v>
      </c>
      <c r="B717">
        <f t="shared" si="89"/>
        <v>0</v>
      </c>
      <c r="C717">
        <f t="shared" si="90"/>
        <v>0</v>
      </c>
      <c r="D717">
        <f t="shared" si="91"/>
        <v>185</v>
      </c>
      <c r="E717">
        <f t="shared" si="92"/>
        <v>0</v>
      </c>
      <c r="F717">
        <f t="shared" si="93"/>
        <v>0</v>
      </c>
      <c r="G717">
        <f t="shared" si="94"/>
        <v>20</v>
      </c>
      <c r="H717">
        <f t="shared" si="95"/>
        <v>20</v>
      </c>
      <c r="I717" t="str">
        <f t="shared" si="96"/>
        <v>SPRITE_ID_NEW_TRAIN</v>
      </c>
      <c r="U717"/>
      <c r="V717"/>
      <c r="W717"/>
    </row>
    <row r="718" spans="1:23">
      <c r="A718" s="2" t="s">
        <v>908</v>
      </c>
      <c r="B718">
        <f t="shared" si="89"/>
        <v>0</v>
      </c>
      <c r="C718">
        <f t="shared" si="90"/>
        <v>0</v>
      </c>
      <c r="D718">
        <f t="shared" si="91"/>
        <v>185</v>
      </c>
      <c r="E718">
        <f t="shared" si="92"/>
        <v>0</v>
      </c>
      <c r="F718">
        <f t="shared" si="93"/>
        <v>0</v>
      </c>
      <c r="G718">
        <f t="shared" si="94"/>
        <v>20</v>
      </c>
      <c r="H718">
        <f t="shared" si="95"/>
        <v>20</v>
      </c>
      <c r="I718" t="str">
        <f t="shared" si="96"/>
        <v>SPRITE_ID_NEW_TRAIN</v>
      </c>
      <c r="U718"/>
      <c r="V718"/>
      <c r="W718"/>
    </row>
    <row r="719" spans="1:23">
      <c r="A719" s="2" t="s">
        <v>764</v>
      </c>
      <c r="B719">
        <f t="shared" si="89"/>
        <v>0</v>
      </c>
      <c r="C719">
        <f t="shared" si="90"/>
        <v>0</v>
      </c>
      <c r="D719">
        <f t="shared" si="91"/>
        <v>185</v>
      </c>
      <c r="E719">
        <f t="shared" si="92"/>
        <v>0</v>
      </c>
      <c r="F719">
        <f t="shared" si="93"/>
        <v>0</v>
      </c>
      <c r="G719">
        <f t="shared" si="94"/>
        <v>20</v>
      </c>
      <c r="H719">
        <f t="shared" si="95"/>
        <v>20</v>
      </c>
      <c r="I719" t="str">
        <f t="shared" si="96"/>
        <v>SPRITE_ID_NEW_TRAIN</v>
      </c>
      <c r="U719"/>
      <c r="V719"/>
      <c r="W719"/>
    </row>
    <row r="720" spans="1:23">
      <c r="A720" s="2" t="s">
        <v>765</v>
      </c>
      <c r="B720">
        <f t="shared" si="89"/>
        <v>0</v>
      </c>
      <c r="C720">
        <f t="shared" si="90"/>
        <v>0</v>
      </c>
      <c r="D720">
        <f t="shared" si="91"/>
        <v>185</v>
      </c>
      <c r="E720">
        <f t="shared" si="92"/>
        <v>0</v>
      </c>
      <c r="F720">
        <f t="shared" si="93"/>
        <v>0</v>
      </c>
      <c r="G720">
        <f t="shared" si="94"/>
        <v>20</v>
      </c>
      <c r="H720">
        <f t="shared" si="95"/>
        <v>20</v>
      </c>
      <c r="I720" t="str">
        <f t="shared" si="96"/>
        <v>SPRITE_ID_NEW_TRAIN</v>
      </c>
      <c r="U720"/>
      <c r="V720"/>
      <c r="W720"/>
    </row>
    <row r="721" spans="1:23">
      <c r="A721" s="2" t="s">
        <v>766</v>
      </c>
      <c r="B721">
        <f t="shared" si="89"/>
        <v>0</v>
      </c>
      <c r="C721">
        <f t="shared" si="90"/>
        <v>0</v>
      </c>
      <c r="D721">
        <f t="shared" si="91"/>
        <v>185</v>
      </c>
      <c r="E721">
        <f t="shared" si="92"/>
        <v>0</v>
      </c>
      <c r="F721">
        <f t="shared" si="93"/>
        <v>0</v>
      </c>
      <c r="G721">
        <f t="shared" si="94"/>
        <v>20</v>
      </c>
      <c r="H721">
        <f t="shared" si="95"/>
        <v>20</v>
      </c>
      <c r="I721" t="str">
        <f t="shared" si="96"/>
        <v>SPRITE_ID_NEW_TRAIN</v>
      </c>
      <c r="U721"/>
      <c r="V721"/>
      <c r="W721"/>
    </row>
    <row r="722" spans="1:23">
      <c r="A722" s="2" t="s">
        <v>767</v>
      </c>
      <c r="B722">
        <f t="shared" si="89"/>
        <v>0</v>
      </c>
      <c r="C722">
        <f t="shared" si="90"/>
        <v>0</v>
      </c>
      <c r="D722">
        <f t="shared" si="91"/>
        <v>185</v>
      </c>
      <c r="E722">
        <f t="shared" si="92"/>
        <v>0</v>
      </c>
      <c r="F722">
        <f t="shared" si="93"/>
        <v>0</v>
      </c>
      <c r="G722">
        <f t="shared" si="94"/>
        <v>20</v>
      </c>
      <c r="H722">
        <f t="shared" si="95"/>
        <v>20</v>
      </c>
      <c r="I722" t="str">
        <f t="shared" si="96"/>
        <v>SPRITE_ID_NEW_TRAIN</v>
      </c>
      <c r="U722"/>
      <c r="V722"/>
      <c r="W722"/>
    </row>
    <row r="723" spans="1:23">
      <c r="A723" s="2" t="s">
        <v>768</v>
      </c>
      <c r="B723">
        <f t="shared" si="89"/>
        <v>0</v>
      </c>
      <c r="C723">
        <f t="shared" si="90"/>
        <v>0</v>
      </c>
      <c r="D723">
        <f t="shared" si="91"/>
        <v>185</v>
      </c>
      <c r="E723">
        <f t="shared" si="92"/>
        <v>0</v>
      </c>
      <c r="F723">
        <f t="shared" si="93"/>
        <v>0</v>
      </c>
      <c r="G723">
        <f t="shared" si="94"/>
        <v>20</v>
      </c>
      <c r="H723">
        <f t="shared" si="95"/>
        <v>20</v>
      </c>
      <c r="I723" t="str">
        <f t="shared" si="96"/>
        <v>SPRITE_ID_NEW_TRAIN</v>
      </c>
      <c r="U723"/>
      <c r="V723"/>
      <c r="W723"/>
    </row>
    <row r="724" spans="1:23">
      <c r="A724" s="2" t="s">
        <v>769</v>
      </c>
      <c r="B724">
        <f t="shared" si="89"/>
        <v>0</v>
      </c>
      <c r="C724">
        <f t="shared" si="90"/>
        <v>0</v>
      </c>
      <c r="D724">
        <f t="shared" si="91"/>
        <v>185</v>
      </c>
      <c r="E724">
        <f t="shared" si="92"/>
        <v>0</v>
      </c>
      <c r="F724">
        <f t="shared" si="93"/>
        <v>0</v>
      </c>
      <c r="G724">
        <f t="shared" si="94"/>
        <v>20</v>
      </c>
      <c r="H724">
        <f t="shared" si="95"/>
        <v>20</v>
      </c>
      <c r="I724" t="str">
        <f t="shared" si="96"/>
        <v>SPRITE_ID_NEW_TRAIN</v>
      </c>
      <c r="U724"/>
      <c r="V724"/>
      <c r="W724"/>
    </row>
    <row r="725" spans="1:23">
      <c r="A725" s="2" t="s">
        <v>770</v>
      </c>
      <c r="B725">
        <f t="shared" si="89"/>
        <v>0</v>
      </c>
      <c r="C725">
        <f t="shared" si="90"/>
        <v>0</v>
      </c>
      <c r="D725">
        <f t="shared" si="91"/>
        <v>185</v>
      </c>
      <c r="E725">
        <f t="shared" si="92"/>
        <v>0</v>
      </c>
      <c r="F725">
        <f t="shared" si="93"/>
        <v>0</v>
      </c>
      <c r="G725">
        <f t="shared" si="94"/>
        <v>20</v>
      </c>
      <c r="H725">
        <f t="shared" si="95"/>
        <v>20</v>
      </c>
      <c r="I725" t="str">
        <f t="shared" si="96"/>
        <v>SPRITE_ID_NEW_TRAIN</v>
      </c>
      <c r="U725"/>
      <c r="V725"/>
      <c r="W725"/>
    </row>
    <row r="726" spans="1:23">
      <c r="A726" s="2" t="s">
        <v>771</v>
      </c>
      <c r="B726">
        <f t="shared" si="89"/>
        <v>0</v>
      </c>
      <c r="C726">
        <f t="shared" si="90"/>
        <v>0</v>
      </c>
      <c r="D726">
        <f t="shared" si="91"/>
        <v>185</v>
      </c>
      <c r="E726">
        <f t="shared" si="92"/>
        <v>0</v>
      </c>
      <c r="F726">
        <f t="shared" si="93"/>
        <v>0</v>
      </c>
      <c r="G726">
        <f t="shared" si="94"/>
        <v>20</v>
      </c>
      <c r="H726">
        <f t="shared" si="95"/>
        <v>20</v>
      </c>
      <c r="I726" t="str">
        <f t="shared" si="96"/>
        <v>SPRITE_ID_NEW_TRAIN</v>
      </c>
      <c r="U726"/>
      <c r="V726"/>
      <c r="W726"/>
    </row>
    <row r="727" spans="1:23">
      <c r="A727" s="2" t="s">
        <v>772</v>
      </c>
      <c r="B727">
        <f t="shared" si="89"/>
        <v>0</v>
      </c>
      <c r="C727">
        <f t="shared" si="90"/>
        <v>0</v>
      </c>
      <c r="D727">
        <f t="shared" si="91"/>
        <v>185</v>
      </c>
      <c r="E727">
        <f t="shared" si="92"/>
        <v>0</v>
      </c>
      <c r="F727">
        <f t="shared" si="93"/>
        <v>0</v>
      </c>
      <c r="G727">
        <f t="shared" si="94"/>
        <v>20</v>
      </c>
      <c r="H727">
        <f t="shared" si="95"/>
        <v>20</v>
      </c>
      <c r="I727" t="str">
        <f t="shared" si="96"/>
        <v>SPRITE_ID_NEW_TRAIN</v>
      </c>
      <c r="U727"/>
      <c r="V727"/>
      <c r="W727"/>
    </row>
    <row r="728" spans="1:23">
      <c r="A728" s="2" t="s">
        <v>773</v>
      </c>
      <c r="B728">
        <f t="shared" si="89"/>
        <v>0</v>
      </c>
      <c r="C728">
        <f t="shared" si="90"/>
        <v>0</v>
      </c>
      <c r="D728">
        <f t="shared" si="91"/>
        <v>185</v>
      </c>
      <c r="E728">
        <f t="shared" si="92"/>
        <v>0</v>
      </c>
      <c r="F728">
        <f t="shared" si="93"/>
        <v>0</v>
      </c>
      <c r="G728">
        <f t="shared" si="94"/>
        <v>20</v>
      </c>
      <c r="H728">
        <f t="shared" si="95"/>
        <v>20</v>
      </c>
      <c r="I728" t="str">
        <f t="shared" si="96"/>
        <v>SPRITE_ID_NEW_TRAIN</v>
      </c>
      <c r="U728"/>
      <c r="V728"/>
      <c r="W728"/>
    </row>
    <row r="729" spans="1:23">
      <c r="A729" s="2" t="s">
        <v>774</v>
      </c>
      <c r="B729">
        <f t="shared" si="89"/>
        <v>0</v>
      </c>
      <c r="C729">
        <f t="shared" si="90"/>
        <v>0</v>
      </c>
      <c r="D729">
        <f t="shared" si="91"/>
        <v>185</v>
      </c>
      <c r="E729">
        <f t="shared" si="92"/>
        <v>0</v>
      </c>
      <c r="F729">
        <f t="shared" si="93"/>
        <v>0</v>
      </c>
      <c r="G729">
        <f t="shared" si="94"/>
        <v>20</v>
      </c>
      <c r="H729">
        <f t="shared" si="95"/>
        <v>20</v>
      </c>
      <c r="I729" t="str">
        <f t="shared" si="96"/>
        <v>SPRITE_ID_NEW_TRAIN</v>
      </c>
      <c r="U729"/>
      <c r="V729"/>
      <c r="W729"/>
    </row>
    <row r="730" spans="1:23">
      <c r="A730" s="2" t="s">
        <v>775</v>
      </c>
      <c r="B730">
        <f t="shared" si="89"/>
        <v>0</v>
      </c>
      <c r="C730">
        <f t="shared" si="90"/>
        <v>0</v>
      </c>
      <c r="D730">
        <f t="shared" si="91"/>
        <v>185</v>
      </c>
      <c r="E730">
        <f t="shared" si="92"/>
        <v>0</v>
      </c>
      <c r="F730">
        <f t="shared" si="93"/>
        <v>0</v>
      </c>
      <c r="G730">
        <f t="shared" si="94"/>
        <v>20</v>
      </c>
      <c r="H730">
        <f t="shared" si="95"/>
        <v>20</v>
      </c>
      <c r="I730" t="str">
        <f t="shared" si="96"/>
        <v>SPRITE_ID_NEW_TRAIN</v>
      </c>
      <c r="U730"/>
      <c r="V730"/>
      <c r="W730"/>
    </row>
    <row r="731" spans="1:23">
      <c r="A731" s="2" t="s">
        <v>776</v>
      </c>
      <c r="B731">
        <f t="shared" si="89"/>
        <v>0</v>
      </c>
      <c r="C731">
        <f t="shared" si="90"/>
        <v>0</v>
      </c>
      <c r="D731">
        <f t="shared" si="91"/>
        <v>185</v>
      </c>
      <c r="E731">
        <f t="shared" si="92"/>
        <v>0</v>
      </c>
      <c r="F731">
        <f t="shared" si="93"/>
        <v>0</v>
      </c>
      <c r="G731">
        <f t="shared" si="94"/>
        <v>20</v>
      </c>
      <c r="H731">
        <f t="shared" si="95"/>
        <v>20</v>
      </c>
      <c r="I731" t="str">
        <f t="shared" si="96"/>
        <v>SPRITE_ID_NEW_TRAIN</v>
      </c>
      <c r="U731"/>
      <c r="V731"/>
      <c r="W731"/>
    </row>
    <row r="732" spans="1:23">
      <c r="A732" s="2" t="s">
        <v>777</v>
      </c>
      <c r="B732">
        <f t="shared" si="89"/>
        <v>0</v>
      </c>
      <c r="C732">
        <f t="shared" si="90"/>
        <v>0</v>
      </c>
      <c r="D732">
        <f t="shared" si="91"/>
        <v>185</v>
      </c>
      <c r="E732">
        <f t="shared" si="92"/>
        <v>0</v>
      </c>
      <c r="F732">
        <f t="shared" si="93"/>
        <v>0</v>
      </c>
      <c r="G732">
        <f t="shared" si="94"/>
        <v>20</v>
      </c>
      <c r="H732">
        <f t="shared" si="95"/>
        <v>20</v>
      </c>
      <c r="I732" t="str">
        <f t="shared" si="96"/>
        <v>SPRITE_ID_NEW_TRAIN</v>
      </c>
      <c r="U732"/>
      <c r="V732"/>
      <c r="W732"/>
    </row>
    <row r="733" spans="1:23">
      <c r="A733" s="2" t="s">
        <v>778</v>
      </c>
      <c r="B733">
        <f t="shared" si="89"/>
        <v>0</v>
      </c>
      <c r="C733">
        <f t="shared" si="90"/>
        <v>0</v>
      </c>
      <c r="D733">
        <f t="shared" si="91"/>
        <v>185</v>
      </c>
      <c r="E733">
        <f t="shared" si="92"/>
        <v>0</v>
      </c>
      <c r="F733">
        <f t="shared" si="93"/>
        <v>0</v>
      </c>
      <c r="G733">
        <f t="shared" si="94"/>
        <v>20</v>
      </c>
      <c r="H733">
        <f t="shared" si="95"/>
        <v>20</v>
      </c>
      <c r="I733" t="str">
        <f t="shared" si="96"/>
        <v>SPRITE_ID_NEW_TRAIN</v>
      </c>
      <c r="U733"/>
      <c r="V733"/>
      <c r="W733"/>
    </row>
    <row r="734" spans="1:23">
      <c r="A734" s="2" t="s">
        <v>779</v>
      </c>
      <c r="B734">
        <f t="shared" si="89"/>
        <v>0</v>
      </c>
      <c r="C734">
        <f t="shared" si="90"/>
        <v>0</v>
      </c>
      <c r="D734">
        <f t="shared" si="91"/>
        <v>185</v>
      </c>
      <c r="E734">
        <f t="shared" si="92"/>
        <v>0</v>
      </c>
      <c r="F734">
        <f t="shared" si="93"/>
        <v>0</v>
      </c>
      <c r="G734">
        <f t="shared" si="94"/>
        <v>20</v>
      </c>
      <c r="H734">
        <f t="shared" si="95"/>
        <v>20</v>
      </c>
      <c r="I734" t="str">
        <f t="shared" si="96"/>
        <v>SPRITE_ID_NEW_TRAIN</v>
      </c>
      <c r="U734"/>
      <c r="V734"/>
      <c r="W734"/>
    </row>
    <row r="735" spans="1:23">
      <c r="A735" s="2" t="s">
        <v>780</v>
      </c>
      <c r="B735">
        <f t="shared" si="89"/>
        <v>0</v>
      </c>
      <c r="C735">
        <f t="shared" si="90"/>
        <v>0</v>
      </c>
      <c r="D735">
        <f t="shared" si="91"/>
        <v>185</v>
      </c>
      <c r="E735">
        <f t="shared" si="92"/>
        <v>0</v>
      </c>
      <c r="F735">
        <f t="shared" si="93"/>
        <v>0</v>
      </c>
      <c r="G735">
        <f t="shared" si="94"/>
        <v>20</v>
      </c>
      <c r="H735">
        <f t="shared" si="95"/>
        <v>20</v>
      </c>
      <c r="I735" t="str">
        <f t="shared" si="96"/>
        <v>SPRITE_ID_NEW_TRAIN</v>
      </c>
      <c r="U735"/>
      <c r="V735"/>
      <c r="W735"/>
    </row>
    <row r="736" spans="1:23">
      <c r="A736" s="2" t="s">
        <v>781</v>
      </c>
      <c r="B736">
        <f t="shared" si="89"/>
        <v>0</v>
      </c>
      <c r="C736">
        <f t="shared" si="90"/>
        <v>0</v>
      </c>
      <c r="D736">
        <f t="shared" si="91"/>
        <v>185</v>
      </c>
      <c r="E736">
        <f t="shared" si="92"/>
        <v>0</v>
      </c>
      <c r="F736">
        <f t="shared" si="93"/>
        <v>0</v>
      </c>
      <c r="G736">
        <f t="shared" si="94"/>
        <v>20</v>
      </c>
      <c r="H736">
        <f t="shared" si="95"/>
        <v>20</v>
      </c>
      <c r="I736" t="str">
        <f t="shared" si="96"/>
        <v>SPRITE_ID_NEW_TRAIN</v>
      </c>
      <c r="U736"/>
      <c r="V736"/>
      <c r="W736"/>
    </row>
    <row r="737" spans="1:23">
      <c r="A737" s="2" t="s">
        <v>782</v>
      </c>
      <c r="B737">
        <f t="shared" si="89"/>
        <v>0</v>
      </c>
      <c r="C737">
        <f t="shared" si="90"/>
        <v>0</v>
      </c>
      <c r="D737">
        <f t="shared" si="91"/>
        <v>185</v>
      </c>
      <c r="E737">
        <f t="shared" si="92"/>
        <v>0</v>
      </c>
      <c r="F737">
        <f t="shared" si="93"/>
        <v>0</v>
      </c>
      <c r="G737">
        <f t="shared" si="94"/>
        <v>20</v>
      </c>
      <c r="H737">
        <f t="shared" si="95"/>
        <v>20</v>
      </c>
      <c r="I737" t="str">
        <f t="shared" si="96"/>
        <v>SPRITE_ID_NEW_TRAIN</v>
      </c>
      <c r="U737"/>
      <c r="V737"/>
      <c r="W737"/>
    </row>
    <row r="738" spans="1:23">
      <c r="A738" s="2" t="s">
        <v>783</v>
      </c>
      <c r="B738">
        <f t="shared" si="89"/>
        <v>0</v>
      </c>
      <c r="C738">
        <f t="shared" si="90"/>
        <v>0</v>
      </c>
      <c r="D738">
        <f t="shared" si="91"/>
        <v>185</v>
      </c>
      <c r="E738">
        <f t="shared" si="92"/>
        <v>0</v>
      </c>
      <c r="F738">
        <f t="shared" si="93"/>
        <v>0</v>
      </c>
      <c r="G738">
        <f t="shared" si="94"/>
        <v>20</v>
      </c>
      <c r="H738">
        <f t="shared" si="95"/>
        <v>20</v>
      </c>
      <c r="I738" t="str">
        <f t="shared" si="96"/>
        <v>SPRITE_ID_NEW_TRAIN</v>
      </c>
      <c r="U738"/>
      <c r="V738"/>
      <c r="W738"/>
    </row>
    <row r="739" spans="1:23">
      <c r="A739" s="2" t="s">
        <v>784</v>
      </c>
      <c r="B739">
        <f t="shared" si="89"/>
        <v>0</v>
      </c>
      <c r="C739">
        <f t="shared" si="90"/>
        <v>0</v>
      </c>
      <c r="D739">
        <f t="shared" si="91"/>
        <v>185</v>
      </c>
      <c r="E739">
        <f t="shared" si="92"/>
        <v>0</v>
      </c>
      <c r="F739">
        <f t="shared" si="93"/>
        <v>0</v>
      </c>
      <c r="G739">
        <f t="shared" si="94"/>
        <v>20</v>
      </c>
      <c r="H739">
        <f t="shared" si="95"/>
        <v>20</v>
      </c>
      <c r="I739" t="str">
        <f t="shared" si="96"/>
        <v>SPRITE_ID_NEW_TRAIN</v>
      </c>
      <c r="U739"/>
      <c r="V739"/>
      <c r="W739"/>
    </row>
    <row r="740" spans="1:23">
      <c r="A740" s="2" t="s">
        <v>785</v>
      </c>
      <c r="B740">
        <f t="shared" si="89"/>
        <v>0</v>
      </c>
      <c r="C740">
        <f t="shared" si="90"/>
        <v>0</v>
      </c>
      <c r="D740">
        <f t="shared" si="91"/>
        <v>185</v>
      </c>
      <c r="E740">
        <f t="shared" si="92"/>
        <v>0</v>
      </c>
      <c r="F740">
        <f t="shared" si="93"/>
        <v>0</v>
      </c>
      <c r="G740">
        <f t="shared" si="94"/>
        <v>20</v>
      </c>
      <c r="H740">
        <f t="shared" si="95"/>
        <v>20</v>
      </c>
      <c r="I740" t="str">
        <f t="shared" si="96"/>
        <v>SPRITE_ID_NEW_TRAIN</v>
      </c>
      <c r="U740"/>
      <c r="V740"/>
      <c r="W740"/>
    </row>
    <row r="741" spans="1:23">
      <c r="A741" s="2" t="s">
        <v>786</v>
      </c>
      <c r="B741">
        <f t="shared" si="89"/>
        <v>0</v>
      </c>
      <c r="C741">
        <f t="shared" si="90"/>
        <v>0</v>
      </c>
      <c r="D741">
        <f t="shared" si="91"/>
        <v>185</v>
      </c>
      <c r="E741">
        <f t="shared" si="92"/>
        <v>0</v>
      </c>
      <c r="F741">
        <f t="shared" si="93"/>
        <v>0</v>
      </c>
      <c r="G741">
        <f t="shared" si="94"/>
        <v>20</v>
      </c>
      <c r="H741">
        <f t="shared" si="95"/>
        <v>20</v>
      </c>
      <c r="I741" t="str">
        <f t="shared" si="96"/>
        <v>SPRITE_ID_NEW_TRAIN</v>
      </c>
      <c r="U741"/>
      <c r="V741"/>
      <c r="W741"/>
    </row>
    <row r="742" spans="1:23">
      <c r="A742" s="2" t="s">
        <v>787</v>
      </c>
      <c r="B742">
        <f t="shared" si="89"/>
        <v>0</v>
      </c>
      <c r="C742">
        <f t="shared" si="90"/>
        <v>0</v>
      </c>
      <c r="D742">
        <f t="shared" si="91"/>
        <v>185</v>
      </c>
      <c r="E742">
        <f t="shared" si="92"/>
        <v>0</v>
      </c>
      <c r="F742">
        <f t="shared" si="93"/>
        <v>0</v>
      </c>
      <c r="G742">
        <f t="shared" si="94"/>
        <v>20</v>
      </c>
      <c r="H742">
        <f t="shared" si="95"/>
        <v>20</v>
      </c>
      <c r="I742" t="str">
        <f t="shared" si="96"/>
        <v>SPRITE_ID_NEW_TRAIN</v>
      </c>
      <c r="U742"/>
      <c r="V742"/>
      <c r="W742"/>
    </row>
    <row r="743" spans="1:23">
      <c r="A743" s="2" t="s">
        <v>788</v>
      </c>
      <c r="B743">
        <f t="shared" si="89"/>
        <v>0</v>
      </c>
      <c r="C743">
        <f t="shared" si="90"/>
        <v>0</v>
      </c>
      <c r="D743">
        <f t="shared" si="91"/>
        <v>185</v>
      </c>
      <c r="E743">
        <f t="shared" si="92"/>
        <v>0</v>
      </c>
      <c r="F743">
        <f t="shared" si="93"/>
        <v>0</v>
      </c>
      <c r="G743">
        <f t="shared" si="94"/>
        <v>20</v>
      </c>
      <c r="H743">
        <f t="shared" si="95"/>
        <v>20</v>
      </c>
      <c r="I743" t="str">
        <f t="shared" si="96"/>
        <v>SPRITE_ID_NEW_TRAIN</v>
      </c>
      <c r="U743"/>
      <c r="V743"/>
      <c r="W743"/>
    </row>
    <row r="744" spans="1:23">
      <c r="A744" s="2" t="s">
        <v>789</v>
      </c>
      <c r="B744">
        <f t="shared" si="89"/>
        <v>0</v>
      </c>
      <c r="C744">
        <f t="shared" si="90"/>
        <v>0</v>
      </c>
      <c r="D744">
        <f t="shared" si="91"/>
        <v>185</v>
      </c>
      <c r="E744">
        <f t="shared" si="92"/>
        <v>0</v>
      </c>
      <c r="F744">
        <f t="shared" si="93"/>
        <v>0</v>
      </c>
      <c r="G744">
        <f t="shared" si="94"/>
        <v>20</v>
      </c>
      <c r="H744">
        <f t="shared" si="95"/>
        <v>20</v>
      </c>
      <c r="I744" t="str">
        <f t="shared" si="96"/>
        <v>SPRITE_ID_NEW_TRAIN</v>
      </c>
      <c r="U744"/>
      <c r="V744"/>
      <c r="W744"/>
    </row>
    <row r="745" spans="1:23">
      <c r="A745" s="2" t="s">
        <v>790</v>
      </c>
      <c r="B745">
        <f t="shared" si="89"/>
        <v>0</v>
      </c>
      <c r="C745">
        <f t="shared" si="90"/>
        <v>0</v>
      </c>
      <c r="D745">
        <f t="shared" si="91"/>
        <v>185</v>
      </c>
      <c r="E745">
        <f t="shared" si="92"/>
        <v>0</v>
      </c>
      <c r="F745">
        <f t="shared" si="93"/>
        <v>0</v>
      </c>
      <c r="G745">
        <f t="shared" si="94"/>
        <v>20</v>
      </c>
      <c r="H745">
        <f t="shared" si="95"/>
        <v>20</v>
      </c>
      <c r="I745" t="str">
        <f t="shared" si="96"/>
        <v>SPRITE_ID_NEW_TRAIN</v>
      </c>
      <c r="U745"/>
      <c r="V745"/>
      <c r="W745"/>
    </row>
    <row r="746" spans="1:23">
      <c r="A746" s="2" t="s">
        <v>791</v>
      </c>
      <c r="B746">
        <f t="shared" si="89"/>
        <v>0</v>
      </c>
      <c r="C746">
        <f t="shared" si="90"/>
        <v>0</v>
      </c>
      <c r="D746">
        <f t="shared" si="91"/>
        <v>185</v>
      </c>
      <c r="E746">
        <f t="shared" si="92"/>
        <v>0</v>
      </c>
      <c r="F746">
        <f t="shared" si="93"/>
        <v>0</v>
      </c>
      <c r="G746">
        <f t="shared" si="94"/>
        <v>20</v>
      </c>
      <c r="H746">
        <f t="shared" si="95"/>
        <v>20</v>
      </c>
      <c r="I746" t="str">
        <f t="shared" si="96"/>
        <v>SPRITE_ID_NEW_TRAIN</v>
      </c>
      <c r="U746"/>
      <c r="V746"/>
      <c r="W746"/>
    </row>
    <row r="747" spans="1:23">
      <c r="A747" s="2" t="s">
        <v>792</v>
      </c>
      <c r="B747">
        <f t="shared" si="89"/>
        <v>0</v>
      </c>
      <c r="C747">
        <f t="shared" si="90"/>
        <v>0</v>
      </c>
      <c r="D747">
        <f t="shared" si="91"/>
        <v>185</v>
      </c>
      <c r="E747">
        <f t="shared" si="92"/>
        <v>0</v>
      </c>
      <c r="F747">
        <f t="shared" si="93"/>
        <v>0</v>
      </c>
      <c r="G747">
        <f t="shared" si="94"/>
        <v>20</v>
      </c>
      <c r="H747">
        <f t="shared" si="95"/>
        <v>20</v>
      </c>
      <c r="I747" t="str">
        <f t="shared" si="96"/>
        <v>SPRITE_ID_NEW_TRAIN</v>
      </c>
      <c r="U747"/>
      <c r="V747"/>
      <c r="W747"/>
    </row>
    <row r="748" spans="1:23">
      <c r="A748" s="2" t="s">
        <v>793</v>
      </c>
      <c r="B748">
        <f t="shared" si="89"/>
        <v>0</v>
      </c>
      <c r="C748">
        <f t="shared" si="90"/>
        <v>0</v>
      </c>
      <c r="D748">
        <f t="shared" si="91"/>
        <v>185</v>
      </c>
      <c r="E748">
        <f t="shared" si="92"/>
        <v>0</v>
      </c>
      <c r="F748">
        <f t="shared" si="93"/>
        <v>0</v>
      </c>
      <c r="G748">
        <f t="shared" si="94"/>
        <v>20</v>
      </c>
      <c r="H748">
        <f t="shared" si="95"/>
        <v>20</v>
      </c>
      <c r="I748" t="str">
        <f t="shared" si="96"/>
        <v>SPRITE_ID_NEW_TRAIN</v>
      </c>
      <c r="U748"/>
      <c r="V748"/>
      <c r="W748"/>
    </row>
    <row r="749" spans="1:23">
      <c r="A749" s="2" t="s">
        <v>794</v>
      </c>
      <c r="B749">
        <f t="shared" si="89"/>
        <v>0</v>
      </c>
      <c r="C749">
        <f t="shared" si="90"/>
        <v>0</v>
      </c>
      <c r="D749">
        <f t="shared" si="91"/>
        <v>185</v>
      </c>
      <c r="E749">
        <f t="shared" si="92"/>
        <v>0</v>
      </c>
      <c r="F749">
        <f t="shared" si="93"/>
        <v>0</v>
      </c>
      <c r="G749">
        <f t="shared" si="94"/>
        <v>20</v>
      </c>
      <c r="H749">
        <f t="shared" si="95"/>
        <v>20</v>
      </c>
      <c r="I749" t="str">
        <f t="shared" si="96"/>
        <v>SPRITE_ID_NEW_TRAIN</v>
      </c>
      <c r="U749"/>
      <c r="V749"/>
      <c r="W749"/>
    </row>
    <row r="750" spans="1:23">
      <c r="A750" s="2" t="s">
        <v>795</v>
      </c>
      <c r="B750">
        <f t="shared" si="89"/>
        <v>0</v>
      </c>
      <c r="C750">
        <f t="shared" si="90"/>
        <v>0</v>
      </c>
      <c r="D750">
        <f t="shared" si="91"/>
        <v>185</v>
      </c>
      <c r="E750">
        <f t="shared" si="92"/>
        <v>0</v>
      </c>
      <c r="F750">
        <f t="shared" si="93"/>
        <v>0</v>
      </c>
      <c r="G750">
        <f t="shared" si="94"/>
        <v>20</v>
      </c>
      <c r="H750">
        <f t="shared" si="95"/>
        <v>20</v>
      </c>
      <c r="I750" t="str">
        <f t="shared" si="96"/>
        <v>SPRITE_ID_NEW_TRAIN</v>
      </c>
      <c r="U750"/>
      <c r="V750"/>
      <c r="W750"/>
    </row>
    <row r="751" spans="1:23">
      <c r="A751" s="2" t="s">
        <v>796</v>
      </c>
      <c r="B751">
        <f t="shared" si="89"/>
        <v>0</v>
      </c>
      <c r="C751">
        <f t="shared" si="90"/>
        <v>0</v>
      </c>
      <c r="D751">
        <f t="shared" si="91"/>
        <v>185</v>
      </c>
      <c r="E751">
        <f t="shared" si="92"/>
        <v>0</v>
      </c>
      <c r="F751">
        <f t="shared" si="93"/>
        <v>0</v>
      </c>
      <c r="G751">
        <f t="shared" si="94"/>
        <v>20</v>
      </c>
      <c r="H751">
        <f t="shared" si="95"/>
        <v>20</v>
      </c>
      <c r="I751" t="str">
        <f t="shared" si="96"/>
        <v>SPRITE_ID_NEW_TRAIN</v>
      </c>
      <c r="U751"/>
      <c r="V751"/>
      <c r="W751"/>
    </row>
    <row r="752" spans="1:23">
      <c r="A752" s="2" t="s">
        <v>797</v>
      </c>
      <c r="B752">
        <f t="shared" si="89"/>
        <v>0</v>
      </c>
      <c r="C752">
        <f t="shared" si="90"/>
        <v>0</v>
      </c>
      <c r="D752">
        <f t="shared" si="91"/>
        <v>185</v>
      </c>
      <c r="E752">
        <f t="shared" si="92"/>
        <v>0</v>
      </c>
      <c r="F752">
        <f t="shared" si="93"/>
        <v>0</v>
      </c>
      <c r="G752">
        <f t="shared" si="94"/>
        <v>20</v>
      </c>
      <c r="H752">
        <f t="shared" si="95"/>
        <v>20</v>
      </c>
      <c r="I752" t="str">
        <f t="shared" si="96"/>
        <v>SPRITE_ID_NEW_TRAIN</v>
      </c>
      <c r="U752"/>
      <c r="V752"/>
      <c r="W752"/>
    </row>
    <row r="753" spans="1:23">
      <c r="A753" s="2" t="s">
        <v>798</v>
      </c>
      <c r="B753">
        <f t="shared" si="89"/>
        <v>0</v>
      </c>
      <c r="C753">
        <f t="shared" si="90"/>
        <v>0</v>
      </c>
      <c r="D753">
        <f t="shared" si="91"/>
        <v>185</v>
      </c>
      <c r="E753">
        <f t="shared" si="92"/>
        <v>0</v>
      </c>
      <c r="F753">
        <f t="shared" si="93"/>
        <v>0</v>
      </c>
      <c r="G753">
        <f t="shared" si="94"/>
        <v>20</v>
      </c>
      <c r="H753">
        <f t="shared" si="95"/>
        <v>20</v>
      </c>
      <c r="I753" t="str">
        <f t="shared" si="96"/>
        <v>SPRITE_ID_NEW_TRAIN</v>
      </c>
      <c r="U753"/>
      <c r="V753"/>
      <c r="W753"/>
    </row>
    <row r="754" spans="1:23">
      <c r="A754" s="2" t="s">
        <v>799</v>
      </c>
      <c r="B754">
        <f t="shared" si="89"/>
        <v>0</v>
      </c>
      <c r="C754">
        <f t="shared" si="90"/>
        <v>0</v>
      </c>
      <c r="D754">
        <f t="shared" si="91"/>
        <v>185</v>
      </c>
      <c r="E754">
        <f t="shared" si="92"/>
        <v>0</v>
      </c>
      <c r="F754">
        <f t="shared" si="93"/>
        <v>0</v>
      </c>
      <c r="G754">
        <f t="shared" si="94"/>
        <v>20</v>
      </c>
      <c r="H754">
        <f t="shared" si="95"/>
        <v>20</v>
      </c>
      <c r="I754" t="str">
        <f t="shared" si="96"/>
        <v>SPRITE_ID_NEW_TRAIN</v>
      </c>
      <c r="U754"/>
      <c r="V754"/>
      <c r="W754"/>
    </row>
    <row r="755" spans="1:23">
      <c r="A755" s="2" t="s">
        <v>800</v>
      </c>
      <c r="B755">
        <f t="shared" si="89"/>
        <v>0</v>
      </c>
      <c r="C755">
        <f t="shared" si="90"/>
        <v>0</v>
      </c>
      <c r="D755">
        <f t="shared" si="91"/>
        <v>185</v>
      </c>
      <c r="E755">
        <f t="shared" si="92"/>
        <v>0</v>
      </c>
      <c r="F755">
        <f t="shared" si="93"/>
        <v>0</v>
      </c>
      <c r="G755">
        <f t="shared" si="94"/>
        <v>20</v>
      </c>
      <c r="H755">
        <f t="shared" si="95"/>
        <v>20</v>
      </c>
      <c r="I755" t="str">
        <f t="shared" si="96"/>
        <v>SPRITE_ID_NEW_TRAIN</v>
      </c>
      <c r="U755"/>
      <c r="V755"/>
      <c r="W755"/>
    </row>
    <row r="756" spans="1:23">
      <c r="A756" s="2" t="s">
        <v>801</v>
      </c>
      <c r="B756">
        <f t="shared" si="89"/>
        <v>0</v>
      </c>
      <c r="C756">
        <f t="shared" si="90"/>
        <v>0</v>
      </c>
      <c r="D756">
        <f t="shared" si="91"/>
        <v>185</v>
      </c>
      <c r="E756">
        <f t="shared" si="92"/>
        <v>0</v>
      </c>
      <c r="F756">
        <f t="shared" si="93"/>
        <v>0</v>
      </c>
      <c r="G756">
        <f t="shared" si="94"/>
        <v>20</v>
      </c>
      <c r="H756">
        <f t="shared" si="95"/>
        <v>20</v>
      </c>
      <c r="I756" t="str">
        <f t="shared" si="96"/>
        <v>SPRITE_ID_NEW_TRAIN</v>
      </c>
      <c r="U756"/>
      <c r="V756"/>
      <c r="W756"/>
    </row>
    <row r="757" spans="1:23">
      <c r="A757" s="2" t="s">
        <v>802</v>
      </c>
      <c r="B757">
        <f t="shared" si="89"/>
        <v>0</v>
      </c>
      <c r="C757">
        <f t="shared" si="90"/>
        <v>0</v>
      </c>
      <c r="D757">
        <f t="shared" si="91"/>
        <v>185</v>
      </c>
      <c r="E757">
        <f t="shared" si="92"/>
        <v>0</v>
      </c>
      <c r="F757">
        <f t="shared" si="93"/>
        <v>0</v>
      </c>
      <c r="G757">
        <f t="shared" si="94"/>
        <v>20</v>
      </c>
      <c r="H757">
        <f t="shared" si="95"/>
        <v>20</v>
      </c>
      <c r="I757" t="str">
        <f t="shared" si="96"/>
        <v>SPRITE_ID_NEW_TRAIN</v>
      </c>
      <c r="U757"/>
      <c r="V757"/>
      <c r="W757"/>
    </row>
    <row r="758" spans="1:23">
      <c r="A758" s="2" t="s">
        <v>803</v>
      </c>
      <c r="B758">
        <f t="shared" si="89"/>
        <v>0</v>
      </c>
      <c r="C758">
        <f t="shared" si="90"/>
        <v>0</v>
      </c>
      <c r="D758">
        <f t="shared" si="91"/>
        <v>185</v>
      </c>
      <c r="E758">
        <f t="shared" si="92"/>
        <v>0</v>
      </c>
      <c r="F758">
        <f t="shared" si="93"/>
        <v>0</v>
      </c>
      <c r="G758">
        <f t="shared" si="94"/>
        <v>20</v>
      </c>
      <c r="H758">
        <f t="shared" si="95"/>
        <v>20</v>
      </c>
      <c r="I758" t="str">
        <f t="shared" si="96"/>
        <v>SPRITE_ID_NEW_TRAIN</v>
      </c>
      <c r="U758"/>
      <c r="V758"/>
      <c r="W758"/>
    </row>
    <row r="759" spans="1:23">
      <c r="A759" s="2" t="s">
        <v>804</v>
      </c>
      <c r="B759">
        <f t="shared" si="89"/>
        <v>0</v>
      </c>
      <c r="C759">
        <f t="shared" si="90"/>
        <v>0</v>
      </c>
      <c r="D759">
        <f t="shared" si="91"/>
        <v>185</v>
      </c>
      <c r="E759">
        <f t="shared" si="92"/>
        <v>0</v>
      </c>
      <c r="F759">
        <f t="shared" si="93"/>
        <v>0</v>
      </c>
      <c r="G759">
        <f t="shared" si="94"/>
        <v>20</v>
      </c>
      <c r="H759">
        <f t="shared" si="95"/>
        <v>20</v>
      </c>
      <c r="I759" t="str">
        <f t="shared" si="96"/>
        <v>SPRITE_ID_NEW_TRAIN</v>
      </c>
      <c r="U759"/>
      <c r="V759"/>
      <c r="W759"/>
    </row>
    <row r="760" spans="1:23">
      <c r="A760" s="2" t="s">
        <v>805</v>
      </c>
      <c r="B760">
        <f t="shared" si="89"/>
        <v>0</v>
      </c>
      <c r="C760">
        <f t="shared" si="90"/>
        <v>0</v>
      </c>
      <c r="D760">
        <f t="shared" si="91"/>
        <v>185</v>
      </c>
      <c r="E760">
        <f t="shared" si="92"/>
        <v>0</v>
      </c>
      <c r="F760">
        <f t="shared" si="93"/>
        <v>0</v>
      </c>
      <c r="G760">
        <f t="shared" si="94"/>
        <v>20</v>
      </c>
      <c r="H760">
        <f t="shared" si="95"/>
        <v>20</v>
      </c>
      <c r="I760" t="str">
        <f t="shared" si="96"/>
        <v>SPRITE_ID_NEW_TRAIN</v>
      </c>
      <c r="U760"/>
      <c r="V760"/>
      <c r="W760"/>
    </row>
    <row r="761" spans="1:23">
      <c r="A761" s="2" t="s">
        <v>806</v>
      </c>
      <c r="B761">
        <f t="shared" si="89"/>
        <v>0</v>
      </c>
      <c r="C761">
        <f t="shared" si="90"/>
        <v>0</v>
      </c>
      <c r="D761">
        <f t="shared" si="91"/>
        <v>185</v>
      </c>
      <c r="E761">
        <f t="shared" si="92"/>
        <v>0</v>
      </c>
      <c r="F761">
        <f t="shared" si="93"/>
        <v>0</v>
      </c>
      <c r="G761">
        <f t="shared" si="94"/>
        <v>20</v>
      </c>
      <c r="H761">
        <f t="shared" si="95"/>
        <v>20</v>
      </c>
      <c r="I761" t="str">
        <f t="shared" si="96"/>
        <v>SPRITE_ID_NEW_TRAIN</v>
      </c>
      <c r="U761"/>
      <c r="V761"/>
      <c r="W761"/>
    </row>
    <row r="762" spans="1:23">
      <c r="A762" s="2" t="s">
        <v>807</v>
      </c>
      <c r="B762">
        <f t="shared" si="89"/>
        <v>0</v>
      </c>
      <c r="C762">
        <f t="shared" si="90"/>
        <v>0</v>
      </c>
      <c r="D762">
        <f t="shared" si="91"/>
        <v>185</v>
      </c>
      <c r="E762">
        <f t="shared" si="92"/>
        <v>0</v>
      </c>
      <c r="F762">
        <f t="shared" si="93"/>
        <v>0</v>
      </c>
      <c r="G762">
        <f t="shared" si="94"/>
        <v>20</v>
      </c>
      <c r="H762">
        <f t="shared" si="95"/>
        <v>20</v>
      </c>
      <c r="I762" t="str">
        <f t="shared" si="96"/>
        <v>SPRITE_ID_NEW_TRAIN</v>
      </c>
      <c r="U762"/>
      <c r="V762"/>
      <c r="W762"/>
    </row>
    <row r="763" spans="1:23">
      <c r="A763" s="2" t="s">
        <v>808</v>
      </c>
      <c r="B763">
        <f t="shared" si="89"/>
        <v>0</v>
      </c>
      <c r="C763">
        <f t="shared" si="90"/>
        <v>0</v>
      </c>
      <c r="D763">
        <f t="shared" si="91"/>
        <v>185</v>
      </c>
      <c r="E763">
        <f t="shared" si="92"/>
        <v>0</v>
      </c>
      <c r="F763">
        <f t="shared" si="93"/>
        <v>0</v>
      </c>
      <c r="G763">
        <f t="shared" si="94"/>
        <v>20</v>
      </c>
      <c r="H763">
        <f t="shared" si="95"/>
        <v>20</v>
      </c>
      <c r="I763" t="str">
        <f t="shared" si="96"/>
        <v>SPRITE_ID_NEW_TRAIN</v>
      </c>
      <c r="U763"/>
      <c r="V763"/>
      <c r="W763"/>
    </row>
    <row r="764" spans="1:23">
      <c r="A764" s="2" t="s">
        <v>809</v>
      </c>
      <c r="B764">
        <f t="shared" si="89"/>
        <v>0</v>
      </c>
      <c r="C764">
        <f t="shared" si="90"/>
        <v>0</v>
      </c>
      <c r="D764">
        <f t="shared" si="91"/>
        <v>185</v>
      </c>
      <c r="E764">
        <f t="shared" si="92"/>
        <v>0</v>
      </c>
      <c r="F764">
        <f t="shared" si="93"/>
        <v>0</v>
      </c>
      <c r="G764">
        <f t="shared" si="94"/>
        <v>20</v>
      </c>
      <c r="H764">
        <f t="shared" si="95"/>
        <v>20</v>
      </c>
      <c r="I764" t="str">
        <f t="shared" si="96"/>
        <v>SPRITE_ID_NEW_TRAIN</v>
      </c>
      <c r="U764"/>
      <c r="V764"/>
      <c r="W764"/>
    </row>
    <row r="765" spans="1:23">
      <c r="A765" s="2" t="s">
        <v>810</v>
      </c>
      <c r="B765">
        <f t="shared" si="89"/>
        <v>0</v>
      </c>
      <c r="C765">
        <f t="shared" si="90"/>
        <v>0</v>
      </c>
      <c r="D765">
        <f t="shared" si="91"/>
        <v>185</v>
      </c>
      <c r="E765">
        <f t="shared" si="92"/>
        <v>0</v>
      </c>
      <c r="F765">
        <f t="shared" si="93"/>
        <v>0</v>
      </c>
      <c r="G765">
        <f t="shared" si="94"/>
        <v>20</v>
      </c>
      <c r="H765">
        <f t="shared" si="95"/>
        <v>20</v>
      </c>
      <c r="I765" t="str">
        <f t="shared" si="96"/>
        <v>SPRITE_ID_NEW_TRAIN</v>
      </c>
      <c r="U765"/>
      <c r="V765"/>
      <c r="W765"/>
    </row>
    <row r="766" spans="1:23">
      <c r="A766" s="2" t="s">
        <v>811</v>
      </c>
      <c r="B766">
        <f t="shared" si="89"/>
        <v>0</v>
      </c>
      <c r="C766">
        <f t="shared" si="90"/>
        <v>0</v>
      </c>
      <c r="D766">
        <f t="shared" si="91"/>
        <v>185</v>
      </c>
      <c r="E766">
        <f t="shared" si="92"/>
        <v>0</v>
      </c>
      <c r="F766">
        <f t="shared" si="93"/>
        <v>0</v>
      </c>
      <c r="G766">
        <f t="shared" si="94"/>
        <v>20</v>
      </c>
      <c r="H766">
        <f t="shared" si="95"/>
        <v>20</v>
      </c>
      <c r="I766" t="str">
        <f t="shared" si="96"/>
        <v>SPRITE_ID_NEW_TRAIN</v>
      </c>
      <c r="U766"/>
      <c r="V766"/>
      <c r="W766"/>
    </row>
    <row r="767" spans="1:23">
      <c r="A767" s="2" t="s">
        <v>812</v>
      </c>
      <c r="B767">
        <f t="shared" si="89"/>
        <v>0</v>
      </c>
      <c r="C767">
        <f t="shared" si="90"/>
        <v>0</v>
      </c>
      <c r="D767">
        <f t="shared" si="91"/>
        <v>185</v>
      </c>
      <c r="E767">
        <f t="shared" si="92"/>
        <v>0</v>
      </c>
      <c r="F767">
        <f t="shared" si="93"/>
        <v>0</v>
      </c>
      <c r="G767">
        <f t="shared" si="94"/>
        <v>20</v>
      </c>
      <c r="H767">
        <f t="shared" si="95"/>
        <v>20</v>
      </c>
      <c r="I767" t="str">
        <f t="shared" si="96"/>
        <v>SPRITE_ID_NEW_TRAIN</v>
      </c>
      <c r="U767"/>
      <c r="V767"/>
      <c r="W767"/>
    </row>
    <row r="768" spans="1:23">
      <c r="A768" s="2" t="s">
        <v>813</v>
      </c>
      <c r="B768">
        <f t="shared" si="89"/>
        <v>0</v>
      </c>
      <c r="C768">
        <f t="shared" si="90"/>
        <v>0</v>
      </c>
      <c r="D768">
        <f t="shared" si="91"/>
        <v>185</v>
      </c>
      <c r="E768">
        <f t="shared" si="92"/>
        <v>0</v>
      </c>
      <c r="F768">
        <f t="shared" si="93"/>
        <v>0</v>
      </c>
      <c r="G768">
        <f t="shared" si="94"/>
        <v>20</v>
      </c>
      <c r="H768">
        <f t="shared" si="95"/>
        <v>20</v>
      </c>
      <c r="I768" t="str">
        <f t="shared" si="96"/>
        <v>SPRITE_ID_NEW_TRAIN</v>
      </c>
      <c r="U768"/>
      <c r="V768"/>
      <c r="W768"/>
    </row>
    <row r="769" spans="1:23">
      <c r="A769" s="2" t="s">
        <v>814</v>
      </c>
      <c r="B769">
        <f t="shared" si="89"/>
        <v>0</v>
      </c>
      <c r="C769">
        <f t="shared" si="90"/>
        <v>0</v>
      </c>
      <c r="D769">
        <f t="shared" si="91"/>
        <v>185</v>
      </c>
      <c r="E769">
        <f t="shared" si="92"/>
        <v>0</v>
      </c>
      <c r="F769">
        <f t="shared" si="93"/>
        <v>0</v>
      </c>
      <c r="G769">
        <f t="shared" si="94"/>
        <v>20</v>
      </c>
      <c r="H769">
        <f t="shared" si="95"/>
        <v>20</v>
      </c>
      <c r="I769" t="str">
        <f t="shared" si="96"/>
        <v>SPRITE_ID_NEW_TRAIN</v>
      </c>
      <c r="U769"/>
      <c r="V769"/>
      <c r="W769"/>
    </row>
    <row r="770" spans="1:23">
      <c r="A770" s="2" t="s">
        <v>815</v>
      </c>
      <c r="B770">
        <f t="shared" si="89"/>
        <v>0</v>
      </c>
      <c r="C770">
        <f t="shared" si="90"/>
        <v>0</v>
      </c>
      <c r="D770">
        <f t="shared" si="91"/>
        <v>185</v>
      </c>
      <c r="E770">
        <f t="shared" si="92"/>
        <v>0</v>
      </c>
      <c r="F770">
        <f t="shared" si="93"/>
        <v>0</v>
      </c>
      <c r="G770">
        <f t="shared" si="94"/>
        <v>20</v>
      </c>
      <c r="H770">
        <f t="shared" si="95"/>
        <v>20</v>
      </c>
      <c r="I770" t="str">
        <f t="shared" si="96"/>
        <v>SPRITE_ID_NEW_TRAIN</v>
      </c>
      <c r="U770"/>
      <c r="V770"/>
      <c r="W770"/>
    </row>
    <row r="771" spans="1:23">
      <c r="A771" s="2" t="s">
        <v>816</v>
      </c>
      <c r="B771">
        <f t="shared" si="89"/>
        <v>0</v>
      </c>
      <c r="C771">
        <f t="shared" si="90"/>
        <v>0</v>
      </c>
      <c r="D771">
        <f t="shared" si="91"/>
        <v>185</v>
      </c>
      <c r="E771">
        <f t="shared" si="92"/>
        <v>0</v>
      </c>
      <c r="F771">
        <f t="shared" si="93"/>
        <v>0</v>
      </c>
      <c r="G771">
        <f t="shared" si="94"/>
        <v>20</v>
      </c>
      <c r="H771">
        <f t="shared" si="95"/>
        <v>20</v>
      </c>
      <c r="I771" t="str">
        <f t="shared" si="96"/>
        <v>SPRITE_ID_NEW_TRAIN</v>
      </c>
      <c r="U771"/>
      <c r="V771"/>
      <c r="W771"/>
    </row>
    <row r="772" spans="1:23">
      <c r="A772" s="2" t="s">
        <v>817</v>
      </c>
      <c r="B772">
        <f t="shared" ref="B772:B792" si="97">B771</f>
        <v>0</v>
      </c>
      <c r="C772">
        <f t="shared" ref="C772:C792" si="98">C771</f>
        <v>0</v>
      </c>
      <c r="D772">
        <f t="shared" ref="D772:D792" si="99">D771</f>
        <v>185</v>
      </c>
      <c r="E772">
        <f t="shared" ref="E772:E792" si="100">E771</f>
        <v>0</v>
      </c>
      <c r="F772">
        <f t="shared" ref="F772:F792" si="101">F771</f>
        <v>0</v>
      </c>
      <c r="G772">
        <f t="shared" ref="G772:G792" si="102">G771</f>
        <v>20</v>
      </c>
      <c r="H772">
        <f t="shared" ref="H772:H792" si="103">H771</f>
        <v>20</v>
      </c>
      <c r="I772" t="str">
        <f t="shared" ref="I772:I792" si="104">I771</f>
        <v>SPRITE_ID_NEW_TRAIN</v>
      </c>
      <c r="U772"/>
      <c r="V772"/>
      <c r="W772"/>
    </row>
    <row r="773" spans="1:23">
      <c r="A773" s="2" t="s">
        <v>818</v>
      </c>
      <c r="B773">
        <f t="shared" si="97"/>
        <v>0</v>
      </c>
      <c r="C773">
        <f t="shared" si="98"/>
        <v>0</v>
      </c>
      <c r="D773">
        <f t="shared" si="99"/>
        <v>185</v>
      </c>
      <c r="E773">
        <f t="shared" si="100"/>
        <v>0</v>
      </c>
      <c r="F773">
        <f t="shared" si="101"/>
        <v>0</v>
      </c>
      <c r="G773">
        <f t="shared" si="102"/>
        <v>20</v>
      </c>
      <c r="H773">
        <f t="shared" si="103"/>
        <v>20</v>
      </c>
      <c r="I773" t="str">
        <f t="shared" si="104"/>
        <v>SPRITE_ID_NEW_TRAIN</v>
      </c>
      <c r="U773"/>
      <c r="V773"/>
      <c r="W773"/>
    </row>
    <row r="774" spans="1:23">
      <c r="A774" s="2" t="s">
        <v>819</v>
      </c>
      <c r="B774">
        <f t="shared" si="97"/>
        <v>0</v>
      </c>
      <c r="C774">
        <f t="shared" si="98"/>
        <v>0</v>
      </c>
      <c r="D774">
        <f t="shared" si="99"/>
        <v>185</v>
      </c>
      <c r="E774">
        <f t="shared" si="100"/>
        <v>0</v>
      </c>
      <c r="F774">
        <f t="shared" si="101"/>
        <v>0</v>
      </c>
      <c r="G774">
        <f t="shared" si="102"/>
        <v>20</v>
      </c>
      <c r="H774">
        <f t="shared" si="103"/>
        <v>20</v>
      </c>
      <c r="I774" t="str">
        <f t="shared" si="104"/>
        <v>SPRITE_ID_NEW_TRAIN</v>
      </c>
      <c r="U774"/>
      <c r="V774"/>
      <c r="W774"/>
    </row>
    <row r="775" spans="1:23">
      <c r="A775" s="2" t="s">
        <v>820</v>
      </c>
      <c r="B775">
        <f t="shared" si="97"/>
        <v>0</v>
      </c>
      <c r="C775">
        <f t="shared" si="98"/>
        <v>0</v>
      </c>
      <c r="D775">
        <f t="shared" si="99"/>
        <v>185</v>
      </c>
      <c r="E775">
        <f t="shared" si="100"/>
        <v>0</v>
      </c>
      <c r="F775">
        <f t="shared" si="101"/>
        <v>0</v>
      </c>
      <c r="G775">
        <f t="shared" si="102"/>
        <v>20</v>
      </c>
      <c r="H775">
        <f t="shared" si="103"/>
        <v>20</v>
      </c>
      <c r="I775" t="str">
        <f t="shared" si="104"/>
        <v>SPRITE_ID_NEW_TRAIN</v>
      </c>
      <c r="U775"/>
      <c r="V775"/>
      <c r="W775"/>
    </row>
    <row r="776" spans="1:23">
      <c r="A776" s="2" t="s">
        <v>821</v>
      </c>
      <c r="B776">
        <f t="shared" si="97"/>
        <v>0</v>
      </c>
      <c r="C776">
        <f t="shared" si="98"/>
        <v>0</v>
      </c>
      <c r="D776">
        <f t="shared" si="99"/>
        <v>185</v>
      </c>
      <c r="E776">
        <f t="shared" si="100"/>
        <v>0</v>
      </c>
      <c r="F776">
        <f t="shared" si="101"/>
        <v>0</v>
      </c>
      <c r="G776">
        <f t="shared" si="102"/>
        <v>20</v>
      </c>
      <c r="H776">
        <f t="shared" si="103"/>
        <v>20</v>
      </c>
      <c r="I776" t="str">
        <f t="shared" si="104"/>
        <v>SPRITE_ID_NEW_TRAIN</v>
      </c>
      <c r="U776"/>
      <c r="V776"/>
      <c r="W776"/>
    </row>
    <row r="777" spans="1:23">
      <c r="A777" s="2" t="s">
        <v>822</v>
      </c>
      <c r="B777">
        <f t="shared" si="97"/>
        <v>0</v>
      </c>
      <c r="C777">
        <f t="shared" si="98"/>
        <v>0</v>
      </c>
      <c r="D777">
        <f t="shared" si="99"/>
        <v>185</v>
      </c>
      <c r="E777">
        <f t="shared" si="100"/>
        <v>0</v>
      </c>
      <c r="F777">
        <f t="shared" si="101"/>
        <v>0</v>
      </c>
      <c r="G777">
        <f t="shared" si="102"/>
        <v>20</v>
      </c>
      <c r="H777">
        <f t="shared" si="103"/>
        <v>20</v>
      </c>
      <c r="I777" t="str">
        <f t="shared" si="104"/>
        <v>SPRITE_ID_NEW_TRAIN</v>
      </c>
      <c r="U777"/>
      <c r="V777"/>
      <c r="W777"/>
    </row>
    <row r="778" spans="1:23">
      <c r="A778" s="2" t="s">
        <v>823</v>
      </c>
      <c r="B778">
        <f t="shared" si="97"/>
        <v>0</v>
      </c>
      <c r="C778">
        <f t="shared" si="98"/>
        <v>0</v>
      </c>
      <c r="D778">
        <f t="shared" si="99"/>
        <v>185</v>
      </c>
      <c r="E778">
        <f t="shared" si="100"/>
        <v>0</v>
      </c>
      <c r="F778">
        <f t="shared" si="101"/>
        <v>0</v>
      </c>
      <c r="G778">
        <f t="shared" si="102"/>
        <v>20</v>
      </c>
      <c r="H778">
        <f t="shared" si="103"/>
        <v>20</v>
      </c>
      <c r="I778" t="str">
        <f t="shared" si="104"/>
        <v>SPRITE_ID_NEW_TRAIN</v>
      </c>
      <c r="U778"/>
      <c r="V778"/>
      <c r="W778"/>
    </row>
    <row r="779" spans="1:23">
      <c r="A779" s="2" t="s">
        <v>824</v>
      </c>
      <c r="B779">
        <f t="shared" si="97"/>
        <v>0</v>
      </c>
      <c r="C779">
        <f t="shared" si="98"/>
        <v>0</v>
      </c>
      <c r="D779">
        <f t="shared" si="99"/>
        <v>185</v>
      </c>
      <c r="E779">
        <f t="shared" si="100"/>
        <v>0</v>
      </c>
      <c r="F779">
        <f t="shared" si="101"/>
        <v>0</v>
      </c>
      <c r="G779">
        <f t="shared" si="102"/>
        <v>20</v>
      </c>
      <c r="H779">
        <f t="shared" si="103"/>
        <v>20</v>
      </c>
      <c r="I779" t="str">
        <f t="shared" si="104"/>
        <v>SPRITE_ID_NEW_TRAIN</v>
      </c>
      <c r="U779"/>
      <c r="V779"/>
      <c r="W779"/>
    </row>
    <row r="780" spans="1:23">
      <c r="A780" s="2" t="s">
        <v>825</v>
      </c>
      <c r="B780">
        <f t="shared" si="97"/>
        <v>0</v>
      </c>
      <c r="C780">
        <f t="shared" si="98"/>
        <v>0</v>
      </c>
      <c r="D780">
        <f t="shared" si="99"/>
        <v>185</v>
      </c>
      <c r="E780">
        <f t="shared" si="100"/>
        <v>0</v>
      </c>
      <c r="F780">
        <f t="shared" si="101"/>
        <v>0</v>
      </c>
      <c r="G780">
        <f t="shared" si="102"/>
        <v>20</v>
      </c>
      <c r="H780">
        <f t="shared" si="103"/>
        <v>20</v>
      </c>
      <c r="I780" t="str">
        <f t="shared" si="104"/>
        <v>SPRITE_ID_NEW_TRAIN</v>
      </c>
      <c r="U780"/>
      <c r="V780"/>
      <c r="W780"/>
    </row>
    <row r="781" spans="1:23">
      <c r="A781" s="2" t="s">
        <v>826</v>
      </c>
      <c r="B781">
        <f t="shared" si="97"/>
        <v>0</v>
      </c>
      <c r="C781">
        <f t="shared" si="98"/>
        <v>0</v>
      </c>
      <c r="D781">
        <f t="shared" si="99"/>
        <v>185</v>
      </c>
      <c r="E781">
        <f t="shared" si="100"/>
        <v>0</v>
      </c>
      <c r="F781">
        <f t="shared" si="101"/>
        <v>0</v>
      </c>
      <c r="G781">
        <f t="shared" si="102"/>
        <v>20</v>
      </c>
      <c r="H781">
        <f t="shared" si="103"/>
        <v>20</v>
      </c>
      <c r="I781" t="str">
        <f t="shared" si="104"/>
        <v>SPRITE_ID_NEW_TRAIN</v>
      </c>
      <c r="U781"/>
      <c r="V781"/>
      <c r="W781"/>
    </row>
    <row r="782" spans="1:23">
      <c r="A782" s="2" t="s">
        <v>827</v>
      </c>
      <c r="B782">
        <f t="shared" si="97"/>
        <v>0</v>
      </c>
      <c r="C782">
        <f t="shared" si="98"/>
        <v>0</v>
      </c>
      <c r="D782">
        <f t="shared" si="99"/>
        <v>185</v>
      </c>
      <c r="E782">
        <f t="shared" si="100"/>
        <v>0</v>
      </c>
      <c r="F782">
        <f t="shared" si="101"/>
        <v>0</v>
      </c>
      <c r="G782">
        <f t="shared" si="102"/>
        <v>20</v>
      </c>
      <c r="H782">
        <f t="shared" si="103"/>
        <v>20</v>
      </c>
      <c r="I782" t="str">
        <f t="shared" si="104"/>
        <v>SPRITE_ID_NEW_TRAIN</v>
      </c>
      <c r="U782"/>
      <c r="V782"/>
      <c r="W782"/>
    </row>
    <row r="783" spans="1:23">
      <c r="A783" s="2" t="s">
        <v>828</v>
      </c>
      <c r="B783">
        <f t="shared" si="97"/>
        <v>0</v>
      </c>
      <c r="C783">
        <f t="shared" si="98"/>
        <v>0</v>
      </c>
      <c r="D783">
        <f t="shared" si="99"/>
        <v>185</v>
      </c>
      <c r="E783">
        <f t="shared" si="100"/>
        <v>0</v>
      </c>
      <c r="F783">
        <f t="shared" si="101"/>
        <v>0</v>
      </c>
      <c r="G783">
        <f t="shared" si="102"/>
        <v>20</v>
      </c>
      <c r="H783">
        <f t="shared" si="103"/>
        <v>20</v>
      </c>
      <c r="I783" t="str">
        <f t="shared" si="104"/>
        <v>SPRITE_ID_NEW_TRAIN</v>
      </c>
      <c r="U783"/>
      <c r="V783"/>
      <c r="W783"/>
    </row>
    <row r="784" spans="1:23">
      <c r="A784" s="2" t="s">
        <v>829</v>
      </c>
      <c r="B784">
        <f t="shared" si="97"/>
        <v>0</v>
      </c>
      <c r="C784">
        <f t="shared" si="98"/>
        <v>0</v>
      </c>
      <c r="D784">
        <f t="shared" si="99"/>
        <v>185</v>
      </c>
      <c r="E784">
        <f t="shared" si="100"/>
        <v>0</v>
      </c>
      <c r="F784">
        <f t="shared" si="101"/>
        <v>0</v>
      </c>
      <c r="G784">
        <f t="shared" si="102"/>
        <v>20</v>
      </c>
      <c r="H784">
        <f t="shared" si="103"/>
        <v>20</v>
      </c>
      <c r="I784" t="str">
        <f t="shared" si="104"/>
        <v>SPRITE_ID_NEW_TRAIN</v>
      </c>
      <c r="U784"/>
      <c r="V784"/>
      <c r="W784"/>
    </row>
    <row r="785" spans="1:23">
      <c r="A785" s="2" t="s">
        <v>830</v>
      </c>
      <c r="B785">
        <f t="shared" si="97"/>
        <v>0</v>
      </c>
      <c r="C785">
        <f t="shared" si="98"/>
        <v>0</v>
      </c>
      <c r="D785">
        <f t="shared" si="99"/>
        <v>185</v>
      </c>
      <c r="E785">
        <f t="shared" si="100"/>
        <v>0</v>
      </c>
      <c r="F785">
        <f t="shared" si="101"/>
        <v>0</v>
      </c>
      <c r="G785">
        <f t="shared" si="102"/>
        <v>20</v>
      </c>
      <c r="H785">
        <f t="shared" si="103"/>
        <v>20</v>
      </c>
      <c r="I785" t="str">
        <f t="shared" si="104"/>
        <v>SPRITE_ID_NEW_TRAIN</v>
      </c>
      <c r="U785"/>
      <c r="V785"/>
      <c r="W785"/>
    </row>
    <row r="786" spans="1:23">
      <c r="A786" s="2" t="s">
        <v>831</v>
      </c>
      <c r="B786">
        <f t="shared" si="97"/>
        <v>0</v>
      </c>
      <c r="C786">
        <f t="shared" si="98"/>
        <v>0</v>
      </c>
      <c r="D786">
        <f t="shared" si="99"/>
        <v>185</v>
      </c>
      <c r="E786">
        <f t="shared" si="100"/>
        <v>0</v>
      </c>
      <c r="F786">
        <f t="shared" si="101"/>
        <v>0</v>
      </c>
      <c r="G786">
        <f t="shared" si="102"/>
        <v>20</v>
      </c>
      <c r="H786">
        <f t="shared" si="103"/>
        <v>20</v>
      </c>
      <c r="I786" t="str">
        <f t="shared" si="104"/>
        <v>SPRITE_ID_NEW_TRAIN</v>
      </c>
      <c r="U786"/>
      <c r="V786"/>
      <c r="W786"/>
    </row>
    <row r="787" spans="1:23">
      <c r="A787" s="2" t="s">
        <v>832</v>
      </c>
      <c r="B787">
        <f t="shared" si="97"/>
        <v>0</v>
      </c>
      <c r="C787">
        <f t="shared" si="98"/>
        <v>0</v>
      </c>
      <c r="D787">
        <f t="shared" si="99"/>
        <v>185</v>
      </c>
      <c r="E787">
        <f t="shared" si="100"/>
        <v>0</v>
      </c>
      <c r="F787">
        <f t="shared" si="101"/>
        <v>0</v>
      </c>
      <c r="G787">
        <f t="shared" si="102"/>
        <v>20</v>
      </c>
      <c r="H787">
        <f t="shared" si="103"/>
        <v>20</v>
      </c>
      <c r="I787" t="str">
        <f t="shared" si="104"/>
        <v>SPRITE_ID_NEW_TRAIN</v>
      </c>
      <c r="U787"/>
      <c r="V787"/>
      <c r="W787"/>
    </row>
    <row r="788" spans="1:23">
      <c r="A788" s="2" t="s">
        <v>833</v>
      </c>
      <c r="B788">
        <f t="shared" si="97"/>
        <v>0</v>
      </c>
      <c r="C788">
        <f t="shared" si="98"/>
        <v>0</v>
      </c>
      <c r="D788">
        <f t="shared" si="99"/>
        <v>185</v>
      </c>
      <c r="E788">
        <f t="shared" si="100"/>
        <v>0</v>
      </c>
      <c r="F788">
        <f t="shared" si="101"/>
        <v>0</v>
      </c>
      <c r="G788">
        <f t="shared" si="102"/>
        <v>20</v>
      </c>
      <c r="H788">
        <f t="shared" si="103"/>
        <v>20</v>
      </c>
      <c r="I788" t="str">
        <f t="shared" si="104"/>
        <v>SPRITE_ID_NEW_TRAIN</v>
      </c>
      <c r="U788"/>
      <c r="V788"/>
      <c r="W788"/>
    </row>
    <row r="789" spans="1:23">
      <c r="A789" s="2" t="s">
        <v>834</v>
      </c>
      <c r="B789">
        <f t="shared" si="97"/>
        <v>0</v>
      </c>
      <c r="C789">
        <f t="shared" si="98"/>
        <v>0</v>
      </c>
      <c r="D789">
        <f t="shared" si="99"/>
        <v>185</v>
      </c>
      <c r="E789">
        <f t="shared" si="100"/>
        <v>0</v>
      </c>
      <c r="F789">
        <f t="shared" si="101"/>
        <v>0</v>
      </c>
      <c r="G789">
        <f t="shared" si="102"/>
        <v>20</v>
      </c>
      <c r="H789">
        <f t="shared" si="103"/>
        <v>20</v>
      </c>
      <c r="I789" t="str">
        <f t="shared" si="104"/>
        <v>SPRITE_ID_NEW_TRAIN</v>
      </c>
      <c r="U789"/>
      <c r="V789"/>
      <c r="W789"/>
    </row>
    <row r="790" spans="1:23">
      <c r="A790" s="2" t="s">
        <v>1790</v>
      </c>
      <c r="B790">
        <f t="shared" si="97"/>
        <v>0</v>
      </c>
      <c r="C790">
        <f t="shared" si="98"/>
        <v>0</v>
      </c>
      <c r="D790">
        <f t="shared" si="99"/>
        <v>185</v>
      </c>
      <c r="E790">
        <f t="shared" si="100"/>
        <v>0</v>
      </c>
      <c r="F790">
        <f t="shared" si="101"/>
        <v>0</v>
      </c>
      <c r="G790">
        <f t="shared" si="102"/>
        <v>20</v>
      </c>
      <c r="H790">
        <f t="shared" si="103"/>
        <v>20</v>
      </c>
      <c r="I790" t="str">
        <f t="shared" si="104"/>
        <v>SPRITE_ID_NEW_TRAIN</v>
      </c>
    </row>
    <row r="791" spans="1:23">
      <c r="A791" s="2" t="s">
        <v>1793</v>
      </c>
      <c r="B791">
        <f t="shared" si="97"/>
        <v>0</v>
      </c>
      <c r="C791">
        <f t="shared" si="98"/>
        <v>0</v>
      </c>
      <c r="D791">
        <f t="shared" si="99"/>
        <v>185</v>
      </c>
      <c r="E791">
        <f t="shared" si="100"/>
        <v>0</v>
      </c>
      <c r="F791">
        <f t="shared" si="101"/>
        <v>0</v>
      </c>
      <c r="G791">
        <f t="shared" si="102"/>
        <v>20</v>
      </c>
      <c r="H791">
        <f t="shared" si="103"/>
        <v>20</v>
      </c>
      <c r="I791" t="str">
        <f t="shared" si="104"/>
        <v>SPRITE_ID_NEW_TRAIN</v>
      </c>
    </row>
    <row r="792" spans="1:23">
      <c r="A792" s="2" t="s">
        <v>2892</v>
      </c>
      <c r="B792">
        <f t="shared" si="97"/>
        <v>0</v>
      </c>
      <c r="C792">
        <f t="shared" si="98"/>
        <v>0</v>
      </c>
      <c r="D792">
        <f t="shared" si="99"/>
        <v>185</v>
      </c>
      <c r="E792">
        <f t="shared" si="100"/>
        <v>0</v>
      </c>
      <c r="F792">
        <f t="shared" si="101"/>
        <v>0</v>
      </c>
      <c r="G792">
        <f t="shared" si="102"/>
        <v>20</v>
      </c>
      <c r="H792">
        <f t="shared" si="103"/>
        <v>20</v>
      </c>
      <c r="I792" t="str">
        <f t="shared" si="104"/>
        <v>SPRITE_ID_NEW_TRAIN</v>
      </c>
    </row>
  </sheetData>
  <conditionalFormatting sqref="K790:M1048576">
    <cfRule type="cellIs" dxfId="2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2 B3:I792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2"/>
  <sheetViews>
    <sheetView zoomScaleNormal="100" workbookViewId="0">
      <pane xSplit="1" ySplit="1" topLeftCell="B747" activePane="bottomRight" state="frozen"/>
      <selection pane="topRight" activeCell="B1" sqref="B1"/>
      <selection pane="bottomLeft" activeCell="A2" sqref="A2"/>
      <selection pane="bottomRight" activeCell="B792" sqref="B792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1790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  <row r="791" spans="1:21">
      <c r="A791" s="2" t="s">
        <v>1793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724</v>
      </c>
    </row>
    <row r="792" spans="1:21">
      <c r="A792" s="2" t="s">
        <v>2892</v>
      </c>
      <c r="B792" t="b">
        <v>1</v>
      </c>
      <c r="C792" t="b">
        <v>1</v>
      </c>
      <c r="D792" s="2"/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724</v>
      </c>
    </row>
  </sheetData>
  <conditionalFormatting sqref="I790:K1048576">
    <cfRule type="cellIs" dxfId="1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2"/>
  <sheetViews>
    <sheetView zoomScaleNormal="100" workbookViewId="0">
      <pane xSplit="1" ySplit="1" topLeftCell="B769" activePane="bottomRight" state="frozen"/>
      <selection activeCell="Q19" sqref="Q19"/>
      <selection pane="topRight" activeCell="Q19" sqref="Q19"/>
      <selection pane="bottomLeft" activeCell="Q19" sqref="Q19"/>
      <selection pane="bottomRight" activeCell="C792" sqref="C79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1785</v>
      </c>
      <c r="C1" s="1" t="s">
        <v>1757</v>
      </c>
      <c r="D1" s="1" t="s">
        <v>1767</v>
      </c>
    </row>
    <row r="2" spans="1:13">
      <c r="A2" s="2" t="s">
        <v>531</v>
      </c>
      <c r="B2" t="s">
        <v>1786</v>
      </c>
      <c r="C2" t="s">
        <v>1758</v>
      </c>
      <c r="D2" t="s">
        <v>1768</v>
      </c>
      <c r="K2"/>
      <c r="L2"/>
      <c r="M2"/>
    </row>
    <row r="3" spans="1:13">
      <c r="A3" s="2" t="s">
        <v>300</v>
      </c>
      <c r="B3" t="s">
        <v>1786</v>
      </c>
      <c r="C3" t="s">
        <v>1759</v>
      </c>
      <c r="D3" t="s">
        <v>1768</v>
      </c>
      <c r="K3"/>
      <c r="L3"/>
      <c r="M3"/>
    </row>
    <row r="4" spans="1:13">
      <c r="A4" s="2" t="s">
        <v>266</v>
      </c>
      <c r="B4" t="s">
        <v>1786</v>
      </c>
      <c r="C4" t="s">
        <v>1759</v>
      </c>
      <c r="D4" t="s">
        <v>1768</v>
      </c>
      <c r="K4"/>
      <c r="L4"/>
      <c r="M4"/>
    </row>
    <row r="5" spans="1:13">
      <c r="A5" s="2" t="s">
        <v>291</v>
      </c>
      <c r="B5" t="s">
        <v>1786</v>
      </c>
      <c r="C5" t="s">
        <v>1759</v>
      </c>
      <c r="D5" t="s">
        <v>1768</v>
      </c>
      <c r="K5"/>
      <c r="L5"/>
      <c r="M5"/>
    </row>
    <row r="6" spans="1:13">
      <c r="A6" s="2" t="s">
        <v>247</v>
      </c>
      <c r="B6" t="s">
        <v>1786</v>
      </c>
      <c r="C6" t="s">
        <v>1759</v>
      </c>
      <c r="D6" t="s">
        <v>1768</v>
      </c>
      <c r="K6"/>
      <c r="L6"/>
      <c r="M6"/>
    </row>
    <row r="7" spans="1:13">
      <c r="A7" s="2" t="s">
        <v>230</v>
      </c>
      <c r="B7" t="s">
        <v>1786</v>
      </c>
      <c r="C7" t="s">
        <v>1759</v>
      </c>
      <c r="D7" t="s">
        <v>1768</v>
      </c>
      <c r="K7"/>
      <c r="L7"/>
      <c r="M7"/>
    </row>
    <row r="8" spans="1:13">
      <c r="A8" s="2" t="s">
        <v>297</v>
      </c>
      <c r="B8" t="s">
        <v>1786</v>
      </c>
      <c r="C8" t="s">
        <v>1759</v>
      </c>
      <c r="D8" t="s">
        <v>1768</v>
      </c>
      <c r="K8"/>
      <c r="L8"/>
      <c r="M8"/>
    </row>
    <row r="9" spans="1:13">
      <c r="A9" s="2" t="s">
        <v>298</v>
      </c>
      <c r="B9" t="s">
        <v>1786</v>
      </c>
      <c r="C9" t="s">
        <v>1759</v>
      </c>
      <c r="D9" t="s">
        <v>1768</v>
      </c>
      <c r="K9"/>
      <c r="L9"/>
      <c r="M9"/>
    </row>
    <row r="10" spans="1:13">
      <c r="A10" s="2" t="s">
        <v>244</v>
      </c>
      <c r="B10" t="s">
        <v>1786</v>
      </c>
      <c r="C10" t="s">
        <v>1759</v>
      </c>
      <c r="D10" t="s">
        <v>1768</v>
      </c>
      <c r="K10"/>
      <c r="L10"/>
      <c r="M10"/>
    </row>
    <row r="11" spans="1:13">
      <c r="A11" s="2" t="s">
        <v>232</v>
      </c>
      <c r="B11" t="s">
        <v>1786</v>
      </c>
      <c r="C11" t="s">
        <v>1759</v>
      </c>
      <c r="D11" t="s">
        <v>1768</v>
      </c>
      <c r="K11"/>
      <c r="L11"/>
      <c r="M11"/>
    </row>
    <row r="12" spans="1:13">
      <c r="A12" s="2" t="s">
        <v>274</v>
      </c>
      <c r="B12" t="s">
        <v>1786</v>
      </c>
      <c r="C12" t="s">
        <v>1759</v>
      </c>
      <c r="D12" t="s">
        <v>1768</v>
      </c>
      <c r="K12"/>
      <c r="L12"/>
      <c r="M12"/>
    </row>
    <row r="13" spans="1:13">
      <c r="A13" s="2" t="s">
        <v>201</v>
      </c>
      <c r="B13" t="s">
        <v>1786</v>
      </c>
      <c r="C13" t="s">
        <v>1759</v>
      </c>
      <c r="D13" t="s">
        <v>1768</v>
      </c>
      <c r="K13"/>
      <c r="L13"/>
      <c r="M13"/>
    </row>
    <row r="14" spans="1:13">
      <c r="A14" s="2" t="s">
        <v>321</v>
      </c>
      <c r="B14" t="s">
        <v>1786</v>
      </c>
      <c r="C14" t="s">
        <v>1759</v>
      </c>
      <c r="D14" t="s">
        <v>1768</v>
      </c>
      <c r="K14"/>
      <c r="L14"/>
      <c r="M14"/>
    </row>
    <row r="15" spans="1:13">
      <c r="A15" s="2" t="s">
        <v>280</v>
      </c>
      <c r="B15" t="s">
        <v>1786</v>
      </c>
      <c r="C15" t="s">
        <v>1759</v>
      </c>
      <c r="D15" t="s">
        <v>1768</v>
      </c>
      <c r="K15"/>
      <c r="L15"/>
      <c r="M15"/>
    </row>
    <row r="16" spans="1:13">
      <c r="A16" s="2" t="s">
        <v>319</v>
      </c>
      <c r="B16" t="s">
        <v>1786</v>
      </c>
      <c r="C16" t="s">
        <v>1760</v>
      </c>
      <c r="D16" t="s">
        <v>1769</v>
      </c>
      <c r="K16"/>
      <c r="L16"/>
      <c r="M16"/>
    </row>
    <row r="17" spans="1:13">
      <c r="A17" s="2" t="s">
        <v>235</v>
      </c>
      <c r="B17" t="s">
        <v>1786</v>
      </c>
      <c r="C17" t="s">
        <v>1759</v>
      </c>
      <c r="D17" t="s">
        <v>1768</v>
      </c>
      <c r="K17"/>
      <c r="L17"/>
      <c r="M17"/>
    </row>
    <row r="18" spans="1:13">
      <c r="A18" s="2" t="s">
        <v>264</v>
      </c>
      <c r="B18" t="s">
        <v>1786</v>
      </c>
      <c r="C18" t="s">
        <v>1766</v>
      </c>
      <c r="D18" t="s">
        <v>1769</v>
      </c>
      <c r="K18"/>
      <c r="L18"/>
      <c r="M18"/>
    </row>
    <row r="19" spans="1:13">
      <c r="A19" s="2" t="s">
        <v>270</v>
      </c>
      <c r="B19" t="s">
        <v>1786</v>
      </c>
      <c r="C19" t="s">
        <v>1759</v>
      </c>
      <c r="D19" t="s">
        <v>1768</v>
      </c>
      <c r="K19"/>
      <c r="L19"/>
      <c r="M19"/>
    </row>
    <row r="20" spans="1:13">
      <c r="A20" s="2" t="s">
        <v>282</v>
      </c>
      <c r="B20" t="s">
        <v>1786</v>
      </c>
      <c r="C20" t="s">
        <v>1759</v>
      </c>
      <c r="D20" t="s">
        <v>1768</v>
      </c>
      <c r="K20"/>
      <c r="L20"/>
      <c r="M20"/>
    </row>
    <row r="21" spans="1:13">
      <c r="A21" s="2" t="s">
        <v>211</v>
      </c>
      <c r="B21" t="s">
        <v>1786</v>
      </c>
      <c r="C21" t="s">
        <v>1759</v>
      </c>
      <c r="D21" t="s">
        <v>1768</v>
      </c>
      <c r="K21"/>
      <c r="L21"/>
      <c r="M21"/>
    </row>
    <row r="22" spans="1:13">
      <c r="A22" s="2" t="s">
        <v>306</v>
      </c>
      <c r="B22" t="s">
        <v>1786</v>
      </c>
      <c r="C22" t="s">
        <v>1760</v>
      </c>
      <c r="D22" t="s">
        <v>1768</v>
      </c>
      <c r="K22"/>
      <c r="L22"/>
      <c r="M22"/>
    </row>
    <row r="23" spans="1:13">
      <c r="A23" s="2" t="s">
        <v>225</v>
      </c>
      <c r="B23" t="s">
        <v>1786</v>
      </c>
      <c r="C23" t="s">
        <v>1759</v>
      </c>
      <c r="D23" t="s">
        <v>1768</v>
      </c>
      <c r="K23"/>
      <c r="L23"/>
      <c r="M23"/>
    </row>
    <row r="24" spans="1:13">
      <c r="A24" s="2" t="s">
        <v>248</v>
      </c>
      <c r="B24" t="s">
        <v>1786</v>
      </c>
      <c r="C24" t="s">
        <v>1759</v>
      </c>
      <c r="D24" t="s">
        <v>1768</v>
      </c>
      <c r="K24"/>
      <c r="L24"/>
      <c r="M24"/>
    </row>
    <row r="25" spans="1:13">
      <c r="A25" s="2" t="s">
        <v>216</v>
      </c>
      <c r="B25" t="s">
        <v>1786</v>
      </c>
      <c r="C25" t="s">
        <v>1766</v>
      </c>
      <c r="D25" t="s">
        <v>1769</v>
      </c>
      <c r="K25"/>
      <c r="L25"/>
      <c r="M25"/>
    </row>
    <row r="26" spans="1:13">
      <c r="A26" s="2" t="s">
        <v>222</v>
      </c>
      <c r="B26" t="s">
        <v>1786</v>
      </c>
      <c r="C26" t="s">
        <v>1766</v>
      </c>
      <c r="D26" t="s">
        <v>1773</v>
      </c>
      <c r="K26"/>
      <c r="L26"/>
      <c r="M26"/>
    </row>
    <row r="27" spans="1:13">
      <c r="A27" s="2" t="s">
        <v>292</v>
      </c>
      <c r="B27" t="s">
        <v>1786</v>
      </c>
      <c r="C27" t="s">
        <v>1759</v>
      </c>
      <c r="D27" t="s">
        <v>1768</v>
      </c>
      <c r="K27"/>
      <c r="L27"/>
      <c r="M27"/>
    </row>
    <row r="28" spans="1:13">
      <c r="A28" s="2" t="s">
        <v>268</v>
      </c>
      <c r="B28" t="s">
        <v>1786</v>
      </c>
      <c r="C28" t="s">
        <v>1759</v>
      </c>
      <c r="D28" t="s">
        <v>1768</v>
      </c>
      <c r="K28"/>
      <c r="L28"/>
      <c r="M28"/>
    </row>
    <row r="29" spans="1:13">
      <c r="A29" s="2" t="s">
        <v>205</v>
      </c>
      <c r="B29" t="s">
        <v>1786</v>
      </c>
      <c r="C29" t="s">
        <v>1759</v>
      </c>
      <c r="D29" t="s">
        <v>1768</v>
      </c>
      <c r="K29"/>
      <c r="L29"/>
      <c r="M29"/>
    </row>
    <row r="30" spans="1:13">
      <c r="A30" s="2" t="s">
        <v>295</v>
      </c>
      <c r="B30" t="s">
        <v>1786</v>
      </c>
      <c r="C30" t="s">
        <v>1759</v>
      </c>
      <c r="D30" t="s">
        <v>1768</v>
      </c>
      <c r="K30"/>
      <c r="L30"/>
      <c r="M30"/>
    </row>
    <row r="31" spans="1:13">
      <c r="A31" s="2" t="s">
        <v>223</v>
      </c>
      <c r="B31" t="s">
        <v>1786</v>
      </c>
      <c r="C31" t="s">
        <v>1759</v>
      </c>
      <c r="D31" t="s">
        <v>1768</v>
      </c>
      <c r="K31"/>
      <c r="L31"/>
      <c r="M31"/>
    </row>
    <row r="32" spans="1:13">
      <c r="A32" s="2" t="s">
        <v>259</v>
      </c>
      <c r="B32" t="s">
        <v>1786</v>
      </c>
      <c r="C32" t="s">
        <v>1766</v>
      </c>
      <c r="D32" t="s">
        <v>1772</v>
      </c>
      <c r="K32"/>
      <c r="L32"/>
      <c r="M32"/>
    </row>
    <row r="33" spans="1:13">
      <c r="A33" s="2" t="s">
        <v>238</v>
      </c>
      <c r="B33" t="s">
        <v>1786</v>
      </c>
      <c r="C33" t="s">
        <v>1759</v>
      </c>
      <c r="D33" t="s">
        <v>1768</v>
      </c>
      <c r="K33"/>
      <c r="L33"/>
      <c r="M33"/>
    </row>
    <row r="34" spans="1:13">
      <c r="A34" s="2" t="s">
        <v>212</v>
      </c>
      <c r="B34" t="s">
        <v>1786</v>
      </c>
      <c r="C34" t="s">
        <v>1759</v>
      </c>
      <c r="D34" t="s">
        <v>1768</v>
      </c>
      <c r="K34"/>
      <c r="L34"/>
      <c r="M34"/>
    </row>
    <row r="35" spans="1:13">
      <c r="A35" s="2" t="s">
        <v>209</v>
      </c>
      <c r="B35" t="s">
        <v>1786</v>
      </c>
      <c r="C35" t="s">
        <v>1759</v>
      </c>
      <c r="D35" t="s">
        <v>1768</v>
      </c>
      <c r="K35"/>
      <c r="L35"/>
      <c r="M35"/>
    </row>
    <row r="36" spans="1:13">
      <c r="A36" s="2" t="s">
        <v>288</v>
      </c>
      <c r="B36" t="s">
        <v>1786</v>
      </c>
      <c r="C36" t="s">
        <v>1759</v>
      </c>
      <c r="D36" t="s">
        <v>1768</v>
      </c>
      <c r="K36"/>
      <c r="L36"/>
      <c r="M36"/>
    </row>
    <row r="37" spans="1:13">
      <c r="A37" s="2" t="s">
        <v>213</v>
      </c>
      <c r="B37" t="s">
        <v>1786</v>
      </c>
      <c r="C37" t="s">
        <v>1760</v>
      </c>
      <c r="D37" t="s">
        <v>1769</v>
      </c>
      <c r="K37"/>
      <c r="L37"/>
      <c r="M37"/>
    </row>
    <row r="38" spans="1:13">
      <c r="A38" s="2" t="s">
        <v>293</v>
      </c>
      <c r="B38" t="s">
        <v>1786</v>
      </c>
      <c r="C38" t="s">
        <v>1759</v>
      </c>
      <c r="D38" t="s">
        <v>1768</v>
      </c>
      <c r="K38"/>
      <c r="L38"/>
      <c r="M38"/>
    </row>
    <row r="39" spans="1:13">
      <c r="A39" s="2" t="s">
        <v>279</v>
      </c>
      <c r="B39" t="s">
        <v>1786</v>
      </c>
      <c r="C39" t="s">
        <v>1759</v>
      </c>
      <c r="D39" t="s">
        <v>1768</v>
      </c>
      <c r="K39"/>
      <c r="L39"/>
      <c r="M39"/>
    </row>
    <row r="40" spans="1:13">
      <c r="A40" s="2" t="s">
        <v>239</v>
      </c>
      <c r="B40" t="s">
        <v>1786</v>
      </c>
      <c r="C40" t="s">
        <v>1759</v>
      </c>
      <c r="D40" t="s">
        <v>1768</v>
      </c>
      <c r="K40"/>
      <c r="L40"/>
      <c r="M40"/>
    </row>
    <row r="41" spans="1:13">
      <c r="A41" s="2" t="s">
        <v>253</v>
      </c>
      <c r="B41" t="s">
        <v>1786</v>
      </c>
      <c r="C41" t="s">
        <v>1759</v>
      </c>
      <c r="D41" t="s">
        <v>1768</v>
      </c>
      <c r="K41"/>
      <c r="L41"/>
      <c r="M41"/>
    </row>
    <row r="42" spans="1:13">
      <c r="A42" s="2" t="s">
        <v>256</v>
      </c>
      <c r="B42" t="s">
        <v>1786</v>
      </c>
      <c r="C42" t="s">
        <v>1759</v>
      </c>
      <c r="D42" t="s">
        <v>1768</v>
      </c>
      <c r="K42"/>
      <c r="L42"/>
      <c r="M42"/>
    </row>
    <row r="43" spans="1:13">
      <c r="A43" s="2" t="s">
        <v>236</v>
      </c>
      <c r="B43" t="s">
        <v>1786</v>
      </c>
      <c r="C43" t="s">
        <v>1759</v>
      </c>
      <c r="D43" t="s">
        <v>1768</v>
      </c>
      <c r="K43"/>
      <c r="L43"/>
      <c r="M43"/>
    </row>
    <row r="44" spans="1:13">
      <c r="A44" s="2" t="s">
        <v>219</v>
      </c>
      <c r="B44" t="s">
        <v>1786</v>
      </c>
      <c r="C44" t="s">
        <v>1759</v>
      </c>
      <c r="D44" t="s">
        <v>1768</v>
      </c>
      <c r="K44"/>
      <c r="L44"/>
      <c r="M44"/>
    </row>
    <row r="45" spans="1:13">
      <c r="A45" s="2" t="s">
        <v>226</v>
      </c>
      <c r="B45" t="s">
        <v>1786</v>
      </c>
      <c r="C45" t="s">
        <v>1759</v>
      </c>
      <c r="D45" t="s">
        <v>1768</v>
      </c>
      <c r="K45"/>
      <c r="L45"/>
      <c r="M45"/>
    </row>
    <row r="46" spans="1:13">
      <c r="A46" s="2" t="s">
        <v>316</v>
      </c>
      <c r="B46" t="s">
        <v>1786</v>
      </c>
      <c r="C46" t="s">
        <v>1759</v>
      </c>
      <c r="D46" t="s">
        <v>1768</v>
      </c>
      <c r="K46"/>
      <c r="L46"/>
      <c r="M46"/>
    </row>
    <row r="47" spans="1:13">
      <c r="A47" s="2" t="s">
        <v>233</v>
      </c>
      <c r="B47" t="s">
        <v>1786</v>
      </c>
      <c r="C47" t="s">
        <v>1759</v>
      </c>
      <c r="D47" t="s">
        <v>1768</v>
      </c>
      <c r="K47"/>
      <c r="L47"/>
      <c r="M47"/>
    </row>
    <row r="48" spans="1:13">
      <c r="A48" s="2" t="s">
        <v>302</v>
      </c>
      <c r="B48" t="s">
        <v>1786</v>
      </c>
      <c r="C48" t="s">
        <v>1759</v>
      </c>
      <c r="D48" t="s">
        <v>1768</v>
      </c>
      <c r="K48"/>
      <c r="L48"/>
      <c r="M48"/>
    </row>
    <row r="49" spans="1:13">
      <c r="A49" s="2" t="s">
        <v>220</v>
      </c>
      <c r="B49" t="s">
        <v>1786</v>
      </c>
      <c r="C49" t="s">
        <v>1759</v>
      </c>
      <c r="D49" t="s">
        <v>1768</v>
      </c>
      <c r="K49"/>
      <c r="L49"/>
      <c r="M49"/>
    </row>
    <row r="50" spans="1:13">
      <c r="A50" s="2" t="s">
        <v>242</v>
      </c>
      <c r="B50" t="s">
        <v>1786</v>
      </c>
      <c r="C50" t="s">
        <v>1759</v>
      </c>
      <c r="D50" t="s">
        <v>1768</v>
      </c>
      <c r="K50"/>
      <c r="L50"/>
      <c r="M50"/>
    </row>
    <row r="51" spans="1:13">
      <c r="A51" s="2" t="s">
        <v>286</v>
      </c>
      <c r="B51" t="s">
        <v>1786</v>
      </c>
      <c r="C51" t="s">
        <v>1759</v>
      </c>
      <c r="D51" t="s">
        <v>1768</v>
      </c>
      <c r="K51"/>
      <c r="L51"/>
      <c r="M51"/>
    </row>
    <row r="52" spans="1:13">
      <c r="A52" s="2" t="s">
        <v>314</v>
      </c>
      <c r="B52" t="s">
        <v>1786</v>
      </c>
      <c r="C52" t="s">
        <v>1759</v>
      </c>
      <c r="D52" t="s">
        <v>1768</v>
      </c>
      <c r="K52"/>
      <c r="L52"/>
      <c r="M52"/>
    </row>
    <row r="53" spans="1:13">
      <c r="A53" s="2" t="s">
        <v>217</v>
      </c>
      <c r="B53" t="s">
        <v>1786</v>
      </c>
      <c r="C53" t="s">
        <v>1759</v>
      </c>
      <c r="D53" t="s">
        <v>1768</v>
      </c>
      <c r="K53"/>
      <c r="L53"/>
      <c r="M53"/>
    </row>
    <row r="54" spans="1:13">
      <c r="A54" s="2" t="s">
        <v>254</v>
      </c>
      <c r="B54" t="s">
        <v>1786</v>
      </c>
      <c r="C54" t="s">
        <v>1759</v>
      </c>
      <c r="D54" t="s">
        <v>1768</v>
      </c>
      <c r="K54"/>
      <c r="L54"/>
      <c r="M54"/>
    </row>
    <row r="55" spans="1:13">
      <c r="A55" s="2" t="s">
        <v>199</v>
      </c>
      <c r="B55" t="s">
        <v>1786</v>
      </c>
      <c r="C55" t="s">
        <v>1766</v>
      </c>
      <c r="D55" t="s">
        <v>1769</v>
      </c>
      <c r="K55"/>
      <c r="L55"/>
      <c r="M55"/>
    </row>
    <row r="56" spans="1:13">
      <c r="A56" s="2" t="s">
        <v>196</v>
      </c>
      <c r="B56" t="s">
        <v>1786</v>
      </c>
      <c r="C56" t="s">
        <v>1759</v>
      </c>
      <c r="D56" t="s">
        <v>1768</v>
      </c>
      <c r="K56"/>
      <c r="L56"/>
      <c r="M56"/>
    </row>
    <row r="57" spans="1:13">
      <c r="A57" s="2" t="s">
        <v>257</v>
      </c>
      <c r="B57" t="s">
        <v>1786</v>
      </c>
      <c r="C57" t="s">
        <v>1759</v>
      </c>
      <c r="D57" t="s">
        <v>1768</v>
      </c>
      <c r="K57"/>
      <c r="L57"/>
      <c r="M57"/>
    </row>
    <row r="58" spans="1:13">
      <c r="A58" s="2" t="s">
        <v>215</v>
      </c>
      <c r="B58" t="s">
        <v>1786</v>
      </c>
      <c r="C58" t="s">
        <v>1759</v>
      </c>
      <c r="D58" t="s">
        <v>1768</v>
      </c>
      <c r="K58"/>
      <c r="L58"/>
      <c r="M58"/>
    </row>
    <row r="59" spans="1:13">
      <c r="A59" s="2" t="s">
        <v>214</v>
      </c>
      <c r="B59" t="s">
        <v>1786</v>
      </c>
      <c r="C59" t="s">
        <v>1759</v>
      </c>
      <c r="D59" t="s">
        <v>1768</v>
      </c>
      <c r="K59"/>
      <c r="L59"/>
      <c r="M59"/>
    </row>
    <row r="60" spans="1:13">
      <c r="A60" s="2" t="s">
        <v>227</v>
      </c>
      <c r="B60" t="s">
        <v>1786</v>
      </c>
      <c r="C60" t="s">
        <v>1759</v>
      </c>
      <c r="D60" t="s">
        <v>1768</v>
      </c>
      <c r="K60"/>
      <c r="L60"/>
      <c r="M60"/>
    </row>
    <row r="61" spans="1:13">
      <c r="A61" s="2" t="s">
        <v>290</v>
      </c>
      <c r="B61" t="s">
        <v>1786</v>
      </c>
      <c r="C61" t="s">
        <v>1759</v>
      </c>
      <c r="D61" t="s">
        <v>1768</v>
      </c>
      <c r="K61"/>
      <c r="L61"/>
      <c r="M61"/>
    </row>
    <row r="62" spans="1:13">
      <c r="A62" s="2" t="s">
        <v>251</v>
      </c>
      <c r="B62" t="s">
        <v>1786</v>
      </c>
      <c r="C62" t="s">
        <v>1759</v>
      </c>
      <c r="D62" t="s">
        <v>1768</v>
      </c>
      <c r="K62"/>
      <c r="L62"/>
      <c r="M62"/>
    </row>
    <row r="63" spans="1:13">
      <c r="A63" s="2" t="s">
        <v>272</v>
      </c>
      <c r="B63" t="s">
        <v>1786</v>
      </c>
      <c r="C63" t="s">
        <v>1759</v>
      </c>
      <c r="D63" t="s">
        <v>1768</v>
      </c>
      <c r="K63"/>
      <c r="L63"/>
      <c r="M63"/>
    </row>
    <row r="64" spans="1:13">
      <c r="A64" s="2" t="s">
        <v>267</v>
      </c>
      <c r="B64" t="s">
        <v>1786</v>
      </c>
      <c r="C64" t="s">
        <v>1759</v>
      </c>
      <c r="D64" t="s">
        <v>1768</v>
      </c>
      <c r="K64"/>
      <c r="L64"/>
      <c r="M64"/>
    </row>
    <row r="65" spans="1:13">
      <c r="A65" s="2" t="s">
        <v>284</v>
      </c>
      <c r="B65" t="s">
        <v>1786</v>
      </c>
      <c r="C65" t="s">
        <v>1759</v>
      </c>
      <c r="D65" t="s">
        <v>1768</v>
      </c>
      <c r="K65"/>
      <c r="L65"/>
      <c r="M65"/>
    </row>
    <row r="66" spans="1:13">
      <c r="A66" s="2" t="s">
        <v>287</v>
      </c>
      <c r="B66" t="s">
        <v>1786</v>
      </c>
      <c r="C66" t="s">
        <v>1759</v>
      </c>
      <c r="D66" t="s">
        <v>1768</v>
      </c>
      <c r="K66"/>
      <c r="L66"/>
      <c r="M66"/>
    </row>
    <row r="67" spans="1:13">
      <c r="A67" s="2" t="s">
        <v>311</v>
      </c>
      <c r="B67" t="s">
        <v>1786</v>
      </c>
      <c r="C67" t="s">
        <v>1759</v>
      </c>
      <c r="D67" t="s">
        <v>1768</v>
      </c>
      <c r="K67"/>
      <c r="L67"/>
      <c r="M67"/>
    </row>
    <row r="68" spans="1:13">
      <c r="A68" s="2" t="s">
        <v>273</v>
      </c>
      <c r="B68" t="s">
        <v>1786</v>
      </c>
      <c r="C68" t="s">
        <v>1759</v>
      </c>
      <c r="D68" t="s">
        <v>1768</v>
      </c>
      <c r="K68"/>
      <c r="L68"/>
      <c r="M68"/>
    </row>
    <row r="69" spans="1:13">
      <c r="A69" s="2" t="s">
        <v>277</v>
      </c>
      <c r="B69" t="s">
        <v>1786</v>
      </c>
      <c r="C69" t="s">
        <v>1759</v>
      </c>
      <c r="D69" t="s">
        <v>1768</v>
      </c>
      <c r="K69"/>
      <c r="L69"/>
      <c r="M69"/>
    </row>
    <row r="70" spans="1:13">
      <c r="A70" s="2" t="s">
        <v>626</v>
      </c>
      <c r="B70" t="s">
        <v>1786</v>
      </c>
      <c r="C70" t="s">
        <v>1759</v>
      </c>
      <c r="D70" t="s">
        <v>1768</v>
      </c>
      <c r="K70"/>
      <c r="L70"/>
      <c r="M70"/>
    </row>
    <row r="71" spans="1:13">
      <c r="A71" s="2" t="s">
        <v>210</v>
      </c>
      <c r="B71" t="s">
        <v>1786</v>
      </c>
      <c r="C71" t="s">
        <v>1766</v>
      </c>
      <c r="D71" t="s">
        <v>1769</v>
      </c>
      <c r="K71"/>
      <c r="L71"/>
      <c r="M71"/>
    </row>
    <row r="72" spans="1:13">
      <c r="A72" s="2" t="s">
        <v>269</v>
      </c>
      <c r="B72" t="s">
        <v>1786</v>
      </c>
      <c r="C72" t="s">
        <v>1759</v>
      </c>
      <c r="D72" t="s">
        <v>1768</v>
      </c>
      <c r="K72"/>
      <c r="L72"/>
      <c r="M72"/>
    </row>
    <row r="73" spans="1:13">
      <c r="A73" s="2" t="s">
        <v>304</v>
      </c>
      <c r="B73" t="s">
        <v>1786</v>
      </c>
      <c r="C73" t="s">
        <v>1759</v>
      </c>
      <c r="D73" t="s">
        <v>1768</v>
      </c>
      <c r="K73"/>
      <c r="L73"/>
      <c r="M73"/>
    </row>
    <row r="74" spans="1:13">
      <c r="A74" s="2" t="s">
        <v>198</v>
      </c>
      <c r="B74" t="s">
        <v>1786</v>
      </c>
      <c r="C74" t="s">
        <v>1759</v>
      </c>
      <c r="D74" t="s">
        <v>1768</v>
      </c>
      <c r="K74"/>
      <c r="L74"/>
      <c r="M74"/>
    </row>
    <row r="75" spans="1:13">
      <c r="A75" s="2" t="s">
        <v>206</v>
      </c>
      <c r="B75" t="s">
        <v>1786</v>
      </c>
      <c r="C75" t="s">
        <v>1766</v>
      </c>
      <c r="D75" t="s">
        <v>1769</v>
      </c>
      <c r="K75"/>
      <c r="L75"/>
      <c r="M75"/>
    </row>
    <row r="76" spans="1:13">
      <c r="A76" s="2" t="s">
        <v>315</v>
      </c>
      <c r="B76" t="s">
        <v>1786</v>
      </c>
      <c r="C76" t="s">
        <v>1759</v>
      </c>
      <c r="D76" t="s">
        <v>1768</v>
      </c>
      <c r="K76"/>
      <c r="L76"/>
      <c r="M76"/>
    </row>
    <row r="77" spans="1:13">
      <c r="A77" s="2" t="s">
        <v>320</v>
      </c>
      <c r="B77" t="s">
        <v>1786</v>
      </c>
      <c r="C77" t="s">
        <v>1759</v>
      </c>
      <c r="D77" t="s">
        <v>1768</v>
      </c>
      <c r="K77"/>
      <c r="L77"/>
      <c r="M77"/>
    </row>
    <row r="78" spans="1:13">
      <c r="A78" s="2" t="s">
        <v>278</v>
      </c>
      <c r="B78" t="s">
        <v>1786</v>
      </c>
      <c r="C78" t="s">
        <v>1759</v>
      </c>
      <c r="D78" t="s">
        <v>1768</v>
      </c>
      <c r="K78"/>
      <c r="L78"/>
      <c r="M78"/>
    </row>
    <row r="79" spans="1:13">
      <c r="A79" s="2" t="s">
        <v>240</v>
      </c>
      <c r="B79" t="s">
        <v>1786</v>
      </c>
      <c r="C79" t="s">
        <v>1766</v>
      </c>
      <c r="D79" t="s">
        <v>1773</v>
      </c>
      <c r="K79"/>
      <c r="L79"/>
      <c r="M79"/>
    </row>
    <row r="80" spans="1:13">
      <c r="A80" s="2" t="s">
        <v>294</v>
      </c>
      <c r="B80" t="s">
        <v>1786</v>
      </c>
      <c r="C80" t="s">
        <v>1759</v>
      </c>
      <c r="D80" t="s">
        <v>1768</v>
      </c>
      <c r="K80"/>
      <c r="L80"/>
      <c r="M80"/>
    </row>
    <row r="81" spans="1:13">
      <c r="A81" s="2" t="s">
        <v>296</v>
      </c>
      <c r="B81" t="s">
        <v>1786</v>
      </c>
      <c r="C81" t="s">
        <v>1759</v>
      </c>
      <c r="D81" t="s">
        <v>1768</v>
      </c>
      <c r="K81"/>
      <c r="L81"/>
      <c r="M81"/>
    </row>
    <row r="82" spans="1:13">
      <c r="A82" s="2" t="s">
        <v>307</v>
      </c>
      <c r="B82" t="s">
        <v>1786</v>
      </c>
      <c r="C82" t="s">
        <v>1759</v>
      </c>
      <c r="D82" t="s">
        <v>1768</v>
      </c>
      <c r="K82"/>
      <c r="L82"/>
      <c r="M82"/>
    </row>
    <row r="83" spans="1:13">
      <c r="A83" s="2" t="s">
        <v>313</v>
      </c>
      <c r="B83" t="s">
        <v>1786</v>
      </c>
      <c r="C83" t="s">
        <v>1759</v>
      </c>
      <c r="D83" t="s">
        <v>1768</v>
      </c>
      <c r="K83"/>
      <c r="L83"/>
      <c r="M83"/>
    </row>
    <row r="84" spans="1:13">
      <c r="A84" s="2" t="s">
        <v>241</v>
      </c>
      <c r="B84" t="s">
        <v>1786</v>
      </c>
      <c r="C84" t="s">
        <v>1759</v>
      </c>
      <c r="D84" t="s">
        <v>1768</v>
      </c>
      <c r="K84"/>
      <c r="L84"/>
      <c r="M84"/>
    </row>
    <row r="85" spans="1:13">
      <c r="A85" s="2" t="s">
        <v>221</v>
      </c>
      <c r="B85" t="s">
        <v>1786</v>
      </c>
      <c r="C85" t="s">
        <v>1759</v>
      </c>
      <c r="D85" t="s">
        <v>1768</v>
      </c>
      <c r="K85"/>
      <c r="L85"/>
      <c r="M85"/>
    </row>
    <row r="86" spans="1:13">
      <c r="A86" s="2" t="s">
        <v>229</v>
      </c>
      <c r="B86" t="s">
        <v>1786</v>
      </c>
      <c r="C86" t="s">
        <v>1759</v>
      </c>
      <c r="D86" t="s">
        <v>1768</v>
      </c>
      <c r="K86"/>
      <c r="L86"/>
      <c r="M86"/>
    </row>
    <row r="87" spans="1:13">
      <c r="A87" s="2" t="s">
        <v>312</v>
      </c>
      <c r="B87" t="s">
        <v>1786</v>
      </c>
      <c r="C87" t="s">
        <v>1759</v>
      </c>
      <c r="D87" t="s">
        <v>1768</v>
      </c>
      <c r="K87"/>
      <c r="L87"/>
      <c r="M87"/>
    </row>
    <row r="88" spans="1:13">
      <c r="A88" s="2" t="s">
        <v>258</v>
      </c>
      <c r="B88" t="s">
        <v>1786</v>
      </c>
      <c r="C88" t="s">
        <v>1766</v>
      </c>
      <c r="D88" t="s">
        <v>1769</v>
      </c>
      <c r="K88"/>
      <c r="L88"/>
      <c r="M88"/>
    </row>
    <row r="89" spans="1:13">
      <c r="A89" s="2" t="s">
        <v>255</v>
      </c>
      <c r="B89" t="s">
        <v>1786</v>
      </c>
      <c r="C89" t="s">
        <v>1766</v>
      </c>
      <c r="D89" t="s">
        <v>1772</v>
      </c>
      <c r="K89"/>
      <c r="L89"/>
      <c r="M89"/>
    </row>
    <row r="90" spans="1:13">
      <c r="A90" s="2" t="s">
        <v>231</v>
      </c>
      <c r="B90" t="s">
        <v>1786</v>
      </c>
      <c r="C90" t="s">
        <v>1759</v>
      </c>
      <c r="D90" t="s">
        <v>1768</v>
      </c>
      <c r="K90"/>
      <c r="L90"/>
      <c r="M90"/>
    </row>
    <row r="91" spans="1:13">
      <c r="A91" s="2" t="s">
        <v>224</v>
      </c>
      <c r="B91" t="s">
        <v>1786</v>
      </c>
      <c r="C91" t="s">
        <v>1759</v>
      </c>
      <c r="D91" t="s">
        <v>1768</v>
      </c>
      <c r="K91"/>
      <c r="L91"/>
      <c r="M91"/>
    </row>
    <row r="92" spans="1:13">
      <c r="A92" s="2" t="s">
        <v>243</v>
      </c>
      <c r="B92" t="s">
        <v>1786</v>
      </c>
      <c r="C92" t="s">
        <v>1759</v>
      </c>
      <c r="D92" t="s">
        <v>1768</v>
      </c>
      <c r="K92"/>
      <c r="L92"/>
      <c r="M92"/>
    </row>
    <row r="93" spans="1:13">
      <c r="A93" s="2" t="s">
        <v>283</v>
      </c>
      <c r="B93" t="s">
        <v>1786</v>
      </c>
      <c r="C93" t="s">
        <v>1759</v>
      </c>
      <c r="D93" t="s">
        <v>1768</v>
      </c>
      <c r="K93"/>
      <c r="L93"/>
      <c r="M93"/>
    </row>
    <row r="94" spans="1:13">
      <c r="A94" s="2" t="s">
        <v>310</v>
      </c>
      <c r="B94" t="s">
        <v>1786</v>
      </c>
      <c r="C94" t="s">
        <v>1759</v>
      </c>
      <c r="D94" t="s">
        <v>1768</v>
      </c>
      <c r="K94"/>
      <c r="L94"/>
      <c r="M94"/>
    </row>
    <row r="95" spans="1:13">
      <c r="A95" s="2" t="s">
        <v>317</v>
      </c>
      <c r="B95" t="s">
        <v>1786</v>
      </c>
      <c r="C95" t="s">
        <v>1759</v>
      </c>
      <c r="D95" t="s">
        <v>1768</v>
      </c>
      <c r="K95"/>
      <c r="L95"/>
      <c r="M95"/>
    </row>
    <row r="96" spans="1:13">
      <c r="A96" s="2" t="s">
        <v>299</v>
      </c>
      <c r="B96" t="s">
        <v>1786</v>
      </c>
      <c r="C96" t="s">
        <v>1759</v>
      </c>
      <c r="D96" t="s">
        <v>1768</v>
      </c>
      <c r="K96"/>
      <c r="L96"/>
      <c r="M96"/>
    </row>
    <row r="97" spans="1:13">
      <c r="A97" s="2" t="s">
        <v>276</v>
      </c>
      <c r="B97" t="s">
        <v>1786</v>
      </c>
      <c r="C97" t="s">
        <v>1759</v>
      </c>
      <c r="D97" t="s">
        <v>1768</v>
      </c>
      <c r="K97"/>
      <c r="L97"/>
      <c r="M97"/>
    </row>
    <row r="98" spans="1:13">
      <c r="A98" s="2" t="s">
        <v>318</v>
      </c>
      <c r="B98" t="s">
        <v>1786</v>
      </c>
      <c r="C98" t="s">
        <v>1759</v>
      </c>
      <c r="D98" t="s">
        <v>1768</v>
      </c>
      <c r="K98"/>
      <c r="L98"/>
      <c r="M98"/>
    </row>
    <row r="99" spans="1:13">
      <c r="A99" s="2" t="s">
        <v>289</v>
      </c>
      <c r="B99" t="s">
        <v>1786</v>
      </c>
      <c r="C99" t="s">
        <v>1759</v>
      </c>
      <c r="D99" t="s">
        <v>1768</v>
      </c>
      <c r="K99"/>
      <c r="L99"/>
      <c r="M99"/>
    </row>
    <row r="100" spans="1:13">
      <c r="A100" s="2" t="s">
        <v>271</v>
      </c>
      <c r="B100" t="s">
        <v>1786</v>
      </c>
      <c r="C100" t="s">
        <v>1759</v>
      </c>
      <c r="D100" t="s">
        <v>1768</v>
      </c>
      <c r="K100"/>
      <c r="L100"/>
      <c r="M100"/>
    </row>
    <row r="101" spans="1:13">
      <c r="A101" s="2" t="s">
        <v>237</v>
      </c>
      <c r="B101" t="s">
        <v>1786</v>
      </c>
      <c r="C101" t="s">
        <v>1759</v>
      </c>
      <c r="D101" t="s">
        <v>1768</v>
      </c>
      <c r="K101"/>
      <c r="L101"/>
      <c r="M101"/>
    </row>
    <row r="102" spans="1:13">
      <c r="A102" s="2" t="s">
        <v>200</v>
      </c>
      <c r="B102" t="s">
        <v>1786</v>
      </c>
      <c r="C102" t="s">
        <v>1759</v>
      </c>
      <c r="D102" t="s">
        <v>1768</v>
      </c>
      <c r="K102"/>
      <c r="L102"/>
      <c r="M102"/>
    </row>
    <row r="103" spans="1:13">
      <c r="A103" s="2" t="s">
        <v>301</v>
      </c>
      <c r="B103" t="s">
        <v>1786</v>
      </c>
      <c r="C103" t="s">
        <v>1759</v>
      </c>
      <c r="D103" t="s">
        <v>1768</v>
      </c>
      <c r="K103"/>
      <c r="L103"/>
      <c r="M103"/>
    </row>
    <row r="104" spans="1:13">
      <c r="A104" s="2" t="s">
        <v>303</v>
      </c>
      <c r="B104" t="s">
        <v>1786</v>
      </c>
      <c r="C104" t="s">
        <v>1759</v>
      </c>
      <c r="D104" t="s">
        <v>1768</v>
      </c>
      <c r="K104"/>
      <c r="L104"/>
      <c r="M104"/>
    </row>
    <row r="105" spans="1:13">
      <c r="A105" s="2" t="s">
        <v>246</v>
      </c>
      <c r="B105" t="s">
        <v>1786</v>
      </c>
      <c r="C105" t="s">
        <v>1759</v>
      </c>
      <c r="D105" t="s">
        <v>1768</v>
      </c>
      <c r="K105"/>
      <c r="L105"/>
      <c r="M105"/>
    </row>
    <row r="106" spans="1:13">
      <c r="A106" s="2" t="s">
        <v>228</v>
      </c>
      <c r="B106" t="s">
        <v>1786</v>
      </c>
      <c r="C106" t="s">
        <v>1766</v>
      </c>
      <c r="D106" t="s">
        <v>1769</v>
      </c>
      <c r="K106"/>
      <c r="L106"/>
      <c r="M106"/>
    </row>
    <row r="107" spans="1:13">
      <c r="A107" s="2" t="s">
        <v>281</v>
      </c>
      <c r="B107" t="s">
        <v>1786</v>
      </c>
      <c r="C107" t="s">
        <v>1759</v>
      </c>
      <c r="D107" t="s">
        <v>1768</v>
      </c>
      <c r="K107"/>
      <c r="L107"/>
      <c r="M107"/>
    </row>
    <row r="108" spans="1:13">
      <c r="A108" s="2" t="s">
        <v>249</v>
      </c>
      <c r="B108" t="s">
        <v>1786</v>
      </c>
      <c r="C108" t="s">
        <v>1759</v>
      </c>
      <c r="D108" t="s">
        <v>1768</v>
      </c>
      <c r="K108"/>
      <c r="L108"/>
      <c r="M108"/>
    </row>
    <row r="109" spans="1:13">
      <c r="A109" s="2" t="s">
        <v>250</v>
      </c>
      <c r="B109" t="s">
        <v>1786</v>
      </c>
      <c r="C109" t="s">
        <v>1759</v>
      </c>
      <c r="D109" t="s">
        <v>1768</v>
      </c>
      <c r="K109"/>
      <c r="L109"/>
      <c r="M109"/>
    </row>
    <row r="110" spans="1:13">
      <c r="A110" s="2" t="s">
        <v>322</v>
      </c>
      <c r="B110" t="s">
        <v>1786</v>
      </c>
      <c r="C110" t="s">
        <v>1759</v>
      </c>
      <c r="D110" t="s">
        <v>1768</v>
      </c>
      <c r="K110"/>
      <c r="L110"/>
      <c r="M110"/>
    </row>
    <row r="111" spans="1:13">
      <c r="A111" s="2" t="s">
        <v>263</v>
      </c>
      <c r="B111" t="s">
        <v>1786</v>
      </c>
      <c r="C111" t="s">
        <v>1766</v>
      </c>
      <c r="D111" t="s">
        <v>1769</v>
      </c>
      <c r="K111"/>
      <c r="L111"/>
      <c r="M111"/>
    </row>
    <row r="112" spans="1:13">
      <c r="A112" s="2" t="s">
        <v>260</v>
      </c>
      <c r="B112" t="s">
        <v>1786</v>
      </c>
      <c r="C112" t="s">
        <v>1766</v>
      </c>
      <c r="D112" t="s">
        <v>1769</v>
      </c>
      <c r="K112"/>
      <c r="L112"/>
      <c r="M112"/>
    </row>
    <row r="113" spans="1:13">
      <c r="A113" s="2" t="s">
        <v>309</v>
      </c>
      <c r="B113" t="s">
        <v>1786</v>
      </c>
      <c r="C113" t="s">
        <v>1760</v>
      </c>
      <c r="D113" t="s">
        <v>1768</v>
      </c>
      <c r="K113"/>
      <c r="L113"/>
      <c r="M113"/>
    </row>
    <row r="114" spans="1:13">
      <c r="A114" s="2" t="s">
        <v>308</v>
      </c>
      <c r="B114" t="s">
        <v>1786</v>
      </c>
      <c r="C114" t="s">
        <v>1761</v>
      </c>
      <c r="D114" t="s">
        <v>1768</v>
      </c>
      <c r="K114"/>
      <c r="L114"/>
      <c r="M114"/>
    </row>
    <row r="115" spans="1:13">
      <c r="A115" s="2" t="s">
        <v>305</v>
      </c>
      <c r="B115" t="s">
        <v>1786</v>
      </c>
      <c r="C115" t="s">
        <v>1759</v>
      </c>
      <c r="D115" t="s">
        <v>1768</v>
      </c>
      <c r="K115"/>
      <c r="L115"/>
      <c r="M115"/>
    </row>
    <row r="116" spans="1:13">
      <c r="A116" s="2" t="s">
        <v>252</v>
      </c>
      <c r="B116" t="s">
        <v>1786</v>
      </c>
      <c r="C116" t="s">
        <v>1759</v>
      </c>
      <c r="D116" t="s">
        <v>1768</v>
      </c>
      <c r="K116"/>
      <c r="L116"/>
      <c r="M116"/>
    </row>
    <row r="117" spans="1:13">
      <c r="A117" s="2" t="s">
        <v>208</v>
      </c>
      <c r="B117" t="s">
        <v>1786</v>
      </c>
      <c r="C117" t="s">
        <v>1759</v>
      </c>
      <c r="D117" t="s">
        <v>1768</v>
      </c>
      <c r="K117"/>
      <c r="L117"/>
      <c r="M117"/>
    </row>
    <row r="118" spans="1:13">
      <c r="A118" s="2" t="s">
        <v>323</v>
      </c>
      <c r="B118" t="s">
        <v>1786</v>
      </c>
      <c r="C118" t="s">
        <v>1759</v>
      </c>
      <c r="D118" t="s">
        <v>1768</v>
      </c>
      <c r="K118"/>
      <c r="L118"/>
      <c r="M118"/>
    </row>
    <row r="119" spans="1:13">
      <c r="A119" s="2" t="s">
        <v>218</v>
      </c>
      <c r="B119" t="s">
        <v>1786</v>
      </c>
      <c r="C119" t="s">
        <v>1759</v>
      </c>
      <c r="D119" t="s">
        <v>1768</v>
      </c>
      <c r="K119"/>
      <c r="L119"/>
      <c r="M119"/>
    </row>
    <row r="120" spans="1:13">
      <c r="A120" s="2" t="s">
        <v>245</v>
      </c>
      <c r="B120" t="s">
        <v>1786</v>
      </c>
      <c r="C120" t="s">
        <v>1766</v>
      </c>
      <c r="D120" t="s">
        <v>1773</v>
      </c>
      <c r="K120"/>
      <c r="L120"/>
      <c r="M120"/>
    </row>
    <row r="121" spans="1:13">
      <c r="A121" s="2" t="s">
        <v>936</v>
      </c>
      <c r="B121" t="s">
        <v>1786</v>
      </c>
      <c r="C121" t="s">
        <v>1766</v>
      </c>
      <c r="D121" t="s">
        <v>1773</v>
      </c>
      <c r="K121"/>
      <c r="L121"/>
      <c r="M121"/>
    </row>
    <row r="122" spans="1:13">
      <c r="A122" s="2" t="s">
        <v>203</v>
      </c>
      <c r="B122" t="s">
        <v>1786</v>
      </c>
      <c r="C122" t="s">
        <v>1760</v>
      </c>
      <c r="D122" t="s">
        <v>1769</v>
      </c>
      <c r="K122"/>
      <c r="L122"/>
      <c r="M122"/>
    </row>
    <row r="123" spans="1:13">
      <c r="A123" s="2" t="s">
        <v>197</v>
      </c>
      <c r="B123" t="s">
        <v>1786</v>
      </c>
      <c r="C123" t="s">
        <v>1759</v>
      </c>
      <c r="D123" t="s">
        <v>1768</v>
      </c>
      <c r="K123"/>
      <c r="L123"/>
      <c r="M123"/>
    </row>
    <row r="124" spans="1:13">
      <c r="A124" s="2" t="s">
        <v>285</v>
      </c>
      <c r="B124" t="s">
        <v>1786</v>
      </c>
      <c r="C124" t="s">
        <v>1759</v>
      </c>
      <c r="D124" t="s">
        <v>1768</v>
      </c>
      <c r="K124"/>
      <c r="L124"/>
      <c r="M124"/>
    </row>
    <row r="125" spans="1:13">
      <c r="A125" s="2" t="s">
        <v>262</v>
      </c>
      <c r="B125" t="s">
        <v>1786</v>
      </c>
      <c r="C125" t="s">
        <v>1759</v>
      </c>
      <c r="D125" t="s">
        <v>1768</v>
      </c>
      <c r="K125"/>
      <c r="L125"/>
      <c r="M125"/>
    </row>
    <row r="126" spans="1:13">
      <c r="A126" s="2" t="s">
        <v>207</v>
      </c>
      <c r="B126" t="s">
        <v>1786</v>
      </c>
      <c r="C126" t="s">
        <v>1760</v>
      </c>
      <c r="D126" t="s">
        <v>1769</v>
      </c>
      <c r="K126"/>
      <c r="L126"/>
      <c r="M126"/>
    </row>
    <row r="127" spans="1:13">
      <c r="A127" s="2" t="s">
        <v>265</v>
      </c>
      <c r="B127" t="s">
        <v>1786</v>
      </c>
      <c r="C127" t="s">
        <v>1759</v>
      </c>
      <c r="D127" t="s">
        <v>1768</v>
      </c>
      <c r="K127"/>
      <c r="L127"/>
      <c r="M127"/>
    </row>
    <row r="128" spans="1:13">
      <c r="A128" s="2" t="s">
        <v>261</v>
      </c>
      <c r="B128" t="s">
        <v>1786</v>
      </c>
      <c r="C128" t="s">
        <v>1759</v>
      </c>
      <c r="D128" t="s">
        <v>1768</v>
      </c>
      <c r="K128"/>
      <c r="L128"/>
      <c r="M128"/>
    </row>
    <row r="129" spans="1:13">
      <c r="A129" s="2" t="s">
        <v>234</v>
      </c>
      <c r="B129" t="s">
        <v>1786</v>
      </c>
      <c r="C129" t="s">
        <v>1762</v>
      </c>
      <c r="D129" t="s">
        <v>1768</v>
      </c>
      <c r="K129"/>
      <c r="L129"/>
      <c r="M129"/>
    </row>
    <row r="130" spans="1:13">
      <c r="A130" s="2" t="s">
        <v>204</v>
      </c>
      <c r="B130" t="s">
        <v>1786</v>
      </c>
      <c r="C130" t="s">
        <v>1760</v>
      </c>
      <c r="D130" t="s">
        <v>1769</v>
      </c>
      <c r="K130"/>
      <c r="L130"/>
      <c r="M130"/>
    </row>
    <row r="131" spans="1:13">
      <c r="A131" s="2" t="s">
        <v>202</v>
      </c>
      <c r="B131" t="s">
        <v>1786</v>
      </c>
      <c r="C131" t="s">
        <v>1759</v>
      </c>
      <c r="D131" t="s">
        <v>1768</v>
      </c>
      <c r="K131"/>
      <c r="L131"/>
      <c r="M131"/>
    </row>
    <row r="132" spans="1:13">
      <c r="A132" s="2" t="s">
        <v>275</v>
      </c>
      <c r="B132" t="s">
        <v>1786</v>
      </c>
      <c r="C132" t="s">
        <v>1759</v>
      </c>
      <c r="D132" t="s">
        <v>1768</v>
      </c>
      <c r="K132"/>
      <c r="L132"/>
      <c r="M132"/>
    </row>
    <row r="133" spans="1:13">
      <c r="A133" s="2" t="s">
        <v>521</v>
      </c>
      <c r="B133" t="s">
        <v>1786</v>
      </c>
      <c r="C133" t="s">
        <v>1763</v>
      </c>
      <c r="D133" t="s">
        <v>1768</v>
      </c>
      <c r="K133"/>
      <c r="L133"/>
      <c r="M133"/>
    </row>
    <row r="134" spans="1:13">
      <c r="A134" s="2" t="s">
        <v>526</v>
      </c>
      <c r="B134" t="s">
        <v>1786</v>
      </c>
      <c r="C134" t="s">
        <v>1763</v>
      </c>
      <c r="D134" t="s">
        <v>1768</v>
      </c>
      <c r="K134"/>
      <c r="L134"/>
      <c r="M134"/>
    </row>
    <row r="135" spans="1:13">
      <c r="A135" s="2" t="s">
        <v>498</v>
      </c>
      <c r="B135" t="s">
        <v>1786</v>
      </c>
      <c r="C135" t="s">
        <v>1763</v>
      </c>
      <c r="D135" t="s">
        <v>1768</v>
      </c>
      <c r="K135"/>
      <c r="L135"/>
      <c r="M135"/>
    </row>
    <row r="136" spans="1:13">
      <c r="A136" s="2" t="s">
        <v>480</v>
      </c>
      <c r="B136" t="s">
        <v>1786</v>
      </c>
      <c r="C136" t="s">
        <v>1763</v>
      </c>
      <c r="D136" t="s">
        <v>1768</v>
      </c>
      <c r="K136"/>
      <c r="L136"/>
      <c r="M136"/>
    </row>
    <row r="137" spans="1:13">
      <c r="A137" s="2" t="s">
        <v>509</v>
      </c>
      <c r="B137" t="s">
        <v>1786</v>
      </c>
      <c r="C137" t="s">
        <v>1763</v>
      </c>
      <c r="D137" t="s">
        <v>1768</v>
      </c>
      <c r="K137"/>
      <c r="L137"/>
      <c r="M137"/>
    </row>
    <row r="138" spans="1:13">
      <c r="A138" s="2" t="s">
        <v>483</v>
      </c>
      <c r="B138" t="s">
        <v>1786</v>
      </c>
      <c r="C138" t="s">
        <v>1763</v>
      </c>
      <c r="D138" t="s">
        <v>1768</v>
      </c>
      <c r="K138"/>
      <c r="L138"/>
      <c r="M138"/>
    </row>
    <row r="139" spans="1:13">
      <c r="A139" s="2" t="s">
        <v>524</v>
      </c>
      <c r="B139" t="s">
        <v>1786</v>
      </c>
      <c r="C139" t="s">
        <v>1763</v>
      </c>
      <c r="D139" t="s">
        <v>1768</v>
      </c>
      <c r="K139"/>
      <c r="L139"/>
      <c r="M139"/>
    </row>
    <row r="140" spans="1:13">
      <c r="A140" s="2" t="s">
        <v>508</v>
      </c>
      <c r="B140" t="s">
        <v>1786</v>
      </c>
      <c r="C140" t="s">
        <v>1763</v>
      </c>
      <c r="D140" t="s">
        <v>1768</v>
      </c>
      <c r="K140"/>
      <c r="L140"/>
      <c r="M140"/>
    </row>
    <row r="141" spans="1:13">
      <c r="A141" s="2" t="s">
        <v>497</v>
      </c>
      <c r="B141" t="s">
        <v>1786</v>
      </c>
      <c r="C141" t="s">
        <v>1763</v>
      </c>
      <c r="D141" t="s">
        <v>1768</v>
      </c>
      <c r="K141"/>
      <c r="L141"/>
      <c r="M141"/>
    </row>
    <row r="142" spans="1:13">
      <c r="A142" s="2" t="s">
        <v>516</v>
      </c>
      <c r="B142" t="s">
        <v>1786</v>
      </c>
      <c r="C142" t="s">
        <v>1763</v>
      </c>
      <c r="D142" t="s">
        <v>1768</v>
      </c>
      <c r="K142"/>
      <c r="L142"/>
      <c r="M142"/>
    </row>
    <row r="143" spans="1:13">
      <c r="A143" s="2" t="s">
        <v>514</v>
      </c>
      <c r="B143" t="s">
        <v>1786</v>
      </c>
      <c r="C143" t="s">
        <v>1763</v>
      </c>
      <c r="D143" t="s">
        <v>1768</v>
      </c>
      <c r="K143"/>
      <c r="L143"/>
      <c r="M143"/>
    </row>
    <row r="144" spans="1:13">
      <c r="A144" s="2" t="s">
        <v>486</v>
      </c>
      <c r="B144" t="s">
        <v>1786</v>
      </c>
      <c r="C144" t="s">
        <v>1763</v>
      </c>
      <c r="D144" t="s">
        <v>1768</v>
      </c>
      <c r="K144"/>
      <c r="L144"/>
      <c r="M144"/>
    </row>
    <row r="145" spans="1:13">
      <c r="A145" s="2" t="s">
        <v>525</v>
      </c>
      <c r="B145" t="s">
        <v>1786</v>
      </c>
      <c r="C145" t="s">
        <v>1763</v>
      </c>
      <c r="D145" t="s">
        <v>1768</v>
      </c>
      <c r="K145"/>
      <c r="L145"/>
      <c r="M145"/>
    </row>
    <row r="146" spans="1:13">
      <c r="A146" s="2" t="s">
        <v>489</v>
      </c>
      <c r="B146" t="s">
        <v>1786</v>
      </c>
      <c r="C146" t="s">
        <v>1763</v>
      </c>
      <c r="D146" t="s">
        <v>1768</v>
      </c>
      <c r="K146"/>
      <c r="L146"/>
      <c r="M146"/>
    </row>
    <row r="147" spans="1:13">
      <c r="A147" s="2" t="s">
        <v>513</v>
      </c>
      <c r="B147" t="s">
        <v>1786</v>
      </c>
      <c r="C147" t="s">
        <v>1763</v>
      </c>
      <c r="D147" t="s">
        <v>1768</v>
      </c>
      <c r="K147"/>
      <c r="L147"/>
      <c r="M147"/>
    </row>
    <row r="148" spans="1:13">
      <c r="A148" s="2" t="s">
        <v>501</v>
      </c>
      <c r="B148" t="s">
        <v>1786</v>
      </c>
      <c r="C148" t="s">
        <v>1763</v>
      </c>
      <c r="D148" t="s">
        <v>1768</v>
      </c>
      <c r="K148"/>
      <c r="L148"/>
      <c r="M148"/>
    </row>
    <row r="149" spans="1:13">
      <c r="A149" s="2" t="s">
        <v>504</v>
      </c>
      <c r="B149" t="s">
        <v>1786</v>
      </c>
      <c r="C149" t="s">
        <v>1763</v>
      </c>
      <c r="D149" t="s">
        <v>1768</v>
      </c>
      <c r="K149"/>
      <c r="L149"/>
      <c r="M149"/>
    </row>
    <row r="150" spans="1:13">
      <c r="A150" s="2" t="s">
        <v>481</v>
      </c>
      <c r="B150" t="s">
        <v>1786</v>
      </c>
      <c r="C150" t="s">
        <v>1763</v>
      </c>
      <c r="D150" t="s">
        <v>1768</v>
      </c>
      <c r="K150"/>
      <c r="L150"/>
      <c r="M150"/>
    </row>
    <row r="151" spans="1:13">
      <c r="A151" s="2" t="s">
        <v>495</v>
      </c>
      <c r="B151" t="s">
        <v>1786</v>
      </c>
      <c r="C151" t="s">
        <v>1763</v>
      </c>
      <c r="D151" t="s">
        <v>1768</v>
      </c>
      <c r="K151"/>
      <c r="L151"/>
      <c r="M151"/>
    </row>
    <row r="152" spans="1:13">
      <c r="A152" s="2" t="s">
        <v>500</v>
      </c>
      <c r="B152" t="s">
        <v>1786</v>
      </c>
      <c r="C152" t="s">
        <v>1763</v>
      </c>
      <c r="D152" t="s">
        <v>1768</v>
      </c>
      <c r="K152"/>
      <c r="L152"/>
      <c r="M152"/>
    </row>
    <row r="153" spans="1:13">
      <c r="A153" s="2" t="s">
        <v>518</v>
      </c>
      <c r="B153" t="s">
        <v>1786</v>
      </c>
      <c r="C153" t="s">
        <v>1763</v>
      </c>
      <c r="D153" t="s">
        <v>1768</v>
      </c>
      <c r="K153"/>
      <c r="L153"/>
      <c r="M153"/>
    </row>
    <row r="154" spans="1:13">
      <c r="A154" s="2" t="s">
        <v>517</v>
      </c>
      <c r="B154" t="s">
        <v>1786</v>
      </c>
      <c r="C154" t="s">
        <v>1763</v>
      </c>
      <c r="D154" t="s">
        <v>1768</v>
      </c>
      <c r="K154"/>
      <c r="L154"/>
      <c r="M154"/>
    </row>
    <row r="155" spans="1:13">
      <c r="A155" s="2" t="s">
        <v>493</v>
      </c>
      <c r="B155" t="s">
        <v>1786</v>
      </c>
      <c r="C155" t="s">
        <v>1763</v>
      </c>
      <c r="D155" t="s">
        <v>1768</v>
      </c>
      <c r="K155"/>
      <c r="L155"/>
      <c r="M155"/>
    </row>
    <row r="156" spans="1:13">
      <c r="A156" s="2" t="s">
        <v>520</v>
      </c>
      <c r="B156" t="s">
        <v>1786</v>
      </c>
      <c r="C156" t="s">
        <v>1763</v>
      </c>
      <c r="D156" t="s">
        <v>1768</v>
      </c>
      <c r="K156"/>
      <c r="L156"/>
      <c r="M156"/>
    </row>
    <row r="157" spans="1:13">
      <c r="A157" s="2" t="s">
        <v>494</v>
      </c>
      <c r="B157" t="s">
        <v>1786</v>
      </c>
      <c r="C157" t="s">
        <v>1763</v>
      </c>
      <c r="D157" t="s">
        <v>1768</v>
      </c>
      <c r="K157"/>
      <c r="L157"/>
      <c r="M157"/>
    </row>
    <row r="158" spans="1:13">
      <c r="A158" s="2" t="s">
        <v>478</v>
      </c>
      <c r="B158" t="s">
        <v>1786</v>
      </c>
      <c r="C158" t="s">
        <v>1763</v>
      </c>
      <c r="D158" t="s">
        <v>1768</v>
      </c>
      <c r="K158"/>
      <c r="L158"/>
      <c r="M158"/>
    </row>
    <row r="159" spans="1:13">
      <c r="A159" s="2" t="s">
        <v>482</v>
      </c>
      <c r="B159" t="s">
        <v>1786</v>
      </c>
      <c r="C159" t="s">
        <v>1763</v>
      </c>
      <c r="D159" t="s">
        <v>1768</v>
      </c>
      <c r="K159"/>
      <c r="L159"/>
      <c r="M159"/>
    </row>
    <row r="160" spans="1:13">
      <c r="A160" s="2" t="s">
        <v>484</v>
      </c>
      <c r="B160" t="s">
        <v>1786</v>
      </c>
      <c r="C160" t="s">
        <v>1763</v>
      </c>
      <c r="D160" t="s">
        <v>1768</v>
      </c>
      <c r="K160"/>
      <c r="L160"/>
      <c r="M160"/>
    </row>
    <row r="161" spans="1:13">
      <c r="A161" s="2" t="s">
        <v>523</v>
      </c>
      <c r="B161" t="s">
        <v>1786</v>
      </c>
      <c r="C161" t="s">
        <v>1763</v>
      </c>
      <c r="D161" t="s">
        <v>1768</v>
      </c>
      <c r="K161"/>
      <c r="L161"/>
      <c r="M161"/>
    </row>
    <row r="162" spans="1:13">
      <c r="A162" s="2" t="s">
        <v>506</v>
      </c>
      <c r="B162" t="s">
        <v>1786</v>
      </c>
      <c r="C162" t="s">
        <v>1763</v>
      </c>
      <c r="D162" t="s">
        <v>1768</v>
      </c>
      <c r="K162"/>
      <c r="L162"/>
      <c r="M162"/>
    </row>
    <row r="163" spans="1:13">
      <c r="A163" s="2" t="s">
        <v>507</v>
      </c>
      <c r="B163" t="s">
        <v>1786</v>
      </c>
      <c r="C163" t="s">
        <v>1763</v>
      </c>
      <c r="D163" t="s">
        <v>1768</v>
      </c>
      <c r="K163"/>
      <c r="L163"/>
      <c r="M163"/>
    </row>
    <row r="164" spans="1:13">
      <c r="A164" s="2" t="s">
        <v>527</v>
      </c>
      <c r="B164" t="s">
        <v>1786</v>
      </c>
      <c r="C164" t="s">
        <v>1763</v>
      </c>
      <c r="D164" t="s">
        <v>1768</v>
      </c>
      <c r="K164"/>
      <c r="L164"/>
      <c r="M164"/>
    </row>
    <row r="165" spans="1:13">
      <c r="A165" s="2" t="s">
        <v>503</v>
      </c>
      <c r="B165" t="s">
        <v>1786</v>
      </c>
      <c r="C165" t="s">
        <v>1763</v>
      </c>
      <c r="D165" t="s">
        <v>1768</v>
      </c>
      <c r="K165"/>
      <c r="L165"/>
      <c r="M165"/>
    </row>
    <row r="166" spans="1:13">
      <c r="A166" s="2" t="s">
        <v>510</v>
      </c>
      <c r="B166" t="s">
        <v>1786</v>
      </c>
      <c r="C166" t="s">
        <v>1763</v>
      </c>
      <c r="D166" t="s">
        <v>1768</v>
      </c>
      <c r="K166"/>
      <c r="L166"/>
      <c r="M166"/>
    </row>
    <row r="167" spans="1:13">
      <c r="A167" s="2" t="s">
        <v>519</v>
      </c>
      <c r="B167" t="s">
        <v>1786</v>
      </c>
      <c r="C167" t="s">
        <v>1763</v>
      </c>
      <c r="D167" t="s">
        <v>1768</v>
      </c>
      <c r="K167"/>
      <c r="L167"/>
      <c r="M167"/>
    </row>
    <row r="168" spans="1:13">
      <c r="A168" s="2" t="s">
        <v>485</v>
      </c>
      <c r="B168" t="s">
        <v>1786</v>
      </c>
      <c r="C168" t="s">
        <v>1763</v>
      </c>
      <c r="D168" t="s">
        <v>1768</v>
      </c>
      <c r="K168"/>
      <c r="L168"/>
      <c r="M168"/>
    </row>
    <row r="169" spans="1:13">
      <c r="A169" s="2" t="s">
        <v>496</v>
      </c>
      <c r="B169" t="s">
        <v>1786</v>
      </c>
      <c r="C169" t="s">
        <v>1763</v>
      </c>
      <c r="D169" t="s">
        <v>1768</v>
      </c>
      <c r="K169"/>
      <c r="L169"/>
      <c r="M169"/>
    </row>
    <row r="170" spans="1:13">
      <c r="A170" s="2" t="s">
        <v>528</v>
      </c>
      <c r="B170" t="s">
        <v>1786</v>
      </c>
      <c r="C170" t="s">
        <v>1763</v>
      </c>
      <c r="D170" t="s">
        <v>1768</v>
      </c>
      <c r="K170"/>
      <c r="L170"/>
      <c r="M170"/>
    </row>
    <row r="171" spans="1:13">
      <c r="A171" s="2" t="s">
        <v>529</v>
      </c>
      <c r="B171" t="s">
        <v>1786</v>
      </c>
      <c r="C171" t="s">
        <v>1763</v>
      </c>
      <c r="D171" t="s">
        <v>1768</v>
      </c>
      <c r="K171"/>
      <c r="L171"/>
      <c r="M171"/>
    </row>
    <row r="172" spans="1:13">
      <c r="A172" s="2" t="s">
        <v>499</v>
      </c>
      <c r="B172" t="s">
        <v>1786</v>
      </c>
      <c r="C172" t="s">
        <v>1763</v>
      </c>
      <c r="D172" t="s">
        <v>1768</v>
      </c>
      <c r="K172"/>
      <c r="L172"/>
      <c r="M172"/>
    </row>
    <row r="173" spans="1:13">
      <c r="A173" s="2" t="s">
        <v>487</v>
      </c>
      <c r="B173" t="s">
        <v>1786</v>
      </c>
      <c r="C173" t="s">
        <v>1763</v>
      </c>
      <c r="D173" t="s">
        <v>1768</v>
      </c>
      <c r="K173"/>
      <c r="L173"/>
      <c r="M173"/>
    </row>
    <row r="174" spans="1:13">
      <c r="A174" s="2" t="s">
        <v>512</v>
      </c>
      <c r="B174" t="s">
        <v>1786</v>
      </c>
      <c r="C174" t="s">
        <v>1763</v>
      </c>
      <c r="D174" t="s">
        <v>1768</v>
      </c>
      <c r="K174"/>
      <c r="L174"/>
      <c r="M174"/>
    </row>
    <row r="175" spans="1:13">
      <c r="A175" s="2" t="s">
        <v>530</v>
      </c>
      <c r="B175" t="s">
        <v>1786</v>
      </c>
      <c r="C175" t="s">
        <v>1763</v>
      </c>
      <c r="D175" t="s">
        <v>1768</v>
      </c>
      <c r="K175"/>
      <c r="L175"/>
      <c r="M175"/>
    </row>
    <row r="176" spans="1:13">
      <c r="A176" s="2" t="s">
        <v>491</v>
      </c>
      <c r="B176" t="s">
        <v>1786</v>
      </c>
      <c r="C176" t="s">
        <v>1763</v>
      </c>
      <c r="D176" t="s">
        <v>1768</v>
      </c>
      <c r="K176"/>
      <c r="L176"/>
      <c r="M176"/>
    </row>
    <row r="177" spans="1:13">
      <c r="A177" s="2" t="s">
        <v>511</v>
      </c>
      <c r="B177" t="s">
        <v>1786</v>
      </c>
      <c r="C177" t="s">
        <v>1763</v>
      </c>
      <c r="D177" t="s">
        <v>1768</v>
      </c>
      <c r="K177"/>
      <c r="L177"/>
      <c r="M177"/>
    </row>
    <row r="178" spans="1:13">
      <c r="A178" s="2" t="s">
        <v>490</v>
      </c>
      <c r="B178" t="s">
        <v>1786</v>
      </c>
      <c r="C178" t="s">
        <v>1763</v>
      </c>
      <c r="D178" t="s">
        <v>1768</v>
      </c>
      <c r="K178"/>
      <c r="L178"/>
      <c r="M178"/>
    </row>
    <row r="179" spans="1:13">
      <c r="A179" s="2" t="s">
        <v>522</v>
      </c>
      <c r="B179" t="s">
        <v>1786</v>
      </c>
      <c r="C179" t="s">
        <v>1763</v>
      </c>
      <c r="D179" t="s">
        <v>1768</v>
      </c>
      <c r="K179"/>
      <c r="L179"/>
      <c r="M179"/>
    </row>
    <row r="180" spans="1:13">
      <c r="A180" s="2" t="s">
        <v>502</v>
      </c>
      <c r="B180" t="s">
        <v>1786</v>
      </c>
      <c r="C180" t="s">
        <v>1763</v>
      </c>
      <c r="D180" t="s">
        <v>1768</v>
      </c>
      <c r="K180"/>
      <c r="L180"/>
      <c r="M180"/>
    </row>
    <row r="181" spans="1:13">
      <c r="A181" s="2" t="s">
        <v>505</v>
      </c>
      <c r="B181" t="s">
        <v>1786</v>
      </c>
      <c r="C181" t="s">
        <v>1763</v>
      </c>
      <c r="D181" t="s">
        <v>1768</v>
      </c>
      <c r="K181"/>
      <c r="L181"/>
      <c r="M181"/>
    </row>
    <row r="182" spans="1:13">
      <c r="A182" s="2" t="s">
        <v>492</v>
      </c>
      <c r="B182" t="s">
        <v>1786</v>
      </c>
      <c r="C182" t="s">
        <v>1763</v>
      </c>
      <c r="D182" t="s">
        <v>1768</v>
      </c>
      <c r="K182"/>
      <c r="L182"/>
      <c r="M182"/>
    </row>
    <row r="183" spans="1:13">
      <c r="A183" s="2" t="s">
        <v>515</v>
      </c>
      <c r="B183" t="s">
        <v>1786</v>
      </c>
      <c r="C183" t="s">
        <v>1763</v>
      </c>
      <c r="D183" t="s">
        <v>1768</v>
      </c>
      <c r="K183"/>
      <c r="L183"/>
      <c r="M183"/>
    </row>
    <row r="184" spans="1:13">
      <c r="A184" s="2" t="s">
        <v>488</v>
      </c>
      <c r="B184" t="s">
        <v>1786</v>
      </c>
      <c r="C184" t="s">
        <v>1763</v>
      </c>
      <c r="D184" t="s">
        <v>1768</v>
      </c>
      <c r="K184"/>
      <c r="L184"/>
      <c r="M184"/>
    </row>
    <row r="185" spans="1:13">
      <c r="A185" s="2" t="s">
        <v>439</v>
      </c>
      <c r="B185" t="s">
        <v>1787</v>
      </c>
      <c r="C185" t="s">
        <v>1759</v>
      </c>
      <c r="D185" t="s">
        <v>1768</v>
      </c>
      <c r="K185"/>
      <c r="L185"/>
      <c r="M185"/>
    </row>
    <row r="186" spans="1:13">
      <c r="A186" s="2" t="s">
        <v>631</v>
      </c>
      <c r="B186" t="s">
        <v>1787</v>
      </c>
      <c r="C186" t="s">
        <v>1759</v>
      </c>
      <c r="D186" t="s">
        <v>1768</v>
      </c>
      <c r="K186"/>
      <c r="L186"/>
      <c r="M186"/>
    </row>
    <row r="187" spans="1:13">
      <c r="A187" s="2" t="s">
        <v>383</v>
      </c>
      <c r="B187" t="s">
        <v>1787</v>
      </c>
      <c r="C187" t="s">
        <v>1759</v>
      </c>
      <c r="D187" t="s">
        <v>1768</v>
      </c>
      <c r="K187"/>
      <c r="L187"/>
      <c r="M187"/>
    </row>
    <row r="188" spans="1:13">
      <c r="A188" s="2" t="s">
        <v>421</v>
      </c>
      <c r="B188" t="s">
        <v>1787</v>
      </c>
      <c r="C188" t="s">
        <v>1759</v>
      </c>
      <c r="D188" t="s">
        <v>1768</v>
      </c>
      <c r="K188"/>
      <c r="L188"/>
      <c r="M188"/>
    </row>
    <row r="189" spans="1:13">
      <c r="A189" s="2" t="s">
        <v>428</v>
      </c>
      <c r="B189" t="s">
        <v>1787</v>
      </c>
      <c r="C189" t="s">
        <v>1759</v>
      </c>
      <c r="D189" t="s">
        <v>1768</v>
      </c>
      <c r="K189"/>
      <c r="L189"/>
      <c r="M189"/>
    </row>
    <row r="190" spans="1:13">
      <c r="A190" s="2" t="s">
        <v>429</v>
      </c>
      <c r="B190" t="s">
        <v>1787</v>
      </c>
      <c r="C190" t="s">
        <v>1759</v>
      </c>
      <c r="D190" t="s">
        <v>1768</v>
      </c>
      <c r="K190"/>
      <c r="L190"/>
      <c r="M190"/>
    </row>
    <row r="191" spans="1:13">
      <c r="A191" s="2" t="s">
        <v>416</v>
      </c>
      <c r="B191" t="s">
        <v>1787</v>
      </c>
      <c r="C191" t="s">
        <v>1766</v>
      </c>
      <c r="D191" t="s">
        <v>1769</v>
      </c>
      <c r="K191"/>
      <c r="L191"/>
      <c r="M191"/>
    </row>
    <row r="192" spans="1:13">
      <c r="A192" s="2" t="s">
        <v>405</v>
      </c>
      <c r="B192" t="s">
        <v>1787</v>
      </c>
      <c r="C192" t="s">
        <v>1759</v>
      </c>
      <c r="D192" t="s">
        <v>1768</v>
      </c>
      <c r="K192"/>
      <c r="L192"/>
      <c r="M192"/>
    </row>
    <row r="193" spans="1:13">
      <c r="A193" s="2" t="s">
        <v>477</v>
      </c>
      <c r="B193" t="s">
        <v>1787</v>
      </c>
      <c r="C193" t="s">
        <v>1759</v>
      </c>
      <c r="D193" t="s">
        <v>1768</v>
      </c>
      <c r="K193"/>
      <c r="L193"/>
      <c r="M193"/>
    </row>
    <row r="194" spans="1:13">
      <c r="A194" s="2" t="s">
        <v>637</v>
      </c>
      <c r="B194" t="s">
        <v>1787</v>
      </c>
      <c r="C194" t="s">
        <v>1759</v>
      </c>
      <c r="D194" t="s">
        <v>1768</v>
      </c>
      <c r="K194"/>
      <c r="L194"/>
      <c r="M194"/>
    </row>
    <row r="195" spans="1:13">
      <c r="A195" s="2" t="s">
        <v>658</v>
      </c>
      <c r="B195" t="s">
        <v>1787</v>
      </c>
      <c r="C195" t="s">
        <v>1759</v>
      </c>
      <c r="D195" t="s">
        <v>1768</v>
      </c>
      <c r="K195"/>
      <c r="L195"/>
      <c r="M195"/>
    </row>
    <row r="196" spans="1:13">
      <c r="A196" s="2" t="s">
        <v>461</v>
      </c>
      <c r="B196" t="s">
        <v>1787</v>
      </c>
      <c r="C196" t="s">
        <v>1759</v>
      </c>
      <c r="D196" t="s">
        <v>1768</v>
      </c>
      <c r="K196"/>
      <c r="L196"/>
      <c r="M196"/>
    </row>
    <row r="197" spans="1:13">
      <c r="A197" s="2" t="s">
        <v>408</v>
      </c>
      <c r="B197" t="s">
        <v>1787</v>
      </c>
      <c r="C197" t="s">
        <v>1759</v>
      </c>
      <c r="D197" t="s">
        <v>1768</v>
      </c>
      <c r="K197"/>
      <c r="L197"/>
      <c r="M197"/>
    </row>
    <row r="198" spans="1:13">
      <c r="A198" s="2" t="s">
        <v>412</v>
      </c>
      <c r="B198" t="s">
        <v>1787</v>
      </c>
      <c r="C198" t="s">
        <v>1759</v>
      </c>
      <c r="D198" t="s">
        <v>1768</v>
      </c>
      <c r="K198"/>
      <c r="L198"/>
      <c r="M198"/>
    </row>
    <row r="199" spans="1:13">
      <c r="A199" s="2" t="s">
        <v>394</v>
      </c>
      <c r="B199" t="s">
        <v>1787</v>
      </c>
      <c r="C199" t="s">
        <v>1759</v>
      </c>
      <c r="D199" t="s">
        <v>1768</v>
      </c>
      <c r="K199"/>
      <c r="L199"/>
      <c r="M199"/>
    </row>
    <row r="200" spans="1:13">
      <c r="A200" s="2" t="s">
        <v>407</v>
      </c>
      <c r="B200" t="s">
        <v>1787</v>
      </c>
      <c r="C200" t="s">
        <v>1762</v>
      </c>
      <c r="D200" t="s">
        <v>1768</v>
      </c>
      <c r="K200"/>
      <c r="L200"/>
      <c r="M200"/>
    </row>
    <row r="201" spans="1:13">
      <c r="A201" s="2" t="s">
        <v>444</v>
      </c>
      <c r="B201" t="s">
        <v>1787</v>
      </c>
      <c r="C201" t="s">
        <v>1759</v>
      </c>
      <c r="D201" t="s">
        <v>1768</v>
      </c>
      <c r="K201"/>
      <c r="L201"/>
      <c r="M201"/>
    </row>
    <row r="202" spans="1:13">
      <c r="A202" s="2" t="s">
        <v>443</v>
      </c>
      <c r="B202" t="s">
        <v>1787</v>
      </c>
      <c r="C202" t="s">
        <v>1759</v>
      </c>
      <c r="D202" t="s">
        <v>1768</v>
      </c>
      <c r="K202"/>
      <c r="L202"/>
      <c r="M202"/>
    </row>
    <row r="203" spans="1:13">
      <c r="A203" s="2" t="s">
        <v>442</v>
      </c>
      <c r="B203" t="s">
        <v>1787</v>
      </c>
      <c r="C203" t="s">
        <v>1759</v>
      </c>
      <c r="D203" t="s">
        <v>1768</v>
      </c>
      <c r="K203"/>
      <c r="L203"/>
      <c r="M203"/>
    </row>
    <row r="204" spans="1:13">
      <c r="A204" s="2" t="s">
        <v>441</v>
      </c>
      <c r="B204" t="s">
        <v>1787</v>
      </c>
      <c r="C204" t="s">
        <v>1759</v>
      </c>
      <c r="D204" t="s">
        <v>1768</v>
      </c>
      <c r="K204"/>
      <c r="L204"/>
      <c r="M204"/>
    </row>
    <row r="205" spans="1:13">
      <c r="A205" s="2" t="s">
        <v>440</v>
      </c>
      <c r="B205" t="s">
        <v>1787</v>
      </c>
      <c r="C205" t="s">
        <v>1759</v>
      </c>
      <c r="D205" t="s">
        <v>1768</v>
      </c>
      <c r="K205"/>
      <c r="L205"/>
      <c r="M205"/>
    </row>
    <row r="206" spans="1:13">
      <c r="A206" s="2" t="s">
        <v>446</v>
      </c>
      <c r="B206" t="s">
        <v>1787</v>
      </c>
      <c r="C206" t="s">
        <v>1759</v>
      </c>
      <c r="D206" t="s">
        <v>1768</v>
      </c>
      <c r="K206"/>
      <c r="L206"/>
      <c r="M206"/>
    </row>
    <row r="207" spans="1:13">
      <c r="A207" s="2" t="s">
        <v>413</v>
      </c>
      <c r="B207" t="s">
        <v>1787</v>
      </c>
      <c r="C207" t="s">
        <v>1759</v>
      </c>
      <c r="D207" t="s">
        <v>1768</v>
      </c>
      <c r="K207"/>
      <c r="L207"/>
      <c r="M207"/>
    </row>
    <row r="208" spans="1:13">
      <c r="A208" s="2" t="s">
        <v>469</v>
      </c>
      <c r="B208" t="s">
        <v>1787</v>
      </c>
      <c r="C208" t="s">
        <v>1759</v>
      </c>
      <c r="D208" t="s">
        <v>1768</v>
      </c>
      <c r="K208"/>
      <c r="L208"/>
      <c r="M208"/>
    </row>
    <row r="209" spans="1:13">
      <c r="A209" s="2" t="s">
        <v>453</v>
      </c>
      <c r="B209" t="s">
        <v>1787</v>
      </c>
      <c r="C209" t="s">
        <v>1759</v>
      </c>
      <c r="D209" t="s">
        <v>1768</v>
      </c>
      <c r="K209"/>
      <c r="L209"/>
      <c r="M209"/>
    </row>
    <row r="210" spans="1:13">
      <c r="A210" s="2" t="s">
        <v>662</v>
      </c>
      <c r="B210" t="s">
        <v>1787</v>
      </c>
      <c r="C210" t="s">
        <v>1759</v>
      </c>
      <c r="D210" t="s">
        <v>1768</v>
      </c>
      <c r="K210"/>
      <c r="L210"/>
      <c r="M210"/>
    </row>
    <row r="211" spans="1:13">
      <c r="A211" s="2" t="s">
        <v>462</v>
      </c>
      <c r="B211" t="s">
        <v>1787</v>
      </c>
      <c r="C211" t="s">
        <v>1759</v>
      </c>
      <c r="D211" t="s">
        <v>1768</v>
      </c>
      <c r="K211"/>
      <c r="L211"/>
      <c r="M211"/>
    </row>
    <row r="212" spans="1:13">
      <c r="A212" s="2" t="s">
        <v>464</v>
      </c>
      <c r="B212" t="s">
        <v>1787</v>
      </c>
      <c r="C212" t="s">
        <v>1759</v>
      </c>
      <c r="D212" t="s">
        <v>1768</v>
      </c>
      <c r="K212"/>
      <c r="L212"/>
      <c r="M212"/>
    </row>
    <row r="213" spans="1:13">
      <c r="A213" s="2" t="s">
        <v>463</v>
      </c>
      <c r="B213" t="s">
        <v>1787</v>
      </c>
      <c r="C213" t="s">
        <v>1759</v>
      </c>
      <c r="D213" t="s">
        <v>1768</v>
      </c>
      <c r="K213"/>
      <c r="L213"/>
      <c r="M213"/>
    </row>
    <row r="214" spans="1:13">
      <c r="A214" s="2" t="s">
        <v>388</v>
      </c>
      <c r="B214" t="s">
        <v>1787</v>
      </c>
      <c r="C214" t="s">
        <v>1759</v>
      </c>
      <c r="D214" t="s">
        <v>1768</v>
      </c>
      <c r="K214"/>
      <c r="L214"/>
      <c r="M214"/>
    </row>
    <row r="215" spans="1:13">
      <c r="A215" s="2" t="s">
        <v>476</v>
      </c>
      <c r="B215" t="s">
        <v>1787</v>
      </c>
      <c r="C215" t="s">
        <v>1759</v>
      </c>
      <c r="D215" t="s">
        <v>1768</v>
      </c>
      <c r="K215"/>
      <c r="L215"/>
      <c r="M215"/>
    </row>
    <row r="216" spans="1:13">
      <c r="A216" s="2" t="s">
        <v>422</v>
      </c>
      <c r="B216" t="s">
        <v>1787</v>
      </c>
      <c r="C216" t="s">
        <v>1759</v>
      </c>
      <c r="D216" t="s">
        <v>1768</v>
      </c>
      <c r="K216"/>
      <c r="L216"/>
      <c r="M216"/>
    </row>
    <row r="217" spans="1:13">
      <c r="A217" s="2" t="s">
        <v>419</v>
      </c>
      <c r="B217" t="s">
        <v>1787</v>
      </c>
      <c r="C217" t="s">
        <v>1759</v>
      </c>
      <c r="D217" t="s">
        <v>1768</v>
      </c>
      <c r="K217"/>
      <c r="L217"/>
      <c r="M217"/>
    </row>
    <row r="218" spans="1:13">
      <c r="A218" s="2" t="s">
        <v>417</v>
      </c>
      <c r="B218" t="s">
        <v>1787</v>
      </c>
      <c r="C218" t="s">
        <v>1759</v>
      </c>
      <c r="D218" t="s">
        <v>1768</v>
      </c>
      <c r="K218"/>
      <c r="L218"/>
      <c r="M218"/>
    </row>
    <row r="219" spans="1:13">
      <c r="A219" s="2" t="s">
        <v>465</v>
      </c>
      <c r="B219" t="s">
        <v>1787</v>
      </c>
      <c r="C219" t="s">
        <v>1759</v>
      </c>
      <c r="D219" t="s">
        <v>1768</v>
      </c>
      <c r="K219"/>
      <c r="L219"/>
      <c r="M219"/>
    </row>
    <row r="220" spans="1:13">
      <c r="A220" s="2" t="s">
        <v>471</v>
      </c>
      <c r="B220" t="s">
        <v>1787</v>
      </c>
      <c r="C220" t="s">
        <v>1759</v>
      </c>
      <c r="D220" t="s">
        <v>1768</v>
      </c>
      <c r="K220"/>
      <c r="L220"/>
      <c r="M220"/>
    </row>
    <row r="221" spans="1:13">
      <c r="A221" s="2" t="s">
        <v>423</v>
      </c>
      <c r="B221" t="s">
        <v>1787</v>
      </c>
      <c r="C221" t="s">
        <v>1759</v>
      </c>
      <c r="D221" t="s">
        <v>1768</v>
      </c>
      <c r="K221"/>
      <c r="L221"/>
      <c r="M221"/>
    </row>
    <row r="222" spans="1:13">
      <c r="A222" s="2" t="s">
        <v>435</v>
      </c>
      <c r="B222" t="s">
        <v>1787</v>
      </c>
      <c r="C222" t="s">
        <v>1766</v>
      </c>
      <c r="D222" t="s">
        <v>1769</v>
      </c>
      <c r="K222"/>
      <c r="L222"/>
      <c r="M222"/>
    </row>
    <row r="223" spans="1:13">
      <c r="A223" s="2" t="s">
        <v>447</v>
      </c>
      <c r="B223" t="s">
        <v>1787</v>
      </c>
      <c r="C223" t="s">
        <v>1759</v>
      </c>
      <c r="D223" t="s">
        <v>1768</v>
      </c>
      <c r="K223"/>
      <c r="L223"/>
      <c r="M223"/>
    </row>
    <row r="224" spans="1:13">
      <c r="A224" s="2" t="s">
        <v>661</v>
      </c>
      <c r="B224" t="s">
        <v>1787</v>
      </c>
      <c r="C224" t="s">
        <v>1759</v>
      </c>
      <c r="D224" t="s">
        <v>1768</v>
      </c>
      <c r="K224"/>
      <c r="L224"/>
      <c r="M224"/>
    </row>
    <row r="225" spans="1:13">
      <c r="A225" s="2" t="s">
        <v>387</v>
      </c>
      <c r="B225" t="s">
        <v>1787</v>
      </c>
      <c r="C225" t="s">
        <v>1766</v>
      </c>
      <c r="D225" t="s">
        <v>1769</v>
      </c>
      <c r="K225"/>
      <c r="L225"/>
      <c r="M225"/>
    </row>
    <row r="226" spans="1:13">
      <c r="A226" s="2" t="s">
        <v>410</v>
      </c>
      <c r="B226" t="s">
        <v>1787</v>
      </c>
      <c r="C226" t="s">
        <v>1759</v>
      </c>
      <c r="D226" t="s">
        <v>1768</v>
      </c>
      <c r="K226"/>
      <c r="L226"/>
      <c r="M226"/>
    </row>
    <row r="227" spans="1:13">
      <c r="A227" s="2" t="s">
        <v>389</v>
      </c>
      <c r="B227" t="s">
        <v>1787</v>
      </c>
      <c r="C227" t="s">
        <v>1759</v>
      </c>
      <c r="D227" t="s">
        <v>1768</v>
      </c>
      <c r="K227"/>
      <c r="L227"/>
      <c r="M227"/>
    </row>
    <row r="228" spans="1:13">
      <c r="A228" s="2" t="s">
        <v>402</v>
      </c>
      <c r="B228" t="s">
        <v>1787</v>
      </c>
      <c r="C228" t="s">
        <v>1759</v>
      </c>
      <c r="D228" t="s">
        <v>1768</v>
      </c>
      <c r="K228"/>
      <c r="L228"/>
      <c r="M228"/>
    </row>
    <row r="229" spans="1:13">
      <c r="A229" s="2" t="s">
        <v>395</v>
      </c>
      <c r="B229" t="s">
        <v>1787</v>
      </c>
      <c r="C229" t="s">
        <v>1759</v>
      </c>
      <c r="D229" t="s">
        <v>1768</v>
      </c>
      <c r="K229"/>
      <c r="L229"/>
      <c r="M229"/>
    </row>
    <row r="230" spans="1:13">
      <c r="A230" s="2" t="s">
        <v>403</v>
      </c>
      <c r="B230" t="s">
        <v>1787</v>
      </c>
      <c r="C230" t="s">
        <v>1759</v>
      </c>
      <c r="D230" t="s">
        <v>1768</v>
      </c>
      <c r="K230"/>
      <c r="L230"/>
      <c r="M230"/>
    </row>
    <row r="231" spans="1:13">
      <c r="A231" s="2" t="s">
        <v>454</v>
      </c>
      <c r="B231" t="s">
        <v>1787</v>
      </c>
      <c r="C231" t="s">
        <v>1759</v>
      </c>
      <c r="D231" t="s">
        <v>1768</v>
      </c>
      <c r="K231"/>
      <c r="L231"/>
      <c r="M231"/>
    </row>
    <row r="232" spans="1:13">
      <c r="A232" s="2" t="s">
        <v>472</v>
      </c>
      <c r="B232" t="s">
        <v>1787</v>
      </c>
      <c r="C232" t="s">
        <v>1766</v>
      </c>
      <c r="D232" t="s">
        <v>1769</v>
      </c>
      <c r="K232"/>
      <c r="L232"/>
      <c r="M232"/>
    </row>
    <row r="233" spans="1:13">
      <c r="A233" s="2" t="s">
        <v>404</v>
      </c>
      <c r="B233" t="s">
        <v>1787</v>
      </c>
      <c r="C233" t="s">
        <v>1759</v>
      </c>
      <c r="D233" t="s">
        <v>1768</v>
      </c>
      <c r="K233"/>
      <c r="L233"/>
      <c r="M233"/>
    </row>
    <row r="234" spans="1:13">
      <c r="A234" s="2" t="s">
        <v>401</v>
      </c>
      <c r="B234" t="s">
        <v>1787</v>
      </c>
      <c r="C234" t="s">
        <v>1766</v>
      </c>
      <c r="D234" t="s">
        <v>1772</v>
      </c>
      <c r="K234"/>
      <c r="L234"/>
      <c r="M234"/>
    </row>
    <row r="235" spans="1:13">
      <c r="A235" s="2" t="s">
        <v>386</v>
      </c>
      <c r="B235" t="s">
        <v>1787</v>
      </c>
      <c r="C235" t="s">
        <v>1759</v>
      </c>
      <c r="D235" t="s">
        <v>1768</v>
      </c>
      <c r="K235"/>
      <c r="L235"/>
      <c r="M235"/>
    </row>
    <row r="236" spans="1:13">
      <c r="A236" s="2" t="s">
        <v>379</v>
      </c>
      <c r="B236" t="s">
        <v>1787</v>
      </c>
      <c r="C236" t="s">
        <v>1759</v>
      </c>
      <c r="D236" t="s">
        <v>1768</v>
      </c>
      <c r="K236"/>
      <c r="L236"/>
      <c r="M236"/>
    </row>
    <row r="237" spans="1:13">
      <c r="A237" s="2" t="s">
        <v>380</v>
      </c>
      <c r="B237" t="s">
        <v>1787</v>
      </c>
      <c r="C237" t="s">
        <v>1759</v>
      </c>
      <c r="D237" t="s">
        <v>1768</v>
      </c>
      <c r="K237"/>
      <c r="L237"/>
      <c r="M237"/>
    </row>
    <row r="238" spans="1:13">
      <c r="A238" s="2" t="s">
        <v>629</v>
      </c>
      <c r="B238" t="s">
        <v>1787</v>
      </c>
      <c r="C238" t="s">
        <v>1759</v>
      </c>
      <c r="D238" t="s">
        <v>1768</v>
      </c>
      <c r="K238"/>
      <c r="L238"/>
      <c r="M238"/>
    </row>
    <row r="239" spans="1:13">
      <c r="A239" s="2" t="s">
        <v>473</v>
      </c>
      <c r="B239" t="s">
        <v>1787</v>
      </c>
      <c r="C239" t="s">
        <v>1759</v>
      </c>
      <c r="D239" t="s">
        <v>1768</v>
      </c>
      <c r="K239"/>
      <c r="L239"/>
      <c r="M239"/>
    </row>
    <row r="240" spans="1:13">
      <c r="A240" s="2" t="s">
        <v>628</v>
      </c>
      <c r="B240" t="s">
        <v>1787</v>
      </c>
      <c r="C240" t="s">
        <v>1766</v>
      </c>
      <c r="D240" t="s">
        <v>1772</v>
      </c>
      <c r="K240"/>
      <c r="L240"/>
      <c r="M240"/>
    </row>
    <row r="241" spans="1:13">
      <c r="A241" s="2" t="s">
        <v>466</v>
      </c>
      <c r="B241" t="s">
        <v>1787</v>
      </c>
      <c r="C241" t="s">
        <v>1766</v>
      </c>
      <c r="D241" t="s">
        <v>1772</v>
      </c>
      <c r="K241"/>
      <c r="L241"/>
      <c r="M241"/>
    </row>
    <row r="242" spans="1:13">
      <c r="A242" s="2" t="s">
        <v>663</v>
      </c>
      <c r="B242" t="s">
        <v>1787</v>
      </c>
      <c r="C242" t="s">
        <v>1759</v>
      </c>
      <c r="D242" t="s">
        <v>1768</v>
      </c>
      <c r="K242"/>
      <c r="L242"/>
      <c r="M242"/>
    </row>
    <row r="243" spans="1:13">
      <c r="A243" s="2" t="s">
        <v>664</v>
      </c>
      <c r="B243" t="s">
        <v>1787</v>
      </c>
      <c r="C243" t="s">
        <v>1766</v>
      </c>
      <c r="D243" t="s">
        <v>1772</v>
      </c>
      <c r="K243"/>
      <c r="L243"/>
      <c r="M243"/>
    </row>
    <row r="244" spans="1:13">
      <c r="A244" s="2" t="s">
        <v>455</v>
      </c>
      <c r="B244" t="s">
        <v>1787</v>
      </c>
      <c r="C244" t="s">
        <v>1759</v>
      </c>
      <c r="D244" t="s">
        <v>1768</v>
      </c>
      <c r="K244"/>
      <c r="L244"/>
      <c r="M244"/>
    </row>
    <row r="245" spans="1:13">
      <c r="A245" s="2" t="s">
        <v>458</v>
      </c>
      <c r="B245" t="s">
        <v>1787</v>
      </c>
      <c r="C245" t="s">
        <v>1759</v>
      </c>
      <c r="D245" t="s">
        <v>1768</v>
      </c>
      <c r="K245"/>
      <c r="L245"/>
      <c r="M245"/>
    </row>
    <row r="246" spans="1:13">
      <c r="A246" s="2" t="s">
        <v>459</v>
      </c>
      <c r="B246" t="s">
        <v>1787</v>
      </c>
      <c r="C246" t="s">
        <v>1759</v>
      </c>
      <c r="D246" t="s">
        <v>1768</v>
      </c>
      <c r="K246"/>
      <c r="L246"/>
      <c r="M246"/>
    </row>
    <row r="247" spans="1:13">
      <c r="A247" s="2" t="s">
        <v>409</v>
      </c>
      <c r="B247" t="s">
        <v>1787</v>
      </c>
      <c r="C247" t="s">
        <v>1759</v>
      </c>
      <c r="D247" t="s">
        <v>1768</v>
      </c>
      <c r="K247"/>
      <c r="L247"/>
      <c r="M247"/>
    </row>
    <row r="248" spans="1:13">
      <c r="A248" s="2" t="s">
        <v>456</v>
      </c>
      <c r="B248" t="s">
        <v>1787</v>
      </c>
      <c r="C248" t="s">
        <v>1759</v>
      </c>
      <c r="D248" t="s">
        <v>1768</v>
      </c>
      <c r="K248"/>
      <c r="L248"/>
      <c r="M248"/>
    </row>
    <row r="249" spans="1:13">
      <c r="A249" s="2" t="s">
        <v>381</v>
      </c>
      <c r="B249" t="s">
        <v>1787</v>
      </c>
      <c r="C249" t="s">
        <v>1759</v>
      </c>
      <c r="D249" t="s">
        <v>1768</v>
      </c>
      <c r="K249"/>
      <c r="L249"/>
      <c r="M249"/>
    </row>
    <row r="250" spans="1:13">
      <c r="A250" s="2" t="s">
        <v>382</v>
      </c>
      <c r="B250" t="s">
        <v>1787</v>
      </c>
      <c r="C250" t="s">
        <v>1759</v>
      </c>
      <c r="D250" t="s">
        <v>1768</v>
      </c>
      <c r="K250"/>
      <c r="L250"/>
      <c r="M250"/>
    </row>
    <row r="251" spans="1:13">
      <c r="A251" s="2" t="s">
        <v>460</v>
      </c>
      <c r="B251" t="s">
        <v>1787</v>
      </c>
      <c r="C251" t="s">
        <v>1759</v>
      </c>
      <c r="D251" t="s">
        <v>1768</v>
      </c>
      <c r="K251"/>
      <c r="L251"/>
      <c r="M251"/>
    </row>
    <row r="252" spans="1:13">
      <c r="A252" s="2" t="s">
        <v>630</v>
      </c>
      <c r="B252" t="s">
        <v>1787</v>
      </c>
      <c r="C252" t="s">
        <v>1759</v>
      </c>
      <c r="D252" t="s">
        <v>1768</v>
      </c>
      <c r="K252"/>
      <c r="L252"/>
      <c r="M252"/>
    </row>
    <row r="253" spans="1:13">
      <c r="A253" s="2" t="s">
        <v>640</v>
      </c>
      <c r="B253" t="s">
        <v>1787</v>
      </c>
      <c r="C253" t="s">
        <v>1759</v>
      </c>
      <c r="D253" t="s">
        <v>1768</v>
      </c>
      <c r="K253"/>
      <c r="L253"/>
      <c r="M253"/>
    </row>
    <row r="254" spans="1:13">
      <c r="A254" s="2" t="s">
        <v>418</v>
      </c>
      <c r="B254" t="s">
        <v>1787</v>
      </c>
      <c r="C254" t="s">
        <v>1759</v>
      </c>
      <c r="D254" t="s">
        <v>1768</v>
      </c>
      <c r="K254"/>
      <c r="L254"/>
      <c r="M254"/>
    </row>
    <row r="255" spans="1:13">
      <c r="A255" s="2" t="s">
        <v>434</v>
      </c>
      <c r="B255" t="s">
        <v>1787</v>
      </c>
      <c r="C255" t="s">
        <v>1759</v>
      </c>
      <c r="D255" t="s">
        <v>1768</v>
      </c>
      <c r="K255"/>
      <c r="L255"/>
      <c r="M255"/>
    </row>
    <row r="256" spans="1:13">
      <c r="A256" s="2" t="s">
        <v>414</v>
      </c>
      <c r="B256" t="s">
        <v>1787</v>
      </c>
      <c r="C256" t="s">
        <v>1759</v>
      </c>
      <c r="D256" t="s">
        <v>1768</v>
      </c>
      <c r="K256"/>
      <c r="L256"/>
      <c r="M256"/>
    </row>
    <row r="257" spans="1:13">
      <c r="A257" s="2" t="s">
        <v>399</v>
      </c>
      <c r="B257" t="s">
        <v>1787</v>
      </c>
      <c r="C257" t="s">
        <v>1759</v>
      </c>
      <c r="D257" t="s">
        <v>1768</v>
      </c>
      <c r="K257"/>
      <c r="L257"/>
      <c r="M257"/>
    </row>
    <row r="258" spans="1:13">
      <c r="A258" s="2" t="s">
        <v>398</v>
      </c>
      <c r="B258" t="s">
        <v>1787</v>
      </c>
      <c r="C258" t="s">
        <v>1766</v>
      </c>
      <c r="D258" t="s">
        <v>1772</v>
      </c>
      <c r="K258"/>
      <c r="L258"/>
      <c r="M258"/>
    </row>
    <row r="259" spans="1:13">
      <c r="A259" s="2" t="s">
        <v>397</v>
      </c>
      <c r="B259" t="s">
        <v>1787</v>
      </c>
      <c r="C259" t="s">
        <v>1759</v>
      </c>
      <c r="D259" t="s">
        <v>1768</v>
      </c>
      <c r="K259"/>
      <c r="L259"/>
      <c r="M259"/>
    </row>
    <row r="260" spans="1:13">
      <c r="A260" s="2" t="s">
        <v>448</v>
      </c>
      <c r="B260" t="s">
        <v>1787</v>
      </c>
      <c r="C260" t="s">
        <v>1759</v>
      </c>
      <c r="D260" t="s">
        <v>1768</v>
      </c>
      <c r="K260"/>
      <c r="L260"/>
      <c r="M260"/>
    </row>
    <row r="261" spans="1:13">
      <c r="A261" s="2" t="s">
        <v>449</v>
      </c>
      <c r="B261" t="s">
        <v>1787</v>
      </c>
      <c r="C261" t="s">
        <v>1759</v>
      </c>
      <c r="D261" t="s">
        <v>1768</v>
      </c>
      <c r="K261"/>
      <c r="L261"/>
      <c r="M261"/>
    </row>
    <row r="262" spans="1:13">
      <c r="A262" s="2" t="s">
        <v>656</v>
      </c>
      <c r="B262" t="s">
        <v>1787</v>
      </c>
      <c r="C262" t="s">
        <v>1759</v>
      </c>
      <c r="D262" t="s">
        <v>1768</v>
      </c>
      <c r="K262"/>
      <c r="L262"/>
      <c r="M262"/>
    </row>
    <row r="263" spans="1:13">
      <c r="A263" s="2" t="s">
        <v>665</v>
      </c>
      <c r="B263" t="s">
        <v>1787</v>
      </c>
      <c r="C263" t="s">
        <v>1759</v>
      </c>
      <c r="D263" t="s">
        <v>1768</v>
      </c>
      <c r="K263"/>
      <c r="L263"/>
      <c r="M263"/>
    </row>
    <row r="264" spans="1:13">
      <c r="A264" s="2" t="s">
        <v>653</v>
      </c>
      <c r="B264" t="s">
        <v>1787</v>
      </c>
      <c r="C264" t="s">
        <v>1766</v>
      </c>
      <c r="D264" t="s">
        <v>1772</v>
      </c>
      <c r="K264"/>
      <c r="L264"/>
      <c r="M264"/>
    </row>
    <row r="265" spans="1:13">
      <c r="A265" s="2" t="s">
        <v>652</v>
      </c>
      <c r="B265" t="s">
        <v>1787</v>
      </c>
      <c r="C265" t="s">
        <v>1766</v>
      </c>
      <c r="D265" t="s">
        <v>1772</v>
      </c>
      <c r="K265"/>
      <c r="L265"/>
      <c r="M265"/>
    </row>
    <row r="266" spans="1:13">
      <c r="A266" s="2" t="s">
        <v>654</v>
      </c>
      <c r="B266" t="s">
        <v>1787</v>
      </c>
      <c r="C266" t="s">
        <v>1759</v>
      </c>
      <c r="D266" t="s">
        <v>1768</v>
      </c>
      <c r="K266"/>
      <c r="L266"/>
      <c r="M266"/>
    </row>
    <row r="267" spans="1:13">
      <c r="A267" s="2" t="s">
        <v>660</v>
      </c>
      <c r="B267" t="s">
        <v>1787</v>
      </c>
      <c r="C267" t="s">
        <v>1759</v>
      </c>
      <c r="D267" t="s">
        <v>1768</v>
      </c>
      <c r="K267"/>
      <c r="L267"/>
      <c r="M267"/>
    </row>
    <row r="268" spans="1:13">
      <c r="A268" s="2" t="s">
        <v>659</v>
      </c>
      <c r="B268" t="s">
        <v>1787</v>
      </c>
      <c r="C268" t="s">
        <v>1766</v>
      </c>
      <c r="D268" t="s">
        <v>1772</v>
      </c>
      <c r="K268"/>
      <c r="L268"/>
      <c r="M268"/>
    </row>
    <row r="269" spans="1:13">
      <c r="A269" s="2" t="s">
        <v>400</v>
      </c>
      <c r="B269" t="s">
        <v>1787</v>
      </c>
      <c r="C269" t="s">
        <v>1759</v>
      </c>
      <c r="D269" t="s">
        <v>1768</v>
      </c>
      <c r="K269"/>
      <c r="L269"/>
      <c r="M269"/>
    </row>
    <row r="270" spans="1:13">
      <c r="A270" s="2" t="s">
        <v>639</v>
      </c>
      <c r="B270" t="s">
        <v>1787</v>
      </c>
      <c r="C270" t="s">
        <v>1759</v>
      </c>
      <c r="D270" t="s">
        <v>1768</v>
      </c>
      <c r="K270"/>
      <c r="L270"/>
      <c r="M270"/>
    </row>
    <row r="271" spans="1:13">
      <c r="A271" s="2" t="s">
        <v>450</v>
      </c>
      <c r="B271" t="s">
        <v>1787</v>
      </c>
      <c r="C271" t="s">
        <v>1759</v>
      </c>
      <c r="D271" t="s">
        <v>1768</v>
      </c>
      <c r="K271"/>
      <c r="L271"/>
      <c r="M271"/>
    </row>
    <row r="272" spans="1:13">
      <c r="A272" s="2" t="s">
        <v>632</v>
      </c>
      <c r="B272" t="s">
        <v>1787</v>
      </c>
      <c r="C272" t="s">
        <v>1759</v>
      </c>
      <c r="D272" t="s">
        <v>1768</v>
      </c>
      <c r="K272"/>
      <c r="L272"/>
      <c r="M272"/>
    </row>
    <row r="273" spans="1:13">
      <c r="A273" s="2" t="s">
        <v>633</v>
      </c>
      <c r="B273" t="s">
        <v>1787</v>
      </c>
      <c r="C273" t="s">
        <v>1759</v>
      </c>
      <c r="D273" t="s">
        <v>1768</v>
      </c>
      <c r="K273"/>
      <c r="L273"/>
      <c r="M273"/>
    </row>
    <row r="274" spans="1:13">
      <c r="A274" s="2" t="s">
        <v>634</v>
      </c>
      <c r="B274" t="s">
        <v>1787</v>
      </c>
      <c r="C274" t="s">
        <v>1759</v>
      </c>
      <c r="D274" t="s">
        <v>1768</v>
      </c>
      <c r="K274"/>
      <c r="L274"/>
      <c r="M274"/>
    </row>
    <row r="275" spans="1:13">
      <c r="A275" s="2" t="s">
        <v>638</v>
      </c>
      <c r="B275" t="s">
        <v>1787</v>
      </c>
      <c r="C275" t="s">
        <v>1759</v>
      </c>
      <c r="D275" t="s">
        <v>1768</v>
      </c>
      <c r="K275"/>
      <c r="L275"/>
      <c r="M275"/>
    </row>
    <row r="276" spans="1:13">
      <c r="A276" s="2" t="s">
        <v>411</v>
      </c>
      <c r="B276" t="s">
        <v>1787</v>
      </c>
      <c r="C276" t="s">
        <v>1759</v>
      </c>
      <c r="D276" t="s">
        <v>1768</v>
      </c>
      <c r="K276"/>
      <c r="L276"/>
      <c r="M276"/>
    </row>
    <row r="277" spans="1:13">
      <c r="A277" s="2" t="s">
        <v>396</v>
      </c>
      <c r="B277" t="s">
        <v>1787</v>
      </c>
      <c r="C277" t="s">
        <v>1759</v>
      </c>
      <c r="D277" t="s">
        <v>1768</v>
      </c>
      <c r="K277"/>
      <c r="L277"/>
      <c r="M277"/>
    </row>
    <row r="278" spans="1:13">
      <c r="A278" s="2" t="s">
        <v>451</v>
      </c>
      <c r="B278" t="s">
        <v>1787</v>
      </c>
      <c r="C278" t="s">
        <v>1759</v>
      </c>
      <c r="D278" t="s">
        <v>1768</v>
      </c>
      <c r="K278"/>
      <c r="L278"/>
      <c r="M278"/>
    </row>
    <row r="279" spans="1:13">
      <c r="A279" s="2" t="s">
        <v>406</v>
      </c>
      <c r="B279" t="s">
        <v>1787</v>
      </c>
      <c r="C279" t="s">
        <v>1759</v>
      </c>
      <c r="D279" t="s">
        <v>1768</v>
      </c>
      <c r="K279"/>
      <c r="L279"/>
      <c r="M279"/>
    </row>
    <row r="280" spans="1:13">
      <c r="A280" s="2" t="s">
        <v>470</v>
      </c>
      <c r="B280" t="s">
        <v>1787</v>
      </c>
      <c r="C280" t="s">
        <v>1759</v>
      </c>
      <c r="D280" t="s">
        <v>1768</v>
      </c>
      <c r="K280"/>
      <c r="L280"/>
      <c r="M280"/>
    </row>
    <row r="281" spans="1:13">
      <c r="A281" s="2" t="s">
        <v>430</v>
      </c>
      <c r="B281" t="s">
        <v>1787</v>
      </c>
      <c r="C281" t="s">
        <v>1760</v>
      </c>
      <c r="D281" t="s">
        <v>1772</v>
      </c>
      <c r="K281"/>
      <c r="L281"/>
      <c r="M281"/>
    </row>
    <row r="282" spans="1:13">
      <c r="A282" s="2" t="s">
        <v>431</v>
      </c>
      <c r="B282" t="s">
        <v>1787</v>
      </c>
      <c r="C282" t="s">
        <v>1766</v>
      </c>
      <c r="D282" t="s">
        <v>1772</v>
      </c>
      <c r="K282"/>
      <c r="L282"/>
      <c r="M282"/>
    </row>
    <row r="283" spans="1:13">
      <c r="A283" s="2" t="s">
        <v>433</v>
      </c>
      <c r="B283" t="s">
        <v>1787</v>
      </c>
      <c r="C283" t="s">
        <v>1759</v>
      </c>
      <c r="D283" t="s">
        <v>1768</v>
      </c>
      <c r="K283"/>
      <c r="L283"/>
      <c r="M283"/>
    </row>
    <row r="284" spans="1:13">
      <c r="A284" s="2" t="s">
        <v>432</v>
      </c>
      <c r="B284" t="s">
        <v>1787</v>
      </c>
      <c r="C284" t="s">
        <v>1760</v>
      </c>
      <c r="D284" t="s">
        <v>1771</v>
      </c>
      <c r="K284"/>
      <c r="L284"/>
      <c r="M284"/>
    </row>
    <row r="285" spans="1:13">
      <c r="A285" s="2" t="s">
        <v>424</v>
      </c>
      <c r="B285" t="s">
        <v>1787</v>
      </c>
      <c r="C285" t="s">
        <v>1759</v>
      </c>
      <c r="D285" t="s">
        <v>1768</v>
      </c>
      <c r="K285"/>
      <c r="L285"/>
      <c r="M285"/>
    </row>
    <row r="286" spans="1:13">
      <c r="A286" s="2" t="s">
        <v>627</v>
      </c>
      <c r="B286" t="s">
        <v>1787</v>
      </c>
      <c r="C286" t="s">
        <v>1759</v>
      </c>
      <c r="D286" t="s">
        <v>1768</v>
      </c>
      <c r="K286"/>
      <c r="L286"/>
      <c r="M286"/>
    </row>
    <row r="287" spans="1:13">
      <c r="A287" s="2" t="s">
        <v>635</v>
      </c>
      <c r="B287" t="s">
        <v>1787</v>
      </c>
      <c r="C287" t="s">
        <v>1759</v>
      </c>
      <c r="D287" t="s">
        <v>1768</v>
      </c>
      <c r="K287"/>
      <c r="L287"/>
      <c r="M287"/>
    </row>
    <row r="288" spans="1:13">
      <c r="A288" s="2" t="s">
        <v>636</v>
      </c>
      <c r="B288" t="s">
        <v>1787</v>
      </c>
      <c r="C288" t="s">
        <v>1766</v>
      </c>
      <c r="D288" t="s">
        <v>1769</v>
      </c>
      <c r="K288"/>
      <c r="L288"/>
      <c r="M288"/>
    </row>
    <row r="289" spans="1:13">
      <c r="A289" s="2" t="s">
        <v>425</v>
      </c>
      <c r="B289" t="s">
        <v>1787</v>
      </c>
      <c r="C289" t="s">
        <v>1759</v>
      </c>
      <c r="D289" t="s">
        <v>1768</v>
      </c>
      <c r="K289"/>
      <c r="L289"/>
      <c r="M289"/>
    </row>
    <row r="290" spans="1:13">
      <c r="A290" s="2" t="s">
        <v>427</v>
      </c>
      <c r="B290" t="s">
        <v>1787</v>
      </c>
      <c r="C290" t="s">
        <v>1759</v>
      </c>
      <c r="D290" t="s">
        <v>1768</v>
      </c>
      <c r="K290"/>
      <c r="L290"/>
      <c r="M290"/>
    </row>
    <row r="291" spans="1:13">
      <c r="A291" s="2" t="s">
        <v>426</v>
      </c>
      <c r="B291" t="s">
        <v>1787</v>
      </c>
      <c r="C291" t="s">
        <v>1759</v>
      </c>
      <c r="D291" t="s">
        <v>1768</v>
      </c>
      <c r="K291"/>
      <c r="L291"/>
      <c r="M291"/>
    </row>
    <row r="292" spans="1:13">
      <c r="A292" s="2" t="s">
        <v>390</v>
      </c>
      <c r="B292" t="s">
        <v>1787</v>
      </c>
      <c r="C292" t="s">
        <v>1759</v>
      </c>
      <c r="D292" t="s">
        <v>1768</v>
      </c>
      <c r="K292"/>
      <c r="L292"/>
      <c r="M292"/>
    </row>
    <row r="293" spans="1:13">
      <c r="A293" s="2" t="s">
        <v>457</v>
      </c>
      <c r="B293" t="s">
        <v>1787</v>
      </c>
      <c r="C293" t="s">
        <v>1759</v>
      </c>
      <c r="D293" t="s">
        <v>1768</v>
      </c>
      <c r="K293"/>
      <c r="L293"/>
      <c r="M293"/>
    </row>
    <row r="294" spans="1:13">
      <c r="A294" s="2" t="s">
        <v>474</v>
      </c>
      <c r="B294" t="s">
        <v>1787</v>
      </c>
      <c r="C294" t="s">
        <v>1759</v>
      </c>
      <c r="D294" t="s">
        <v>1768</v>
      </c>
      <c r="K294"/>
      <c r="L294"/>
      <c r="M294"/>
    </row>
    <row r="295" spans="1:13">
      <c r="A295" s="2" t="s">
        <v>391</v>
      </c>
      <c r="B295" t="s">
        <v>1787</v>
      </c>
      <c r="C295" t="s">
        <v>1759</v>
      </c>
      <c r="D295" t="s">
        <v>1768</v>
      </c>
      <c r="K295"/>
      <c r="L295"/>
      <c r="M295"/>
    </row>
    <row r="296" spans="1:13">
      <c r="A296" s="2" t="s">
        <v>378</v>
      </c>
      <c r="B296" t="s">
        <v>1787</v>
      </c>
      <c r="C296" t="s">
        <v>1759</v>
      </c>
      <c r="D296" t="s">
        <v>1768</v>
      </c>
      <c r="K296"/>
      <c r="L296"/>
      <c r="M296"/>
    </row>
    <row r="297" spans="1:13">
      <c r="A297" s="2" t="s">
        <v>384</v>
      </c>
      <c r="B297" t="s">
        <v>1787</v>
      </c>
      <c r="C297" t="s">
        <v>1759</v>
      </c>
      <c r="D297" t="s">
        <v>1768</v>
      </c>
      <c r="K297"/>
      <c r="L297"/>
      <c r="M297"/>
    </row>
    <row r="298" spans="1:13">
      <c r="A298" s="2" t="s">
        <v>657</v>
      </c>
      <c r="B298" t="s">
        <v>1787</v>
      </c>
      <c r="C298" t="s">
        <v>1760</v>
      </c>
      <c r="D298" t="s">
        <v>1768</v>
      </c>
      <c r="K298"/>
      <c r="L298"/>
      <c r="M298"/>
    </row>
    <row r="299" spans="1:13">
      <c r="A299" s="2" t="s">
        <v>655</v>
      </c>
      <c r="B299" t="s">
        <v>1787</v>
      </c>
      <c r="C299" t="s">
        <v>1760</v>
      </c>
      <c r="D299" t="s">
        <v>1768</v>
      </c>
      <c r="K299"/>
      <c r="L299"/>
      <c r="M299"/>
    </row>
    <row r="300" spans="1:13">
      <c r="A300" s="2" t="s">
        <v>452</v>
      </c>
      <c r="B300" t="s">
        <v>1787</v>
      </c>
      <c r="C300" t="s">
        <v>1759</v>
      </c>
      <c r="D300" t="s">
        <v>1768</v>
      </c>
      <c r="K300"/>
      <c r="L300"/>
      <c r="M300"/>
    </row>
    <row r="301" spans="1:13">
      <c r="A301" s="2" t="s">
        <v>475</v>
      </c>
      <c r="B301" t="s">
        <v>1787</v>
      </c>
      <c r="C301" t="s">
        <v>1759</v>
      </c>
      <c r="D301" t="s">
        <v>1768</v>
      </c>
      <c r="K301"/>
      <c r="L301"/>
      <c r="M301"/>
    </row>
    <row r="302" spans="1:13">
      <c r="A302" s="2" t="s">
        <v>467</v>
      </c>
      <c r="B302" t="s">
        <v>1787</v>
      </c>
      <c r="C302" t="s">
        <v>1759</v>
      </c>
      <c r="D302" t="s">
        <v>1768</v>
      </c>
      <c r="K302"/>
      <c r="L302"/>
      <c r="M302"/>
    </row>
    <row r="303" spans="1:13">
      <c r="A303" s="2" t="s">
        <v>468</v>
      </c>
      <c r="B303" t="s">
        <v>1787</v>
      </c>
      <c r="C303" t="s">
        <v>1759</v>
      </c>
      <c r="D303" t="s">
        <v>1768</v>
      </c>
      <c r="K303"/>
      <c r="L303"/>
      <c r="M303"/>
    </row>
    <row r="304" spans="1:13">
      <c r="A304" s="2" t="s">
        <v>437</v>
      </c>
      <c r="B304" t="s">
        <v>1787</v>
      </c>
      <c r="C304" t="s">
        <v>1762</v>
      </c>
      <c r="D304" t="s">
        <v>1768</v>
      </c>
      <c r="K304"/>
      <c r="L304"/>
      <c r="M304"/>
    </row>
    <row r="305" spans="1:13">
      <c r="A305" s="2" t="s">
        <v>393</v>
      </c>
      <c r="B305" t="s">
        <v>1787</v>
      </c>
      <c r="C305" t="s">
        <v>1762</v>
      </c>
      <c r="D305" t="s">
        <v>1768</v>
      </c>
      <c r="K305"/>
      <c r="L305"/>
      <c r="M305"/>
    </row>
    <row r="306" spans="1:13">
      <c r="A306" s="2" t="s">
        <v>392</v>
      </c>
      <c r="B306" t="s">
        <v>1787</v>
      </c>
      <c r="C306" t="s">
        <v>1759</v>
      </c>
      <c r="D306" t="s">
        <v>1768</v>
      </c>
      <c r="K306"/>
      <c r="L306"/>
      <c r="M306"/>
    </row>
    <row r="307" spans="1:13">
      <c r="A307" s="2" t="s">
        <v>385</v>
      </c>
      <c r="B307" t="s">
        <v>1787</v>
      </c>
      <c r="C307" t="s">
        <v>1759</v>
      </c>
      <c r="D307" t="s">
        <v>1768</v>
      </c>
      <c r="K307"/>
      <c r="L307"/>
      <c r="M307"/>
    </row>
    <row r="308" spans="1:13">
      <c r="A308" s="2" t="s">
        <v>415</v>
      </c>
      <c r="B308" t="s">
        <v>1787</v>
      </c>
      <c r="C308" t="s">
        <v>1761</v>
      </c>
      <c r="D308" t="s">
        <v>1770</v>
      </c>
      <c r="K308"/>
      <c r="L308"/>
      <c r="M308"/>
    </row>
    <row r="309" spans="1:13">
      <c r="A309" s="2" t="s">
        <v>420</v>
      </c>
      <c r="B309" t="s">
        <v>1787</v>
      </c>
      <c r="C309" t="s">
        <v>1762</v>
      </c>
      <c r="D309" t="s">
        <v>1768</v>
      </c>
      <c r="K309"/>
      <c r="L309"/>
      <c r="M309"/>
    </row>
    <row r="310" spans="1:13">
      <c r="A310" s="2" t="s">
        <v>438</v>
      </c>
      <c r="B310" t="s">
        <v>1787</v>
      </c>
      <c r="C310" t="s">
        <v>1759</v>
      </c>
      <c r="D310" t="s">
        <v>1768</v>
      </c>
      <c r="K310"/>
      <c r="L310"/>
      <c r="M310"/>
    </row>
    <row r="311" spans="1:13">
      <c r="A311" s="2" t="s">
        <v>445</v>
      </c>
      <c r="B311" t="s">
        <v>1787</v>
      </c>
      <c r="C311" t="s">
        <v>1759</v>
      </c>
      <c r="D311" t="s">
        <v>1768</v>
      </c>
      <c r="K311"/>
      <c r="L311"/>
      <c r="M311"/>
    </row>
    <row r="312" spans="1:13">
      <c r="A312" s="2" t="s">
        <v>436</v>
      </c>
      <c r="B312" t="s">
        <v>1787</v>
      </c>
      <c r="C312" t="s">
        <v>1760</v>
      </c>
      <c r="D312" t="s">
        <v>1768</v>
      </c>
      <c r="K312"/>
      <c r="L312"/>
      <c r="M312"/>
    </row>
    <row r="313" spans="1:13">
      <c r="A313" s="2" t="s">
        <v>651</v>
      </c>
      <c r="B313" t="s">
        <v>1788</v>
      </c>
      <c r="C313" t="s">
        <v>1763</v>
      </c>
      <c r="D313" t="s">
        <v>1772</v>
      </c>
      <c r="K313"/>
      <c r="L313"/>
      <c r="M313"/>
    </row>
    <row r="314" spans="1:13">
      <c r="A314" s="2" t="s">
        <v>533</v>
      </c>
      <c r="B314" t="s">
        <v>1787</v>
      </c>
      <c r="C314" t="s">
        <v>1763</v>
      </c>
      <c r="D314" t="s">
        <v>1768</v>
      </c>
      <c r="K314"/>
      <c r="L314"/>
      <c r="M314"/>
    </row>
    <row r="315" spans="1:13">
      <c r="A315" s="2" t="s">
        <v>644</v>
      </c>
      <c r="B315" t="s">
        <v>1787</v>
      </c>
      <c r="C315" t="s">
        <v>1763</v>
      </c>
      <c r="D315" t="s">
        <v>1768</v>
      </c>
      <c r="K315"/>
      <c r="L315"/>
      <c r="M315"/>
    </row>
    <row r="316" spans="1:13">
      <c r="A316" s="2" t="s">
        <v>643</v>
      </c>
      <c r="B316" t="s">
        <v>1787</v>
      </c>
      <c r="C316" t="s">
        <v>1763</v>
      </c>
      <c r="D316" t="s">
        <v>1768</v>
      </c>
      <c r="K316"/>
      <c r="L316"/>
      <c r="M316"/>
    </row>
    <row r="317" spans="1:13">
      <c r="A317" s="2" t="s">
        <v>645</v>
      </c>
      <c r="B317" t="s">
        <v>1787</v>
      </c>
      <c r="C317" t="s">
        <v>1763</v>
      </c>
      <c r="D317" t="s">
        <v>1768</v>
      </c>
      <c r="K317"/>
      <c r="L317"/>
      <c r="M317"/>
    </row>
    <row r="318" spans="1:13">
      <c r="A318" s="2" t="s">
        <v>552</v>
      </c>
      <c r="B318" t="s">
        <v>1787</v>
      </c>
      <c r="C318" t="s">
        <v>1763</v>
      </c>
      <c r="D318" t="s">
        <v>1768</v>
      </c>
      <c r="K318"/>
      <c r="L318"/>
      <c r="M318"/>
    </row>
    <row r="319" spans="1:13">
      <c r="A319" s="2" t="s">
        <v>553</v>
      </c>
      <c r="B319" t="s">
        <v>1787</v>
      </c>
      <c r="C319" t="s">
        <v>1763</v>
      </c>
      <c r="D319" t="s">
        <v>1768</v>
      </c>
      <c r="K319"/>
      <c r="L319"/>
      <c r="M319"/>
    </row>
    <row r="320" spans="1:13">
      <c r="A320" s="2" t="s">
        <v>554</v>
      </c>
      <c r="B320" t="s">
        <v>1787</v>
      </c>
      <c r="C320" t="s">
        <v>1763</v>
      </c>
      <c r="D320" t="s">
        <v>1768</v>
      </c>
      <c r="K320"/>
      <c r="L320"/>
      <c r="M320"/>
    </row>
    <row r="321" spans="1:13">
      <c r="A321" s="2" t="s">
        <v>564</v>
      </c>
      <c r="B321" t="s">
        <v>1787</v>
      </c>
      <c r="C321" t="s">
        <v>1763</v>
      </c>
      <c r="D321" t="s">
        <v>1768</v>
      </c>
      <c r="K321"/>
      <c r="L321"/>
      <c r="M321"/>
    </row>
    <row r="322" spans="1:13">
      <c r="A322" s="2" t="s">
        <v>649</v>
      </c>
      <c r="B322" t="s">
        <v>1787</v>
      </c>
      <c r="C322" t="s">
        <v>1763</v>
      </c>
      <c r="D322" t="s">
        <v>1768</v>
      </c>
      <c r="K322"/>
      <c r="L322"/>
      <c r="M322"/>
    </row>
    <row r="323" spans="1:13">
      <c r="A323" s="2" t="s">
        <v>648</v>
      </c>
      <c r="B323" t="s">
        <v>1787</v>
      </c>
      <c r="C323" t="s">
        <v>1763</v>
      </c>
      <c r="D323" t="s">
        <v>1768</v>
      </c>
      <c r="K323"/>
      <c r="L323"/>
      <c r="M323"/>
    </row>
    <row r="324" spans="1:13">
      <c r="A324" s="2" t="s">
        <v>577</v>
      </c>
      <c r="B324" t="s">
        <v>1788</v>
      </c>
      <c r="C324" t="s">
        <v>1763</v>
      </c>
      <c r="D324" t="s">
        <v>1772</v>
      </c>
      <c r="K324"/>
      <c r="L324"/>
      <c r="M324"/>
    </row>
    <row r="325" spans="1:13">
      <c r="A325" s="2" t="s">
        <v>670</v>
      </c>
      <c r="B325" t="s">
        <v>1787</v>
      </c>
      <c r="C325" t="s">
        <v>1763</v>
      </c>
      <c r="D325" t="s">
        <v>1768</v>
      </c>
      <c r="K325"/>
      <c r="L325"/>
      <c r="M325"/>
    </row>
    <row r="326" spans="1:13">
      <c r="A326" s="2" t="s">
        <v>588</v>
      </c>
      <c r="B326" t="s">
        <v>1787</v>
      </c>
      <c r="C326" t="s">
        <v>1763</v>
      </c>
      <c r="D326" t="s">
        <v>1768</v>
      </c>
      <c r="K326"/>
      <c r="L326"/>
      <c r="M326"/>
    </row>
    <row r="327" spans="1:13">
      <c r="A327" s="2" t="s">
        <v>534</v>
      </c>
      <c r="B327" t="s">
        <v>1788</v>
      </c>
      <c r="C327" t="s">
        <v>1763</v>
      </c>
      <c r="D327" t="s">
        <v>1772</v>
      </c>
      <c r="K327"/>
      <c r="L327"/>
      <c r="M327"/>
    </row>
    <row r="328" spans="1:13">
      <c r="A328" s="2" t="s">
        <v>535</v>
      </c>
      <c r="B328" t="s">
        <v>1788</v>
      </c>
      <c r="C328" t="s">
        <v>1763</v>
      </c>
      <c r="D328" t="s">
        <v>1772</v>
      </c>
      <c r="K328"/>
      <c r="L328"/>
      <c r="M328"/>
    </row>
    <row r="329" spans="1:13">
      <c r="A329" s="2" t="s">
        <v>568</v>
      </c>
      <c r="B329" t="s">
        <v>1787</v>
      </c>
      <c r="C329" t="s">
        <v>1763</v>
      </c>
      <c r="D329" t="s">
        <v>1773</v>
      </c>
      <c r="K329"/>
      <c r="L329"/>
      <c r="M329"/>
    </row>
    <row r="330" spans="1:13">
      <c r="A330" s="2" t="s">
        <v>565</v>
      </c>
      <c r="B330" t="s">
        <v>1787</v>
      </c>
      <c r="C330" t="s">
        <v>1763</v>
      </c>
      <c r="D330" t="s">
        <v>1768</v>
      </c>
      <c r="K330"/>
      <c r="L330"/>
      <c r="M330"/>
    </row>
    <row r="331" spans="1:13">
      <c r="A331" s="2" t="s">
        <v>566</v>
      </c>
      <c r="B331" t="s">
        <v>1787</v>
      </c>
      <c r="C331" t="s">
        <v>1763</v>
      </c>
      <c r="D331" t="s">
        <v>1768</v>
      </c>
      <c r="K331"/>
      <c r="L331"/>
      <c r="M331"/>
    </row>
    <row r="332" spans="1:13">
      <c r="A332" s="2" t="s">
        <v>586</v>
      </c>
      <c r="B332" t="s">
        <v>1787</v>
      </c>
      <c r="C332" t="s">
        <v>1763</v>
      </c>
      <c r="D332" t="s">
        <v>1773</v>
      </c>
      <c r="K332"/>
      <c r="L332"/>
      <c r="M332"/>
    </row>
    <row r="333" spans="1:13">
      <c r="A333" s="2" t="s">
        <v>585</v>
      </c>
      <c r="B333" t="s">
        <v>1788</v>
      </c>
      <c r="C333" t="s">
        <v>1763</v>
      </c>
      <c r="D333" t="s">
        <v>1771</v>
      </c>
      <c r="K333"/>
      <c r="L333"/>
      <c r="M333"/>
    </row>
    <row r="334" spans="1:13">
      <c r="A334" s="2" t="s">
        <v>587</v>
      </c>
      <c r="B334" t="s">
        <v>1788</v>
      </c>
      <c r="C334" t="s">
        <v>1763</v>
      </c>
      <c r="D334" t="s">
        <v>1771</v>
      </c>
      <c r="K334"/>
      <c r="L334"/>
      <c r="M334"/>
    </row>
    <row r="335" spans="1:13">
      <c r="A335" s="2" t="s">
        <v>563</v>
      </c>
      <c r="B335" t="s">
        <v>1788</v>
      </c>
      <c r="C335" t="s">
        <v>1763</v>
      </c>
      <c r="D335" t="s">
        <v>1772</v>
      </c>
      <c r="K335"/>
      <c r="L335"/>
      <c r="M335"/>
    </row>
    <row r="336" spans="1:13">
      <c r="A336" s="2" t="s">
        <v>555</v>
      </c>
      <c r="B336" t="s">
        <v>1788</v>
      </c>
      <c r="C336" t="s">
        <v>1763</v>
      </c>
      <c r="D336" t="s">
        <v>1772</v>
      </c>
      <c r="K336"/>
      <c r="L336"/>
      <c r="M336"/>
    </row>
    <row r="337" spans="1:13">
      <c r="A337" s="2" t="s">
        <v>567</v>
      </c>
      <c r="B337" t="s">
        <v>1787</v>
      </c>
      <c r="C337" t="s">
        <v>1763</v>
      </c>
      <c r="D337" t="s">
        <v>1768</v>
      </c>
      <c r="K337"/>
      <c r="L337"/>
      <c r="M337"/>
    </row>
    <row r="338" spans="1:13">
      <c r="A338" s="2" t="s">
        <v>536</v>
      </c>
      <c r="B338" t="s">
        <v>1787</v>
      </c>
      <c r="C338" t="s">
        <v>1763</v>
      </c>
      <c r="D338" t="s">
        <v>1768</v>
      </c>
      <c r="K338"/>
      <c r="L338"/>
      <c r="M338"/>
    </row>
    <row r="339" spans="1:13">
      <c r="A339" s="2" t="s">
        <v>551</v>
      </c>
      <c r="B339" t="s">
        <v>1787</v>
      </c>
      <c r="C339" t="s">
        <v>1763</v>
      </c>
      <c r="D339" t="s">
        <v>1768</v>
      </c>
      <c r="K339"/>
      <c r="L339"/>
      <c r="M339"/>
    </row>
    <row r="340" spans="1:13">
      <c r="A340" s="2" t="s">
        <v>548</v>
      </c>
      <c r="B340" t="s">
        <v>1787</v>
      </c>
      <c r="C340" t="s">
        <v>1763</v>
      </c>
      <c r="D340" t="s">
        <v>1768</v>
      </c>
      <c r="K340"/>
      <c r="L340"/>
      <c r="M340"/>
    </row>
    <row r="341" spans="1:13">
      <c r="A341" s="2" t="s">
        <v>545</v>
      </c>
      <c r="B341" t="s">
        <v>1787</v>
      </c>
      <c r="C341" t="s">
        <v>1763</v>
      </c>
      <c r="D341" t="s">
        <v>1768</v>
      </c>
      <c r="K341"/>
      <c r="L341"/>
      <c r="M341"/>
    </row>
    <row r="342" spans="1:13">
      <c r="A342" s="2" t="s">
        <v>546</v>
      </c>
      <c r="B342" t="s">
        <v>1788</v>
      </c>
      <c r="C342" t="s">
        <v>1763</v>
      </c>
      <c r="D342" t="s">
        <v>1772</v>
      </c>
      <c r="K342"/>
      <c r="L342"/>
      <c r="M342"/>
    </row>
    <row r="343" spans="1:13">
      <c r="A343" s="2" t="s">
        <v>547</v>
      </c>
      <c r="B343" t="s">
        <v>1787</v>
      </c>
      <c r="C343" t="s">
        <v>1763</v>
      </c>
      <c r="D343" t="s">
        <v>1768</v>
      </c>
      <c r="K343"/>
      <c r="L343"/>
      <c r="M343"/>
    </row>
    <row r="344" spans="1:13">
      <c r="A344" s="2" t="s">
        <v>579</v>
      </c>
      <c r="B344" t="s">
        <v>1788</v>
      </c>
      <c r="C344" t="s">
        <v>1763</v>
      </c>
      <c r="D344" t="s">
        <v>1771</v>
      </c>
      <c r="K344"/>
      <c r="L344"/>
      <c r="M344"/>
    </row>
    <row r="345" spans="1:13">
      <c r="A345" s="2" t="s">
        <v>580</v>
      </c>
      <c r="B345" t="s">
        <v>1788</v>
      </c>
      <c r="C345" t="s">
        <v>1763</v>
      </c>
      <c r="D345" t="s">
        <v>1771</v>
      </c>
      <c r="K345"/>
      <c r="L345"/>
      <c r="M345"/>
    </row>
    <row r="346" spans="1:13">
      <c r="A346" s="2" t="s">
        <v>569</v>
      </c>
      <c r="B346" t="s">
        <v>1788</v>
      </c>
      <c r="C346" t="s">
        <v>1763</v>
      </c>
      <c r="D346" t="s">
        <v>1772</v>
      </c>
      <c r="K346"/>
      <c r="L346"/>
      <c r="M346"/>
    </row>
    <row r="347" spans="1:13">
      <c r="A347" s="2" t="s">
        <v>570</v>
      </c>
      <c r="B347" t="s">
        <v>1788</v>
      </c>
      <c r="C347" t="s">
        <v>1763</v>
      </c>
      <c r="D347" t="s">
        <v>1772</v>
      </c>
      <c r="K347"/>
      <c r="L347"/>
      <c r="M347"/>
    </row>
    <row r="348" spans="1:13">
      <c r="A348" s="2" t="s">
        <v>571</v>
      </c>
      <c r="B348" t="s">
        <v>1788</v>
      </c>
      <c r="C348" t="s">
        <v>1763</v>
      </c>
      <c r="D348" t="s">
        <v>1772</v>
      </c>
      <c r="K348"/>
      <c r="L348"/>
      <c r="M348"/>
    </row>
    <row r="349" spans="1:13">
      <c r="A349" s="2" t="s">
        <v>642</v>
      </c>
      <c r="B349" t="s">
        <v>1788</v>
      </c>
      <c r="C349" t="s">
        <v>1763</v>
      </c>
      <c r="D349" t="s">
        <v>1772</v>
      </c>
      <c r="K349"/>
      <c r="L349"/>
      <c r="M349"/>
    </row>
    <row r="350" spans="1:13">
      <c r="A350" s="2" t="s">
        <v>641</v>
      </c>
      <c r="B350" t="s">
        <v>1788</v>
      </c>
      <c r="C350" t="s">
        <v>1763</v>
      </c>
      <c r="D350" t="s">
        <v>1772</v>
      </c>
      <c r="K350"/>
      <c r="L350"/>
      <c r="M350"/>
    </row>
    <row r="351" spans="1:13">
      <c r="A351" s="2" t="s">
        <v>572</v>
      </c>
      <c r="B351" t="s">
        <v>1787</v>
      </c>
      <c r="C351" t="s">
        <v>1763</v>
      </c>
      <c r="D351" t="s">
        <v>1768</v>
      </c>
      <c r="K351"/>
      <c r="L351"/>
      <c r="M351"/>
    </row>
    <row r="352" spans="1:13">
      <c r="A352" s="2" t="s">
        <v>573</v>
      </c>
      <c r="B352" t="s">
        <v>1787</v>
      </c>
      <c r="C352" t="s">
        <v>1763</v>
      </c>
      <c r="D352" t="s">
        <v>1768</v>
      </c>
      <c r="K352"/>
      <c r="L352"/>
      <c r="M352"/>
    </row>
    <row r="353" spans="1:13">
      <c r="A353" s="2" t="s">
        <v>549</v>
      </c>
      <c r="B353" t="s">
        <v>1787</v>
      </c>
      <c r="C353" t="s">
        <v>1763</v>
      </c>
      <c r="D353" t="s">
        <v>1768</v>
      </c>
      <c r="K353"/>
      <c r="L353"/>
      <c r="M353"/>
    </row>
    <row r="354" spans="1:13">
      <c r="A354" s="2" t="s">
        <v>582</v>
      </c>
      <c r="B354" t="s">
        <v>1788</v>
      </c>
      <c r="C354" t="s">
        <v>1763</v>
      </c>
      <c r="D354" t="s">
        <v>1771</v>
      </c>
      <c r="K354"/>
      <c r="L354"/>
      <c r="M354"/>
    </row>
    <row r="355" spans="1:13">
      <c r="A355" s="2" t="s">
        <v>542</v>
      </c>
      <c r="B355" t="s">
        <v>1787</v>
      </c>
      <c r="C355" t="s">
        <v>1763</v>
      </c>
      <c r="D355" t="s">
        <v>1768</v>
      </c>
      <c r="K355"/>
      <c r="L355"/>
      <c r="M355"/>
    </row>
    <row r="356" spans="1:13">
      <c r="A356" s="2" t="s">
        <v>581</v>
      </c>
      <c r="B356" t="s">
        <v>1787</v>
      </c>
      <c r="C356" t="s">
        <v>1763</v>
      </c>
      <c r="D356" t="s">
        <v>1768</v>
      </c>
      <c r="K356"/>
      <c r="L356"/>
      <c r="M356"/>
    </row>
    <row r="357" spans="1:13">
      <c r="A357" s="2" t="s">
        <v>541</v>
      </c>
      <c r="B357" t="s">
        <v>1787</v>
      </c>
      <c r="C357" t="s">
        <v>1763</v>
      </c>
      <c r="D357" t="s">
        <v>1768</v>
      </c>
      <c r="K357"/>
      <c r="L357"/>
      <c r="M357"/>
    </row>
    <row r="358" spans="1:13">
      <c r="A358" s="2" t="s">
        <v>537</v>
      </c>
      <c r="B358" t="s">
        <v>1787</v>
      </c>
      <c r="C358" t="s">
        <v>1763</v>
      </c>
      <c r="D358" t="s">
        <v>1768</v>
      </c>
      <c r="K358"/>
      <c r="L358"/>
      <c r="M358"/>
    </row>
    <row r="359" spans="1:13">
      <c r="A359" s="2" t="s">
        <v>538</v>
      </c>
      <c r="B359" t="s">
        <v>1787</v>
      </c>
      <c r="C359" t="s">
        <v>1763</v>
      </c>
      <c r="D359" t="s">
        <v>1768</v>
      </c>
      <c r="K359"/>
      <c r="L359"/>
      <c r="M359"/>
    </row>
    <row r="360" spans="1:13">
      <c r="A360" s="2" t="s">
        <v>539</v>
      </c>
      <c r="B360" t="s">
        <v>1787</v>
      </c>
      <c r="C360" t="s">
        <v>1763</v>
      </c>
      <c r="D360" t="s">
        <v>1768</v>
      </c>
      <c r="K360"/>
      <c r="L360"/>
      <c r="M360"/>
    </row>
    <row r="361" spans="1:13">
      <c r="A361" s="2" t="s">
        <v>543</v>
      </c>
      <c r="B361" t="s">
        <v>1787</v>
      </c>
      <c r="C361" t="s">
        <v>1763</v>
      </c>
      <c r="D361" t="s">
        <v>1768</v>
      </c>
      <c r="K361"/>
      <c r="L361"/>
      <c r="M361"/>
    </row>
    <row r="362" spans="1:13">
      <c r="A362" s="2" t="s">
        <v>540</v>
      </c>
      <c r="B362" t="s">
        <v>1787</v>
      </c>
      <c r="C362" t="s">
        <v>1763</v>
      </c>
      <c r="D362" t="s">
        <v>1768</v>
      </c>
      <c r="K362"/>
      <c r="L362"/>
      <c r="M362"/>
    </row>
    <row r="363" spans="1:13">
      <c r="A363" s="2" t="s">
        <v>646</v>
      </c>
      <c r="B363" t="s">
        <v>1787</v>
      </c>
      <c r="C363" t="s">
        <v>1763</v>
      </c>
      <c r="D363" t="s">
        <v>1768</v>
      </c>
      <c r="K363"/>
      <c r="L363"/>
      <c r="M363"/>
    </row>
    <row r="364" spans="1:13">
      <c r="A364" s="2" t="s">
        <v>557</v>
      </c>
      <c r="B364" t="s">
        <v>1787</v>
      </c>
      <c r="C364" t="s">
        <v>1763</v>
      </c>
      <c r="D364" t="s">
        <v>1768</v>
      </c>
      <c r="K364"/>
      <c r="L364"/>
      <c r="M364"/>
    </row>
    <row r="365" spans="1:13">
      <c r="A365" s="2" t="s">
        <v>556</v>
      </c>
      <c r="B365" t="s">
        <v>1788</v>
      </c>
      <c r="C365" t="s">
        <v>1763</v>
      </c>
      <c r="D365" t="s">
        <v>1772</v>
      </c>
      <c r="K365"/>
      <c r="L365"/>
      <c r="M365"/>
    </row>
    <row r="366" spans="1:13">
      <c r="A366" s="2" t="s">
        <v>550</v>
      </c>
      <c r="B366" t="s">
        <v>1788</v>
      </c>
      <c r="C366" t="s">
        <v>1763</v>
      </c>
      <c r="D366" t="s">
        <v>1772</v>
      </c>
      <c r="K366"/>
      <c r="L366"/>
      <c r="M366"/>
    </row>
    <row r="367" spans="1:13">
      <c r="A367" s="2" t="s">
        <v>544</v>
      </c>
      <c r="B367" t="s">
        <v>1787</v>
      </c>
      <c r="C367" t="s">
        <v>1763</v>
      </c>
      <c r="D367" t="s">
        <v>1768</v>
      </c>
      <c r="K367"/>
      <c r="L367"/>
      <c r="M367"/>
    </row>
    <row r="368" spans="1:13">
      <c r="A368" s="2" t="s">
        <v>574</v>
      </c>
      <c r="B368" t="s">
        <v>1787</v>
      </c>
      <c r="C368" t="s">
        <v>1763</v>
      </c>
      <c r="D368" t="s">
        <v>1768</v>
      </c>
      <c r="K368"/>
      <c r="L368"/>
      <c r="M368"/>
    </row>
    <row r="369" spans="1:13">
      <c r="A369" s="2" t="s">
        <v>668</v>
      </c>
      <c r="B369" t="s">
        <v>1788</v>
      </c>
      <c r="C369" t="s">
        <v>1763</v>
      </c>
      <c r="D369" t="s">
        <v>1772</v>
      </c>
      <c r="K369"/>
      <c r="L369"/>
      <c r="M369"/>
    </row>
    <row r="370" spans="1:13">
      <c r="A370" s="2" t="s">
        <v>671</v>
      </c>
      <c r="B370" t="s">
        <v>1788</v>
      </c>
      <c r="C370" t="s">
        <v>1763</v>
      </c>
      <c r="D370" t="s">
        <v>1772</v>
      </c>
      <c r="K370"/>
      <c r="L370"/>
      <c r="M370"/>
    </row>
    <row r="371" spans="1:13">
      <c r="A371" s="2" t="s">
        <v>669</v>
      </c>
      <c r="B371" t="s">
        <v>1787</v>
      </c>
      <c r="C371" t="s">
        <v>1763</v>
      </c>
      <c r="D371" t="s">
        <v>1768</v>
      </c>
      <c r="K371"/>
      <c r="L371"/>
      <c r="M371"/>
    </row>
    <row r="372" spans="1:13">
      <c r="A372" s="2" t="s">
        <v>575</v>
      </c>
      <c r="B372" t="s">
        <v>1787</v>
      </c>
      <c r="C372" t="s">
        <v>1763</v>
      </c>
      <c r="D372" t="s">
        <v>1768</v>
      </c>
      <c r="K372"/>
      <c r="L372"/>
      <c r="M372"/>
    </row>
    <row r="373" spans="1:13">
      <c r="A373" s="2" t="s">
        <v>647</v>
      </c>
      <c r="B373" t="s">
        <v>1787</v>
      </c>
      <c r="C373" t="s">
        <v>1763</v>
      </c>
      <c r="D373" t="s">
        <v>1768</v>
      </c>
      <c r="K373"/>
      <c r="L373"/>
      <c r="M373"/>
    </row>
    <row r="374" spans="1:13">
      <c r="A374" s="2" t="s">
        <v>589</v>
      </c>
      <c r="B374" t="s">
        <v>1787</v>
      </c>
      <c r="C374" t="s">
        <v>1763</v>
      </c>
      <c r="D374" t="s">
        <v>1768</v>
      </c>
      <c r="K374"/>
      <c r="L374"/>
      <c r="M374"/>
    </row>
    <row r="375" spans="1:13">
      <c r="A375" s="2" t="s">
        <v>558</v>
      </c>
      <c r="B375" t="s">
        <v>1787</v>
      </c>
      <c r="C375" t="s">
        <v>1763</v>
      </c>
      <c r="D375" t="s">
        <v>1768</v>
      </c>
      <c r="K375"/>
      <c r="L375"/>
      <c r="M375"/>
    </row>
    <row r="376" spans="1:13">
      <c r="A376" s="2" t="s">
        <v>559</v>
      </c>
      <c r="B376" t="s">
        <v>1788</v>
      </c>
      <c r="C376" t="s">
        <v>1763</v>
      </c>
      <c r="D376" t="s">
        <v>1772</v>
      </c>
      <c r="K376"/>
      <c r="L376"/>
      <c r="M376"/>
    </row>
    <row r="377" spans="1:13">
      <c r="A377" s="2" t="s">
        <v>561</v>
      </c>
      <c r="B377" t="s">
        <v>1787</v>
      </c>
      <c r="C377" t="s">
        <v>1763</v>
      </c>
      <c r="D377" t="s">
        <v>1768</v>
      </c>
      <c r="K377"/>
      <c r="L377"/>
      <c r="M377"/>
    </row>
    <row r="378" spans="1:13">
      <c r="A378" s="2" t="s">
        <v>583</v>
      </c>
      <c r="B378" t="s">
        <v>1788</v>
      </c>
      <c r="C378" t="s">
        <v>1763</v>
      </c>
      <c r="D378" t="s">
        <v>1772</v>
      </c>
      <c r="K378"/>
      <c r="L378"/>
      <c r="M378"/>
    </row>
    <row r="379" spans="1:13">
      <c r="A379" s="2" t="s">
        <v>560</v>
      </c>
      <c r="B379" t="s">
        <v>1787</v>
      </c>
      <c r="C379" t="s">
        <v>1763</v>
      </c>
      <c r="D379" t="s">
        <v>1768</v>
      </c>
      <c r="K379"/>
      <c r="L379"/>
      <c r="M379"/>
    </row>
    <row r="380" spans="1:13">
      <c r="A380" s="2" t="s">
        <v>650</v>
      </c>
      <c r="B380" t="s">
        <v>1788</v>
      </c>
      <c r="C380" t="s">
        <v>1763</v>
      </c>
      <c r="D380" t="s">
        <v>1772</v>
      </c>
      <c r="K380"/>
      <c r="L380"/>
      <c r="M380"/>
    </row>
    <row r="381" spans="1:13">
      <c r="A381" s="2" t="s">
        <v>576</v>
      </c>
      <c r="B381" t="s">
        <v>1787</v>
      </c>
      <c r="C381" t="s">
        <v>1763</v>
      </c>
      <c r="D381" t="s">
        <v>1768</v>
      </c>
      <c r="K381"/>
      <c r="L381"/>
      <c r="M381"/>
    </row>
    <row r="382" spans="1:13">
      <c r="A382" s="2" t="s">
        <v>590</v>
      </c>
      <c r="B382" t="s">
        <v>1787</v>
      </c>
      <c r="C382" t="s">
        <v>1763</v>
      </c>
      <c r="D382" t="s">
        <v>1768</v>
      </c>
      <c r="K382"/>
      <c r="L382"/>
      <c r="M382"/>
    </row>
    <row r="383" spans="1:13">
      <c r="A383" s="2" t="s">
        <v>562</v>
      </c>
      <c r="B383" t="s">
        <v>1787</v>
      </c>
      <c r="C383" t="s">
        <v>1763</v>
      </c>
      <c r="D383" t="s">
        <v>1768</v>
      </c>
      <c r="K383"/>
      <c r="L383"/>
      <c r="M383"/>
    </row>
    <row r="384" spans="1:13">
      <c r="A384" s="2" t="s">
        <v>584</v>
      </c>
      <c r="B384" t="s">
        <v>1787</v>
      </c>
      <c r="C384" t="s">
        <v>1763</v>
      </c>
      <c r="D384" t="s">
        <v>1768</v>
      </c>
      <c r="K384"/>
      <c r="L384"/>
      <c r="M384"/>
    </row>
    <row r="385" spans="1:13">
      <c r="A385" s="2" t="s">
        <v>578</v>
      </c>
      <c r="B385" t="s">
        <v>1787</v>
      </c>
      <c r="C385" t="s">
        <v>1763</v>
      </c>
      <c r="D385" t="s">
        <v>1768</v>
      </c>
      <c r="K385"/>
      <c r="L385"/>
      <c r="M385"/>
    </row>
    <row r="386" spans="1:13">
      <c r="A386" s="2" t="s">
        <v>597</v>
      </c>
      <c r="B386" t="s">
        <v>1786</v>
      </c>
      <c r="C386" t="s">
        <v>1763</v>
      </c>
      <c r="D386" t="s">
        <v>1768</v>
      </c>
      <c r="K386"/>
      <c r="L386"/>
      <c r="M386"/>
    </row>
    <row r="387" spans="1:13">
      <c r="A387" s="2" t="s">
        <v>596</v>
      </c>
      <c r="B387" t="s">
        <v>1786</v>
      </c>
      <c r="C387" t="s">
        <v>1759</v>
      </c>
      <c r="D387" t="s">
        <v>1768</v>
      </c>
      <c r="K387"/>
      <c r="L387"/>
      <c r="M387"/>
    </row>
    <row r="388" spans="1:13">
      <c r="A388" s="2" t="s">
        <v>598</v>
      </c>
      <c r="B388" t="s">
        <v>1786</v>
      </c>
      <c r="C388" t="s">
        <v>1763</v>
      </c>
      <c r="D388" t="s">
        <v>1768</v>
      </c>
      <c r="K388"/>
      <c r="L388"/>
      <c r="M388"/>
    </row>
    <row r="389" spans="1:13">
      <c r="A389" s="2" t="s">
        <v>751</v>
      </c>
      <c r="B389" t="s">
        <v>1786</v>
      </c>
      <c r="C389" t="s">
        <v>1759</v>
      </c>
      <c r="D389" t="s">
        <v>1773</v>
      </c>
      <c r="K389"/>
      <c r="L389"/>
      <c r="M389"/>
    </row>
    <row r="390" spans="1:13">
      <c r="A390" s="2" t="s">
        <v>752</v>
      </c>
      <c r="B390" t="s">
        <v>1786</v>
      </c>
      <c r="C390" t="s">
        <v>1759</v>
      </c>
      <c r="D390" t="s">
        <v>1773</v>
      </c>
      <c r="K390"/>
      <c r="L390"/>
      <c r="M390"/>
    </row>
    <row r="391" spans="1:13">
      <c r="A391" s="2" t="s">
        <v>910</v>
      </c>
      <c r="B391" t="s">
        <v>1786</v>
      </c>
      <c r="C391" t="s">
        <v>1765</v>
      </c>
      <c r="D391" t="s">
        <v>1770</v>
      </c>
      <c r="K391"/>
      <c r="L391"/>
      <c r="M391"/>
    </row>
    <row r="392" spans="1:13">
      <c r="A392" s="2" t="s">
        <v>893</v>
      </c>
      <c r="B392" t="s">
        <v>1786</v>
      </c>
      <c r="C392" t="s">
        <v>1765</v>
      </c>
      <c r="D392" t="s">
        <v>1772</v>
      </c>
      <c r="K392"/>
      <c r="L392"/>
      <c r="M392"/>
    </row>
    <row r="393" spans="1:13">
      <c r="A393" s="2" t="s">
        <v>894</v>
      </c>
      <c r="B393" t="s">
        <v>1786</v>
      </c>
      <c r="C393" t="s">
        <v>1765</v>
      </c>
      <c r="D393" t="s">
        <v>1769</v>
      </c>
      <c r="K393"/>
      <c r="L393"/>
      <c r="M393"/>
    </row>
    <row r="394" spans="1:13">
      <c r="A394" s="2" t="s">
        <v>895</v>
      </c>
      <c r="B394" t="s">
        <v>1786</v>
      </c>
      <c r="C394" t="s">
        <v>1765</v>
      </c>
      <c r="D394" t="s">
        <v>1771</v>
      </c>
      <c r="K394"/>
      <c r="L394"/>
      <c r="M394"/>
    </row>
    <row r="395" spans="1:13">
      <c r="A395" s="2" t="s">
        <v>896</v>
      </c>
      <c r="B395" t="s">
        <v>1786</v>
      </c>
      <c r="C395" t="s">
        <v>1765</v>
      </c>
      <c r="D395" t="s">
        <v>1773</v>
      </c>
      <c r="K395"/>
      <c r="L395"/>
      <c r="M395"/>
    </row>
    <row r="396" spans="1:13">
      <c r="A396" s="2" t="s">
        <v>897</v>
      </c>
      <c r="B396" t="s">
        <v>1786</v>
      </c>
      <c r="C396" t="s">
        <v>1765</v>
      </c>
      <c r="D396" t="s">
        <v>1774</v>
      </c>
      <c r="K396"/>
      <c r="L396"/>
      <c r="M396"/>
    </row>
    <row r="397" spans="1:13">
      <c r="A397" s="2" t="s">
        <v>898</v>
      </c>
      <c r="B397" t="s">
        <v>1786</v>
      </c>
      <c r="C397" t="s">
        <v>1765</v>
      </c>
      <c r="D397" t="s">
        <v>1776</v>
      </c>
      <c r="K397"/>
      <c r="L397"/>
      <c r="M397"/>
    </row>
    <row r="398" spans="1:13">
      <c r="A398" s="2" t="s">
        <v>899</v>
      </c>
      <c r="B398" t="s">
        <v>1786</v>
      </c>
      <c r="C398" t="s">
        <v>1765</v>
      </c>
      <c r="D398" t="s">
        <v>1781</v>
      </c>
      <c r="K398"/>
      <c r="L398"/>
      <c r="M398"/>
    </row>
    <row r="399" spans="1:13">
      <c r="A399" s="2" t="s">
        <v>900</v>
      </c>
      <c r="B399" t="s">
        <v>1786</v>
      </c>
      <c r="C399" t="s">
        <v>1765</v>
      </c>
      <c r="D399" t="s">
        <v>1782</v>
      </c>
      <c r="K399"/>
      <c r="L399"/>
      <c r="M399"/>
    </row>
    <row r="400" spans="1:13">
      <c r="A400" s="2" t="s">
        <v>901</v>
      </c>
      <c r="B400" t="s">
        <v>1786</v>
      </c>
      <c r="C400" t="s">
        <v>1765</v>
      </c>
      <c r="D400" t="s">
        <v>1775</v>
      </c>
      <c r="K400"/>
      <c r="L400"/>
      <c r="M400"/>
    </row>
    <row r="401" spans="1:13">
      <c r="A401" s="2" t="s">
        <v>902</v>
      </c>
      <c r="B401" t="s">
        <v>1786</v>
      </c>
      <c r="C401" t="s">
        <v>1765</v>
      </c>
      <c r="D401" t="s">
        <v>1775</v>
      </c>
      <c r="K401"/>
      <c r="L401"/>
      <c r="M401"/>
    </row>
    <row r="402" spans="1:13">
      <c r="A402" s="2" t="s">
        <v>903</v>
      </c>
      <c r="B402" t="s">
        <v>1786</v>
      </c>
      <c r="C402" t="s">
        <v>1765</v>
      </c>
      <c r="D402" t="s">
        <v>1769</v>
      </c>
      <c r="K402"/>
      <c r="L402"/>
      <c r="M402"/>
    </row>
    <row r="403" spans="1:13">
      <c r="A403" s="2" t="s">
        <v>904</v>
      </c>
      <c r="B403" t="s">
        <v>1786</v>
      </c>
      <c r="C403" t="s">
        <v>1765</v>
      </c>
      <c r="D403" t="s">
        <v>1769</v>
      </c>
      <c r="K403"/>
      <c r="L403"/>
      <c r="M403"/>
    </row>
    <row r="404" spans="1:13">
      <c r="A404" s="2" t="s">
        <v>905</v>
      </c>
      <c r="B404" t="s">
        <v>1786</v>
      </c>
      <c r="C404" t="s">
        <v>1764</v>
      </c>
      <c r="D404" t="s">
        <v>1768</v>
      </c>
      <c r="K404"/>
      <c r="L404"/>
      <c r="M404"/>
    </row>
    <row r="405" spans="1:13">
      <c r="A405" s="2" t="s">
        <v>906</v>
      </c>
      <c r="B405" t="s">
        <v>1786</v>
      </c>
      <c r="C405" t="s">
        <v>1765</v>
      </c>
      <c r="D405" t="s">
        <v>1777</v>
      </c>
      <c r="K405"/>
      <c r="L405"/>
      <c r="M405"/>
    </row>
    <row r="406" spans="1:13">
      <c r="A406" s="2" t="s">
        <v>373</v>
      </c>
      <c r="B406" t="s">
        <v>1786</v>
      </c>
      <c r="C406" t="s">
        <v>1763</v>
      </c>
      <c r="D406" t="s">
        <v>1770</v>
      </c>
      <c r="K406"/>
      <c r="L406"/>
      <c r="M406"/>
    </row>
    <row r="407" spans="1:13">
      <c r="A407" s="2" t="s">
        <v>367</v>
      </c>
      <c r="B407" t="s">
        <v>1786</v>
      </c>
      <c r="C407" t="s">
        <v>1763</v>
      </c>
      <c r="D407" t="s">
        <v>1770</v>
      </c>
      <c r="K407"/>
      <c r="L407"/>
      <c r="M407"/>
    </row>
    <row r="408" spans="1:13">
      <c r="A408" s="2" t="s">
        <v>324</v>
      </c>
      <c r="B408" t="s">
        <v>1786</v>
      </c>
      <c r="C408" t="s">
        <v>1763</v>
      </c>
      <c r="D408" t="s">
        <v>1770</v>
      </c>
      <c r="K408"/>
      <c r="L408"/>
      <c r="M408"/>
    </row>
    <row r="409" spans="1:13">
      <c r="A409" s="2" t="s">
        <v>370</v>
      </c>
      <c r="B409" t="s">
        <v>1786</v>
      </c>
      <c r="C409" t="s">
        <v>1763</v>
      </c>
      <c r="D409" t="s">
        <v>1770</v>
      </c>
      <c r="K409"/>
      <c r="L409"/>
      <c r="M409"/>
    </row>
    <row r="410" spans="1:13">
      <c r="A410" s="2" t="s">
        <v>340</v>
      </c>
      <c r="B410" t="s">
        <v>1786</v>
      </c>
      <c r="C410" t="s">
        <v>1763</v>
      </c>
      <c r="D410" t="s">
        <v>1770</v>
      </c>
      <c r="K410"/>
      <c r="L410"/>
      <c r="M410"/>
    </row>
    <row r="411" spans="1:13">
      <c r="A411" s="2" t="s">
        <v>333</v>
      </c>
      <c r="B411" t="s">
        <v>1786</v>
      </c>
      <c r="C411" t="s">
        <v>1763</v>
      </c>
      <c r="D411" t="s">
        <v>1770</v>
      </c>
      <c r="K411"/>
      <c r="L411"/>
      <c r="M411"/>
    </row>
    <row r="412" spans="1:13">
      <c r="A412" s="2" t="s">
        <v>369</v>
      </c>
      <c r="B412" t="s">
        <v>1786</v>
      </c>
      <c r="C412" t="s">
        <v>1763</v>
      </c>
      <c r="D412" t="s">
        <v>1770</v>
      </c>
      <c r="K412"/>
      <c r="L412"/>
      <c r="M412"/>
    </row>
    <row r="413" spans="1:13">
      <c r="A413" s="2" t="s">
        <v>368</v>
      </c>
      <c r="B413" t="s">
        <v>1786</v>
      </c>
      <c r="C413" t="s">
        <v>1763</v>
      </c>
      <c r="D413" t="s">
        <v>1770</v>
      </c>
      <c r="K413"/>
      <c r="L413"/>
      <c r="M413"/>
    </row>
    <row r="414" spans="1:13">
      <c r="A414" s="2" t="s">
        <v>366</v>
      </c>
      <c r="B414" t="s">
        <v>1786</v>
      </c>
      <c r="C414" t="s">
        <v>1763</v>
      </c>
      <c r="D414" t="s">
        <v>1770</v>
      </c>
      <c r="K414"/>
      <c r="L414"/>
      <c r="M414"/>
    </row>
    <row r="415" spans="1:13">
      <c r="A415" s="2" t="s">
        <v>343</v>
      </c>
      <c r="B415" t="s">
        <v>1786</v>
      </c>
      <c r="C415" t="s">
        <v>1763</v>
      </c>
      <c r="D415" t="s">
        <v>1770</v>
      </c>
      <c r="K415"/>
      <c r="L415"/>
      <c r="M415"/>
    </row>
    <row r="416" spans="1:13">
      <c r="A416" s="2" t="s">
        <v>339</v>
      </c>
      <c r="B416" t="s">
        <v>1786</v>
      </c>
      <c r="C416" t="s">
        <v>1763</v>
      </c>
      <c r="D416" t="s">
        <v>1770</v>
      </c>
      <c r="K416"/>
      <c r="L416"/>
      <c r="M416"/>
    </row>
    <row r="417" spans="1:13">
      <c r="A417" s="2" t="s">
        <v>329</v>
      </c>
      <c r="B417" t="s">
        <v>1786</v>
      </c>
      <c r="C417" t="s">
        <v>1763</v>
      </c>
      <c r="D417" t="s">
        <v>1770</v>
      </c>
      <c r="K417"/>
      <c r="L417"/>
      <c r="M417"/>
    </row>
    <row r="418" spans="1:13">
      <c r="A418" s="2" t="s">
        <v>350</v>
      </c>
      <c r="B418" t="s">
        <v>1786</v>
      </c>
      <c r="C418" t="s">
        <v>1763</v>
      </c>
      <c r="D418" t="s">
        <v>1770</v>
      </c>
      <c r="K418"/>
      <c r="L418"/>
      <c r="M418"/>
    </row>
    <row r="419" spans="1:13">
      <c r="A419" s="2" t="s">
        <v>358</v>
      </c>
      <c r="B419" t="s">
        <v>1786</v>
      </c>
      <c r="C419" t="s">
        <v>1763</v>
      </c>
      <c r="D419" t="s">
        <v>1770</v>
      </c>
      <c r="K419"/>
      <c r="L419"/>
      <c r="M419"/>
    </row>
    <row r="420" spans="1:13">
      <c r="A420" s="2" t="s">
        <v>374</v>
      </c>
      <c r="B420" t="s">
        <v>1786</v>
      </c>
      <c r="C420" t="s">
        <v>1763</v>
      </c>
      <c r="D420" t="s">
        <v>1770</v>
      </c>
      <c r="K420"/>
      <c r="L420"/>
      <c r="M420"/>
    </row>
    <row r="421" spans="1:13">
      <c r="A421" s="2" t="s">
        <v>328</v>
      </c>
      <c r="B421" t="s">
        <v>1786</v>
      </c>
      <c r="C421" t="s">
        <v>1763</v>
      </c>
      <c r="D421" t="s">
        <v>1770</v>
      </c>
      <c r="K421"/>
      <c r="L421"/>
      <c r="M421"/>
    </row>
    <row r="422" spans="1:13">
      <c r="A422" s="2" t="s">
        <v>334</v>
      </c>
      <c r="B422" t="s">
        <v>1786</v>
      </c>
      <c r="C422" t="s">
        <v>1763</v>
      </c>
      <c r="D422" t="s">
        <v>1770</v>
      </c>
      <c r="K422"/>
      <c r="L422"/>
      <c r="M422"/>
    </row>
    <row r="423" spans="1:13">
      <c r="A423" s="2" t="s">
        <v>357</v>
      </c>
      <c r="B423" t="s">
        <v>1786</v>
      </c>
      <c r="C423" t="s">
        <v>1763</v>
      </c>
      <c r="D423" t="s">
        <v>1770</v>
      </c>
      <c r="K423"/>
      <c r="L423"/>
      <c r="M423"/>
    </row>
    <row r="424" spans="1:13">
      <c r="A424" s="2" t="s">
        <v>331</v>
      </c>
      <c r="B424" t="s">
        <v>1786</v>
      </c>
      <c r="C424" t="s">
        <v>1763</v>
      </c>
      <c r="D424" t="s">
        <v>1770</v>
      </c>
      <c r="K424"/>
      <c r="L424"/>
      <c r="M424"/>
    </row>
    <row r="425" spans="1:13">
      <c r="A425" s="2" t="s">
        <v>363</v>
      </c>
      <c r="B425" t="s">
        <v>1786</v>
      </c>
      <c r="C425" t="s">
        <v>1763</v>
      </c>
      <c r="D425" t="s">
        <v>1770</v>
      </c>
      <c r="K425"/>
      <c r="L425"/>
      <c r="M425"/>
    </row>
    <row r="426" spans="1:13">
      <c r="A426" s="2" t="s">
        <v>372</v>
      </c>
      <c r="B426" t="s">
        <v>1786</v>
      </c>
      <c r="C426" t="s">
        <v>1763</v>
      </c>
      <c r="D426" t="s">
        <v>1770</v>
      </c>
      <c r="K426"/>
      <c r="L426"/>
      <c r="M426"/>
    </row>
    <row r="427" spans="1:13">
      <c r="A427" s="2" t="s">
        <v>360</v>
      </c>
      <c r="B427" t="s">
        <v>1786</v>
      </c>
      <c r="C427" t="s">
        <v>1763</v>
      </c>
      <c r="D427" t="s">
        <v>1770</v>
      </c>
      <c r="K427"/>
      <c r="L427"/>
      <c r="M427"/>
    </row>
    <row r="428" spans="1:13">
      <c r="A428" s="2" t="s">
        <v>354</v>
      </c>
      <c r="B428" t="s">
        <v>1786</v>
      </c>
      <c r="C428" t="s">
        <v>1763</v>
      </c>
      <c r="D428" t="s">
        <v>1770</v>
      </c>
      <c r="K428"/>
      <c r="L428"/>
      <c r="M428"/>
    </row>
    <row r="429" spans="1:13">
      <c r="A429" s="2" t="s">
        <v>342</v>
      </c>
      <c r="B429" t="s">
        <v>1786</v>
      </c>
      <c r="C429" t="s">
        <v>1763</v>
      </c>
      <c r="D429" t="s">
        <v>1770</v>
      </c>
      <c r="K429"/>
      <c r="L429"/>
      <c r="M429"/>
    </row>
    <row r="430" spans="1:13">
      <c r="A430" s="2" t="s">
        <v>754</v>
      </c>
      <c r="B430" t="s">
        <v>1786</v>
      </c>
      <c r="C430" t="s">
        <v>1759</v>
      </c>
      <c r="D430" t="s">
        <v>1773</v>
      </c>
      <c r="K430"/>
      <c r="L430"/>
      <c r="M430"/>
    </row>
    <row r="431" spans="1:13">
      <c r="A431" s="2" t="s">
        <v>753</v>
      </c>
      <c r="B431" t="s">
        <v>1786</v>
      </c>
      <c r="C431" t="s">
        <v>1759</v>
      </c>
      <c r="D431" t="s">
        <v>1773</v>
      </c>
      <c r="K431"/>
      <c r="L431"/>
      <c r="M431"/>
    </row>
    <row r="432" spans="1:13">
      <c r="A432" s="2" t="s">
        <v>349</v>
      </c>
      <c r="B432" t="s">
        <v>1786</v>
      </c>
      <c r="C432" t="s">
        <v>1763</v>
      </c>
      <c r="D432" t="s">
        <v>1770</v>
      </c>
      <c r="K432"/>
      <c r="L432"/>
      <c r="M432"/>
    </row>
    <row r="433" spans="1:13">
      <c r="A433" s="2" t="s">
        <v>336</v>
      </c>
      <c r="B433" t="s">
        <v>1786</v>
      </c>
      <c r="C433" t="s">
        <v>1763</v>
      </c>
      <c r="D433" t="s">
        <v>1770</v>
      </c>
      <c r="K433"/>
      <c r="L433"/>
      <c r="M433"/>
    </row>
    <row r="434" spans="1:13">
      <c r="A434" s="2" t="s">
        <v>365</v>
      </c>
      <c r="B434" t="s">
        <v>1786</v>
      </c>
      <c r="C434" t="s">
        <v>1763</v>
      </c>
      <c r="D434" t="s">
        <v>1770</v>
      </c>
      <c r="K434"/>
      <c r="L434"/>
      <c r="M434"/>
    </row>
    <row r="435" spans="1:13">
      <c r="A435" s="2" t="s">
        <v>338</v>
      </c>
      <c r="B435" t="s">
        <v>1786</v>
      </c>
      <c r="C435" t="s">
        <v>1763</v>
      </c>
      <c r="D435" t="s">
        <v>1770</v>
      </c>
      <c r="K435"/>
      <c r="L435"/>
      <c r="M435"/>
    </row>
    <row r="436" spans="1:13">
      <c r="A436" s="2" t="s">
        <v>353</v>
      </c>
      <c r="B436" t="s">
        <v>1786</v>
      </c>
      <c r="C436" t="s">
        <v>1763</v>
      </c>
      <c r="D436" t="s">
        <v>1770</v>
      </c>
      <c r="K436"/>
      <c r="L436"/>
      <c r="M436"/>
    </row>
    <row r="437" spans="1:13">
      <c r="A437" s="2" t="s">
        <v>332</v>
      </c>
      <c r="B437" t="s">
        <v>1786</v>
      </c>
      <c r="C437" t="s">
        <v>1763</v>
      </c>
      <c r="D437" t="s">
        <v>1770</v>
      </c>
      <c r="K437"/>
      <c r="L437"/>
      <c r="M437"/>
    </row>
    <row r="438" spans="1:13">
      <c r="A438" s="2" t="s">
        <v>330</v>
      </c>
      <c r="B438" t="s">
        <v>1786</v>
      </c>
      <c r="C438" t="s">
        <v>1763</v>
      </c>
      <c r="D438" t="s">
        <v>1770</v>
      </c>
      <c r="K438"/>
      <c r="L438"/>
      <c r="M438"/>
    </row>
    <row r="439" spans="1:13">
      <c r="A439" s="2" t="s">
        <v>345</v>
      </c>
      <c r="B439" t="s">
        <v>1786</v>
      </c>
      <c r="C439" t="s">
        <v>1763</v>
      </c>
      <c r="D439" t="s">
        <v>1770</v>
      </c>
      <c r="K439"/>
      <c r="L439"/>
      <c r="M439"/>
    </row>
    <row r="440" spans="1:13">
      <c r="A440" s="2" t="s">
        <v>341</v>
      </c>
      <c r="B440" t="s">
        <v>1786</v>
      </c>
      <c r="C440" t="s">
        <v>1763</v>
      </c>
      <c r="D440" t="s">
        <v>1770</v>
      </c>
      <c r="K440"/>
      <c r="L440"/>
      <c r="M440"/>
    </row>
    <row r="441" spans="1:13">
      <c r="A441" s="2" t="s">
        <v>351</v>
      </c>
      <c r="B441" t="s">
        <v>1786</v>
      </c>
      <c r="C441" t="s">
        <v>1763</v>
      </c>
      <c r="D441" t="s">
        <v>1770</v>
      </c>
      <c r="K441"/>
      <c r="L441"/>
      <c r="M441"/>
    </row>
    <row r="442" spans="1:13">
      <c r="A442" s="2" t="s">
        <v>361</v>
      </c>
      <c r="B442" t="s">
        <v>1786</v>
      </c>
      <c r="C442" t="s">
        <v>1763</v>
      </c>
      <c r="D442" t="s">
        <v>1770</v>
      </c>
      <c r="K442"/>
      <c r="L442"/>
      <c r="M442"/>
    </row>
    <row r="443" spans="1:13">
      <c r="A443" s="2" t="s">
        <v>364</v>
      </c>
      <c r="B443" t="s">
        <v>1786</v>
      </c>
      <c r="C443" t="s">
        <v>1763</v>
      </c>
      <c r="D443" t="s">
        <v>1770</v>
      </c>
      <c r="K443"/>
      <c r="L443"/>
      <c r="M443"/>
    </row>
    <row r="444" spans="1:13">
      <c r="A444" s="2" t="s">
        <v>355</v>
      </c>
      <c r="B444" t="s">
        <v>1786</v>
      </c>
      <c r="C444" t="s">
        <v>1763</v>
      </c>
      <c r="D444" t="s">
        <v>1770</v>
      </c>
      <c r="K444"/>
      <c r="L444"/>
      <c r="M444"/>
    </row>
    <row r="445" spans="1:13">
      <c r="A445" s="2" t="s">
        <v>352</v>
      </c>
      <c r="B445" t="s">
        <v>1786</v>
      </c>
      <c r="C445" t="s">
        <v>1763</v>
      </c>
      <c r="D445" t="s">
        <v>1770</v>
      </c>
      <c r="K445"/>
      <c r="L445"/>
      <c r="M445"/>
    </row>
    <row r="446" spans="1:13">
      <c r="A446" s="2" t="s">
        <v>371</v>
      </c>
      <c r="B446" t="s">
        <v>1786</v>
      </c>
      <c r="C446" t="s">
        <v>1763</v>
      </c>
      <c r="D446" t="s">
        <v>1770</v>
      </c>
      <c r="K446"/>
      <c r="L446"/>
      <c r="M446"/>
    </row>
    <row r="447" spans="1:13">
      <c r="A447" s="2" t="s">
        <v>337</v>
      </c>
      <c r="B447" t="s">
        <v>1786</v>
      </c>
      <c r="C447" t="s">
        <v>1763</v>
      </c>
      <c r="D447" t="s">
        <v>1770</v>
      </c>
      <c r="K447"/>
      <c r="L447"/>
      <c r="M447"/>
    </row>
    <row r="448" spans="1:13">
      <c r="A448" s="2" t="s">
        <v>348</v>
      </c>
      <c r="B448" t="s">
        <v>1786</v>
      </c>
      <c r="C448" t="s">
        <v>1763</v>
      </c>
      <c r="D448" t="s">
        <v>1770</v>
      </c>
      <c r="K448"/>
      <c r="L448"/>
      <c r="M448"/>
    </row>
    <row r="449" spans="1:13">
      <c r="A449" s="2" t="s">
        <v>344</v>
      </c>
      <c r="B449" t="s">
        <v>1786</v>
      </c>
      <c r="C449" t="s">
        <v>1763</v>
      </c>
      <c r="D449" t="s">
        <v>1770</v>
      </c>
      <c r="K449"/>
      <c r="L449"/>
      <c r="M449"/>
    </row>
    <row r="450" spans="1:13">
      <c r="A450" s="2" t="s">
        <v>376</v>
      </c>
      <c r="B450" t="s">
        <v>1786</v>
      </c>
      <c r="C450" t="s">
        <v>1763</v>
      </c>
      <c r="D450" t="s">
        <v>1770</v>
      </c>
      <c r="K450"/>
      <c r="L450"/>
      <c r="M450"/>
    </row>
    <row r="451" spans="1:13">
      <c r="A451" s="2" t="s">
        <v>377</v>
      </c>
      <c r="B451" t="s">
        <v>1786</v>
      </c>
      <c r="C451" t="s">
        <v>1763</v>
      </c>
      <c r="D451" t="s">
        <v>1770</v>
      </c>
      <c r="K451"/>
      <c r="L451"/>
      <c r="M451"/>
    </row>
    <row r="452" spans="1:13">
      <c r="A452" s="2" t="s">
        <v>346</v>
      </c>
      <c r="B452" t="s">
        <v>1786</v>
      </c>
      <c r="C452" t="s">
        <v>1763</v>
      </c>
      <c r="D452" t="s">
        <v>1770</v>
      </c>
      <c r="K452"/>
      <c r="L452"/>
      <c r="M452"/>
    </row>
    <row r="453" spans="1:13">
      <c r="A453" s="2" t="s">
        <v>375</v>
      </c>
      <c r="B453" t="s">
        <v>1786</v>
      </c>
      <c r="C453" t="s">
        <v>1763</v>
      </c>
      <c r="D453" t="s">
        <v>1770</v>
      </c>
      <c r="K453"/>
      <c r="L453"/>
      <c r="M453"/>
    </row>
    <row r="454" spans="1:13">
      <c r="A454" s="2" t="s">
        <v>347</v>
      </c>
      <c r="B454" t="s">
        <v>1786</v>
      </c>
      <c r="C454" t="s">
        <v>1763</v>
      </c>
      <c r="D454" t="s">
        <v>1770</v>
      </c>
      <c r="K454"/>
      <c r="L454"/>
      <c r="M454"/>
    </row>
    <row r="455" spans="1:13">
      <c r="A455" s="2" t="s">
        <v>359</v>
      </c>
      <c r="B455" t="s">
        <v>1786</v>
      </c>
      <c r="C455" t="s">
        <v>1763</v>
      </c>
      <c r="D455" t="s">
        <v>1770</v>
      </c>
      <c r="K455"/>
      <c r="L455"/>
      <c r="M455"/>
    </row>
    <row r="456" spans="1:13">
      <c r="A456" s="2" t="s">
        <v>327</v>
      </c>
      <c r="B456" t="s">
        <v>1786</v>
      </c>
      <c r="C456" t="s">
        <v>1763</v>
      </c>
      <c r="D456" t="s">
        <v>1770</v>
      </c>
      <c r="K456"/>
      <c r="L456"/>
      <c r="M456"/>
    </row>
    <row r="457" spans="1:13">
      <c r="A457" s="2" t="s">
        <v>362</v>
      </c>
      <c r="B457" t="s">
        <v>1786</v>
      </c>
      <c r="C457" t="s">
        <v>1763</v>
      </c>
      <c r="D457" t="s">
        <v>1770</v>
      </c>
      <c r="K457"/>
      <c r="L457"/>
      <c r="M457"/>
    </row>
    <row r="458" spans="1:13">
      <c r="A458" s="2" t="s">
        <v>335</v>
      </c>
      <c r="B458" t="s">
        <v>1786</v>
      </c>
      <c r="C458" t="s">
        <v>1763</v>
      </c>
      <c r="D458" t="s">
        <v>1770</v>
      </c>
      <c r="K458"/>
      <c r="L458"/>
      <c r="M458"/>
    </row>
    <row r="459" spans="1:13">
      <c r="A459" s="2" t="s">
        <v>356</v>
      </c>
      <c r="B459" t="s">
        <v>1786</v>
      </c>
      <c r="C459" t="s">
        <v>1763</v>
      </c>
      <c r="D459" t="s">
        <v>1770</v>
      </c>
      <c r="K459"/>
      <c r="L459"/>
      <c r="M459"/>
    </row>
    <row r="460" spans="1:13">
      <c r="A460" s="2" t="s">
        <v>767</v>
      </c>
      <c r="B460" t="s">
        <v>1786</v>
      </c>
      <c r="C460" t="s">
        <v>1765</v>
      </c>
      <c r="D460" t="s">
        <v>1768</v>
      </c>
      <c r="K460"/>
      <c r="L460"/>
      <c r="M460"/>
    </row>
    <row r="461" spans="1:13">
      <c r="A461" s="2" t="s">
        <v>769</v>
      </c>
      <c r="B461" t="s">
        <v>1786</v>
      </c>
      <c r="C461" t="s">
        <v>1765</v>
      </c>
      <c r="D461" t="s">
        <v>1768</v>
      </c>
      <c r="K461"/>
      <c r="L461"/>
      <c r="M461"/>
    </row>
    <row r="462" spans="1:13">
      <c r="A462" s="2" t="s">
        <v>768</v>
      </c>
      <c r="B462" t="s">
        <v>1786</v>
      </c>
      <c r="C462" t="s">
        <v>1765</v>
      </c>
      <c r="D462" t="s">
        <v>1768</v>
      </c>
      <c r="K462"/>
      <c r="L462"/>
      <c r="M462"/>
    </row>
    <row r="463" spans="1:13">
      <c r="A463" s="2" t="s">
        <v>764</v>
      </c>
      <c r="B463" t="s">
        <v>1786</v>
      </c>
      <c r="C463" t="s">
        <v>1765</v>
      </c>
      <c r="D463" t="s">
        <v>1768</v>
      </c>
      <c r="K463"/>
      <c r="L463"/>
      <c r="M463"/>
    </row>
    <row r="464" spans="1:13">
      <c r="A464" s="2" t="s">
        <v>766</v>
      </c>
      <c r="B464" t="s">
        <v>1786</v>
      </c>
      <c r="C464" t="s">
        <v>1765</v>
      </c>
      <c r="D464" t="s">
        <v>1768</v>
      </c>
      <c r="K464"/>
      <c r="L464"/>
      <c r="M464"/>
    </row>
    <row r="465" spans="1:13">
      <c r="A465" s="2" t="s">
        <v>765</v>
      </c>
      <c r="B465" t="s">
        <v>1786</v>
      </c>
      <c r="C465" t="s">
        <v>1765</v>
      </c>
      <c r="D465" t="s">
        <v>1768</v>
      </c>
      <c r="K465"/>
      <c r="L465"/>
      <c r="M465"/>
    </row>
    <row r="466" spans="1:13">
      <c r="A466" s="2" t="s">
        <v>770</v>
      </c>
      <c r="B466" t="s">
        <v>1786</v>
      </c>
      <c r="C466" t="s">
        <v>1765</v>
      </c>
      <c r="D466" t="s">
        <v>1768</v>
      </c>
      <c r="K466"/>
      <c r="L466"/>
      <c r="M466"/>
    </row>
    <row r="467" spans="1:13">
      <c r="A467" s="2" t="s">
        <v>772</v>
      </c>
      <c r="B467" t="s">
        <v>1786</v>
      </c>
      <c r="C467" t="s">
        <v>1765</v>
      </c>
      <c r="D467" t="s">
        <v>1768</v>
      </c>
      <c r="K467"/>
      <c r="L467"/>
      <c r="M467"/>
    </row>
    <row r="468" spans="1:13">
      <c r="A468" s="2" t="s">
        <v>771</v>
      </c>
      <c r="B468" t="s">
        <v>1786</v>
      </c>
      <c r="C468" t="s">
        <v>1765</v>
      </c>
      <c r="D468" t="s">
        <v>1768</v>
      </c>
      <c r="K468"/>
      <c r="L468"/>
      <c r="M468"/>
    </row>
    <row r="469" spans="1:13">
      <c r="A469" s="2" t="s">
        <v>773</v>
      </c>
      <c r="B469" t="s">
        <v>1786</v>
      </c>
      <c r="C469" t="s">
        <v>1765</v>
      </c>
      <c r="D469" t="s">
        <v>1768</v>
      </c>
      <c r="K469"/>
      <c r="L469"/>
      <c r="M469"/>
    </row>
    <row r="470" spans="1:13">
      <c r="A470" s="2" t="s">
        <v>774</v>
      </c>
      <c r="B470" t="s">
        <v>1786</v>
      </c>
      <c r="C470" t="s">
        <v>1765</v>
      </c>
      <c r="D470" t="s">
        <v>1768</v>
      </c>
      <c r="K470"/>
      <c r="L470"/>
      <c r="M470"/>
    </row>
    <row r="471" spans="1:13">
      <c r="A471" s="2" t="s">
        <v>779</v>
      </c>
      <c r="B471" t="s">
        <v>1786</v>
      </c>
      <c r="C471" t="s">
        <v>1765</v>
      </c>
      <c r="D471" t="s">
        <v>1768</v>
      </c>
      <c r="K471"/>
      <c r="L471"/>
      <c r="M471"/>
    </row>
    <row r="472" spans="1:13">
      <c r="A472" s="2" t="s">
        <v>781</v>
      </c>
      <c r="B472" t="s">
        <v>1786</v>
      </c>
      <c r="C472" t="s">
        <v>1765</v>
      </c>
      <c r="D472" t="s">
        <v>1768</v>
      </c>
      <c r="K472"/>
      <c r="L472"/>
      <c r="M472"/>
    </row>
    <row r="473" spans="1:13">
      <c r="A473" s="2" t="s">
        <v>780</v>
      </c>
      <c r="B473" t="s">
        <v>1786</v>
      </c>
      <c r="C473" t="s">
        <v>1765</v>
      </c>
      <c r="D473" t="s">
        <v>1768</v>
      </c>
      <c r="K473"/>
      <c r="L473"/>
      <c r="M473"/>
    </row>
    <row r="474" spans="1:13">
      <c r="A474" s="2" t="s">
        <v>782</v>
      </c>
      <c r="B474" t="s">
        <v>1786</v>
      </c>
      <c r="C474" t="s">
        <v>1765</v>
      </c>
      <c r="D474" t="s">
        <v>1768</v>
      </c>
      <c r="K474"/>
      <c r="L474"/>
      <c r="M474"/>
    </row>
    <row r="475" spans="1:13">
      <c r="A475" s="2" t="s">
        <v>784</v>
      </c>
      <c r="B475" t="s">
        <v>1786</v>
      </c>
      <c r="C475" t="s">
        <v>1765</v>
      </c>
      <c r="D475" t="s">
        <v>1768</v>
      </c>
      <c r="K475"/>
      <c r="L475"/>
      <c r="M475"/>
    </row>
    <row r="476" spans="1:13">
      <c r="A476" s="2" t="s">
        <v>783</v>
      </c>
      <c r="B476" t="s">
        <v>1786</v>
      </c>
      <c r="C476" t="s">
        <v>1765</v>
      </c>
      <c r="D476" t="s">
        <v>1768</v>
      </c>
      <c r="K476"/>
      <c r="L476"/>
      <c r="M476"/>
    </row>
    <row r="477" spans="1:13">
      <c r="A477" s="2" t="s">
        <v>776</v>
      </c>
      <c r="B477" t="s">
        <v>1786</v>
      </c>
      <c r="C477" t="s">
        <v>1765</v>
      </c>
      <c r="D477" t="s">
        <v>1768</v>
      </c>
      <c r="K477"/>
      <c r="L477"/>
      <c r="M477"/>
    </row>
    <row r="478" spans="1:13">
      <c r="A478" s="2" t="s">
        <v>775</v>
      </c>
      <c r="B478" t="s">
        <v>1786</v>
      </c>
      <c r="C478" t="s">
        <v>1765</v>
      </c>
      <c r="D478" t="s">
        <v>1768</v>
      </c>
      <c r="K478"/>
      <c r="L478"/>
      <c r="M478"/>
    </row>
    <row r="479" spans="1:13">
      <c r="A479" s="2" t="s">
        <v>778</v>
      </c>
      <c r="B479" t="s">
        <v>1786</v>
      </c>
      <c r="C479" t="s">
        <v>1765</v>
      </c>
      <c r="D479" t="s">
        <v>1768</v>
      </c>
      <c r="K479"/>
      <c r="L479"/>
      <c r="M479"/>
    </row>
    <row r="480" spans="1:13">
      <c r="A480" s="2" t="s">
        <v>777</v>
      </c>
      <c r="B480" t="s">
        <v>1786</v>
      </c>
      <c r="C480" t="s">
        <v>1765</v>
      </c>
      <c r="D480" t="s">
        <v>1768</v>
      </c>
      <c r="K480"/>
      <c r="L480"/>
      <c r="M480"/>
    </row>
    <row r="481" spans="1:13">
      <c r="A481" s="2" t="s">
        <v>788</v>
      </c>
      <c r="B481" t="s">
        <v>1786</v>
      </c>
      <c r="C481" t="s">
        <v>1765</v>
      </c>
      <c r="D481" t="s">
        <v>1768</v>
      </c>
      <c r="K481"/>
      <c r="L481"/>
      <c r="M481"/>
    </row>
    <row r="482" spans="1:13">
      <c r="A482" s="2" t="s">
        <v>790</v>
      </c>
      <c r="B482" t="s">
        <v>1786</v>
      </c>
      <c r="C482" t="s">
        <v>1765</v>
      </c>
      <c r="D482" t="s">
        <v>1768</v>
      </c>
      <c r="K482"/>
      <c r="L482"/>
      <c r="M482"/>
    </row>
    <row r="483" spans="1:13">
      <c r="A483" s="2" t="s">
        <v>789</v>
      </c>
      <c r="B483" t="s">
        <v>1786</v>
      </c>
      <c r="C483" t="s">
        <v>1765</v>
      </c>
      <c r="D483" t="s">
        <v>1768</v>
      </c>
      <c r="K483"/>
      <c r="L483"/>
      <c r="M483"/>
    </row>
    <row r="484" spans="1:13">
      <c r="A484" s="2" t="s">
        <v>799</v>
      </c>
      <c r="B484" t="s">
        <v>1786</v>
      </c>
      <c r="C484" t="s">
        <v>1765</v>
      </c>
      <c r="D484" t="s">
        <v>1768</v>
      </c>
      <c r="K484"/>
      <c r="L484"/>
      <c r="M484"/>
    </row>
    <row r="485" spans="1:13">
      <c r="A485" s="2" t="s">
        <v>791</v>
      </c>
      <c r="B485" t="s">
        <v>1786</v>
      </c>
      <c r="C485" t="s">
        <v>1765</v>
      </c>
      <c r="D485" t="s">
        <v>1768</v>
      </c>
      <c r="K485"/>
      <c r="L485"/>
      <c r="M485"/>
    </row>
    <row r="486" spans="1:13">
      <c r="A486" s="2" t="s">
        <v>801</v>
      </c>
      <c r="B486" t="s">
        <v>1786</v>
      </c>
      <c r="C486" t="s">
        <v>1765</v>
      </c>
      <c r="D486" t="s">
        <v>1768</v>
      </c>
      <c r="K486"/>
      <c r="L486"/>
      <c r="M486"/>
    </row>
    <row r="487" spans="1:13">
      <c r="A487" s="2" t="s">
        <v>802</v>
      </c>
      <c r="B487" t="s">
        <v>1786</v>
      </c>
      <c r="C487" t="s">
        <v>1765</v>
      </c>
      <c r="D487" t="s">
        <v>1769</v>
      </c>
      <c r="K487"/>
      <c r="L487"/>
      <c r="M487"/>
    </row>
    <row r="488" spans="1:13">
      <c r="A488" s="2" t="s">
        <v>804</v>
      </c>
      <c r="B488" t="s">
        <v>1786</v>
      </c>
      <c r="C488" t="s">
        <v>1765</v>
      </c>
      <c r="D488" t="s">
        <v>1768</v>
      </c>
      <c r="K488"/>
      <c r="L488"/>
      <c r="M488"/>
    </row>
    <row r="489" spans="1:13">
      <c r="A489" s="2" t="s">
        <v>803</v>
      </c>
      <c r="B489" t="s">
        <v>1786</v>
      </c>
      <c r="C489" t="s">
        <v>1765</v>
      </c>
      <c r="D489" t="s">
        <v>1769</v>
      </c>
      <c r="K489"/>
      <c r="L489"/>
      <c r="M489"/>
    </row>
    <row r="490" spans="1:13">
      <c r="A490" s="2" t="s">
        <v>792</v>
      </c>
      <c r="B490" t="s">
        <v>1786</v>
      </c>
      <c r="C490" t="s">
        <v>1765</v>
      </c>
      <c r="D490" t="s">
        <v>1768</v>
      </c>
      <c r="K490"/>
      <c r="L490"/>
      <c r="M490"/>
    </row>
    <row r="491" spans="1:13">
      <c r="A491" s="2" t="s">
        <v>794</v>
      </c>
      <c r="B491" t="s">
        <v>1786</v>
      </c>
      <c r="C491" t="s">
        <v>1765</v>
      </c>
      <c r="D491" t="s">
        <v>1768</v>
      </c>
      <c r="K491"/>
      <c r="L491"/>
      <c r="M491"/>
    </row>
    <row r="492" spans="1:13">
      <c r="A492" s="2" t="s">
        <v>793</v>
      </c>
      <c r="B492" t="s">
        <v>1786</v>
      </c>
      <c r="C492" t="s">
        <v>1765</v>
      </c>
      <c r="D492" t="s">
        <v>1768</v>
      </c>
      <c r="K492"/>
      <c r="L492"/>
      <c r="M492"/>
    </row>
    <row r="493" spans="1:13">
      <c r="A493" s="2" t="s">
        <v>785</v>
      </c>
      <c r="B493" t="s">
        <v>1786</v>
      </c>
      <c r="C493" t="s">
        <v>1765</v>
      </c>
      <c r="D493" t="s">
        <v>1768</v>
      </c>
      <c r="K493"/>
      <c r="L493"/>
      <c r="M493"/>
    </row>
    <row r="494" spans="1:13">
      <c r="A494" s="2" t="s">
        <v>787</v>
      </c>
      <c r="B494" t="s">
        <v>1786</v>
      </c>
      <c r="C494" t="s">
        <v>1765</v>
      </c>
      <c r="D494" t="s">
        <v>1768</v>
      </c>
      <c r="K494"/>
      <c r="L494"/>
      <c r="M494"/>
    </row>
    <row r="495" spans="1:13">
      <c r="A495" s="2" t="s">
        <v>786</v>
      </c>
      <c r="B495" t="s">
        <v>1786</v>
      </c>
      <c r="C495" t="s">
        <v>1765</v>
      </c>
      <c r="D495" t="s">
        <v>1768</v>
      </c>
      <c r="K495"/>
      <c r="L495"/>
      <c r="M495"/>
    </row>
    <row r="496" spans="1:13">
      <c r="A496" s="2" t="s">
        <v>796</v>
      </c>
      <c r="B496" t="s">
        <v>1786</v>
      </c>
      <c r="C496" t="s">
        <v>1765</v>
      </c>
      <c r="D496" t="s">
        <v>1768</v>
      </c>
      <c r="K496"/>
      <c r="L496"/>
      <c r="M496"/>
    </row>
    <row r="497" spans="1:13">
      <c r="A497" s="2" t="s">
        <v>795</v>
      </c>
      <c r="B497" t="s">
        <v>1786</v>
      </c>
      <c r="C497" t="s">
        <v>1765</v>
      </c>
      <c r="D497" t="s">
        <v>1768</v>
      </c>
      <c r="K497"/>
      <c r="L497"/>
      <c r="M497"/>
    </row>
    <row r="498" spans="1:13">
      <c r="A498" s="2" t="s">
        <v>800</v>
      </c>
      <c r="B498" t="s">
        <v>1786</v>
      </c>
      <c r="C498" t="s">
        <v>1765</v>
      </c>
      <c r="D498" t="s">
        <v>1768</v>
      </c>
      <c r="K498"/>
      <c r="L498"/>
      <c r="M498"/>
    </row>
    <row r="499" spans="1:13">
      <c r="A499" s="2" t="s">
        <v>797</v>
      </c>
      <c r="B499" t="s">
        <v>1786</v>
      </c>
      <c r="C499" t="s">
        <v>1765</v>
      </c>
      <c r="D499" t="s">
        <v>1768</v>
      </c>
      <c r="K499"/>
      <c r="L499"/>
      <c r="M499"/>
    </row>
    <row r="500" spans="1:13">
      <c r="A500" s="2" t="s">
        <v>798</v>
      </c>
      <c r="B500" t="s">
        <v>1786</v>
      </c>
      <c r="C500" t="s">
        <v>1765</v>
      </c>
      <c r="D500" t="s">
        <v>1768</v>
      </c>
      <c r="K500"/>
      <c r="L500"/>
      <c r="M500"/>
    </row>
    <row r="501" spans="1:13">
      <c r="A501" s="2" t="s">
        <v>816</v>
      </c>
      <c r="B501" t="s">
        <v>1786</v>
      </c>
      <c r="C501" t="s">
        <v>1765</v>
      </c>
      <c r="D501" t="s">
        <v>1768</v>
      </c>
      <c r="K501"/>
      <c r="L501"/>
      <c r="M501"/>
    </row>
    <row r="502" spans="1:13">
      <c r="A502" s="2" t="s">
        <v>815</v>
      </c>
      <c r="B502" t="s">
        <v>1786</v>
      </c>
      <c r="C502" t="s">
        <v>1765</v>
      </c>
      <c r="D502" t="s">
        <v>1768</v>
      </c>
      <c r="K502"/>
      <c r="L502"/>
      <c r="M502"/>
    </row>
    <row r="503" spans="1:13">
      <c r="A503" s="2" t="s">
        <v>820</v>
      </c>
      <c r="B503" t="s">
        <v>1786</v>
      </c>
      <c r="C503" t="s">
        <v>1765</v>
      </c>
      <c r="D503" t="s">
        <v>1768</v>
      </c>
      <c r="K503"/>
      <c r="L503"/>
      <c r="M503"/>
    </row>
    <row r="504" spans="1:13">
      <c r="A504" s="2" t="s">
        <v>817</v>
      </c>
      <c r="B504" t="s">
        <v>1786</v>
      </c>
      <c r="C504" t="s">
        <v>1765</v>
      </c>
      <c r="D504" t="s">
        <v>1768</v>
      </c>
      <c r="K504"/>
      <c r="L504"/>
      <c r="M504"/>
    </row>
    <row r="505" spans="1:13">
      <c r="A505" s="2" t="s">
        <v>809</v>
      </c>
      <c r="B505" t="s">
        <v>1786</v>
      </c>
      <c r="C505" t="s">
        <v>1765</v>
      </c>
      <c r="D505" t="s">
        <v>1768</v>
      </c>
      <c r="K505"/>
      <c r="L505"/>
      <c r="M505"/>
    </row>
    <row r="506" spans="1:13">
      <c r="A506" s="2" t="s">
        <v>805</v>
      </c>
      <c r="B506" t="s">
        <v>1786</v>
      </c>
      <c r="C506" t="s">
        <v>1765</v>
      </c>
      <c r="D506" t="s">
        <v>1768</v>
      </c>
      <c r="K506"/>
      <c r="L506"/>
      <c r="M506"/>
    </row>
    <row r="507" spans="1:13">
      <c r="A507" s="2" t="s">
        <v>808</v>
      </c>
      <c r="B507" t="s">
        <v>1786</v>
      </c>
      <c r="C507" t="s">
        <v>1765</v>
      </c>
      <c r="D507" t="s">
        <v>1768</v>
      </c>
      <c r="K507"/>
      <c r="L507"/>
      <c r="M507"/>
    </row>
    <row r="508" spans="1:13">
      <c r="A508" s="2" t="s">
        <v>819</v>
      </c>
      <c r="B508" t="s">
        <v>1786</v>
      </c>
      <c r="C508" t="s">
        <v>1765</v>
      </c>
      <c r="D508" t="s">
        <v>1768</v>
      </c>
      <c r="K508"/>
      <c r="L508"/>
      <c r="M508"/>
    </row>
    <row r="509" spans="1:13">
      <c r="A509" s="2" t="s">
        <v>818</v>
      </c>
      <c r="B509" t="s">
        <v>1786</v>
      </c>
      <c r="C509" t="s">
        <v>1765</v>
      </c>
      <c r="D509" t="s">
        <v>1768</v>
      </c>
      <c r="K509"/>
      <c r="L509"/>
      <c r="M509"/>
    </row>
    <row r="510" spans="1:13">
      <c r="A510" s="2" t="s">
        <v>806</v>
      </c>
      <c r="B510" t="s">
        <v>1786</v>
      </c>
      <c r="C510" t="s">
        <v>1765</v>
      </c>
      <c r="D510" t="s">
        <v>1768</v>
      </c>
      <c r="K510"/>
      <c r="L510"/>
      <c r="M510"/>
    </row>
    <row r="511" spans="1:13">
      <c r="A511" s="2" t="s">
        <v>810</v>
      </c>
      <c r="B511" t="s">
        <v>1786</v>
      </c>
      <c r="C511" t="s">
        <v>1765</v>
      </c>
      <c r="D511" t="s">
        <v>1768</v>
      </c>
      <c r="K511"/>
      <c r="L511"/>
      <c r="M511"/>
    </row>
    <row r="512" spans="1:13">
      <c r="A512" s="2" t="s">
        <v>812</v>
      </c>
      <c r="B512" t="s">
        <v>1786</v>
      </c>
      <c r="C512" t="s">
        <v>1765</v>
      </c>
      <c r="D512" t="s">
        <v>1768</v>
      </c>
      <c r="K512"/>
      <c r="L512"/>
      <c r="M512"/>
    </row>
    <row r="513" spans="1:13">
      <c r="A513" s="2" t="s">
        <v>811</v>
      </c>
      <c r="B513" t="s">
        <v>1786</v>
      </c>
      <c r="C513" t="s">
        <v>1765</v>
      </c>
      <c r="D513" t="s">
        <v>1768</v>
      </c>
      <c r="K513"/>
      <c r="L513"/>
      <c r="M513"/>
    </row>
    <row r="514" spans="1:13">
      <c r="A514" s="2" t="s">
        <v>807</v>
      </c>
      <c r="B514" t="s">
        <v>1786</v>
      </c>
      <c r="C514" t="s">
        <v>1765</v>
      </c>
      <c r="D514" t="s">
        <v>1768</v>
      </c>
      <c r="K514"/>
      <c r="L514"/>
      <c r="M514"/>
    </row>
    <row r="515" spans="1:13">
      <c r="A515" s="2" t="s">
        <v>814</v>
      </c>
      <c r="B515" t="s">
        <v>1786</v>
      </c>
      <c r="C515" t="s">
        <v>1765</v>
      </c>
      <c r="D515" t="s">
        <v>1768</v>
      </c>
      <c r="K515"/>
      <c r="L515"/>
      <c r="M515"/>
    </row>
    <row r="516" spans="1:13">
      <c r="A516" s="2" t="s">
        <v>813</v>
      </c>
      <c r="B516" t="s">
        <v>1786</v>
      </c>
      <c r="C516" t="s">
        <v>1765</v>
      </c>
      <c r="D516" t="s">
        <v>1768</v>
      </c>
      <c r="K516"/>
      <c r="L516"/>
      <c r="M516"/>
    </row>
    <row r="517" spans="1:13">
      <c r="A517" s="2" t="s">
        <v>821</v>
      </c>
      <c r="B517" t="s">
        <v>1786</v>
      </c>
      <c r="C517" t="s">
        <v>1765</v>
      </c>
      <c r="D517" t="s">
        <v>1768</v>
      </c>
      <c r="K517"/>
      <c r="L517"/>
      <c r="M517"/>
    </row>
    <row r="518" spans="1:13">
      <c r="A518" s="2" t="s">
        <v>825</v>
      </c>
      <c r="B518" t="s">
        <v>1786</v>
      </c>
      <c r="C518" t="s">
        <v>1765</v>
      </c>
      <c r="D518" t="s">
        <v>1768</v>
      </c>
      <c r="K518"/>
      <c r="L518"/>
      <c r="M518"/>
    </row>
    <row r="519" spans="1:13">
      <c r="A519" s="2" t="s">
        <v>826</v>
      </c>
      <c r="B519" t="s">
        <v>1786</v>
      </c>
      <c r="C519" t="s">
        <v>1765</v>
      </c>
      <c r="D519" t="s">
        <v>1768</v>
      </c>
      <c r="K519"/>
      <c r="L519"/>
      <c r="M519"/>
    </row>
    <row r="520" spans="1:13">
      <c r="A520" s="2" t="s">
        <v>823</v>
      </c>
      <c r="B520" t="s">
        <v>1786</v>
      </c>
      <c r="C520" t="s">
        <v>1765</v>
      </c>
      <c r="D520" t="s">
        <v>1768</v>
      </c>
      <c r="K520"/>
      <c r="L520"/>
      <c r="M520"/>
    </row>
    <row r="521" spans="1:13">
      <c r="A521" s="2" t="s">
        <v>824</v>
      </c>
      <c r="B521" t="s">
        <v>1786</v>
      </c>
      <c r="C521" t="s">
        <v>1765</v>
      </c>
      <c r="D521" t="s">
        <v>1768</v>
      </c>
      <c r="K521"/>
      <c r="L521"/>
      <c r="M521"/>
    </row>
    <row r="522" spans="1:13">
      <c r="A522" s="2" t="s">
        <v>822</v>
      </c>
      <c r="B522" t="s">
        <v>1786</v>
      </c>
      <c r="C522" t="s">
        <v>1765</v>
      </c>
      <c r="D522" t="s">
        <v>1768</v>
      </c>
      <c r="K522"/>
      <c r="L522"/>
      <c r="M522"/>
    </row>
    <row r="523" spans="1:13">
      <c r="A523" s="2" t="s">
        <v>827</v>
      </c>
      <c r="B523" t="s">
        <v>1786</v>
      </c>
      <c r="C523" t="s">
        <v>1765</v>
      </c>
      <c r="D523" t="s">
        <v>1768</v>
      </c>
      <c r="K523"/>
      <c r="L523"/>
      <c r="M523"/>
    </row>
    <row r="524" spans="1:13">
      <c r="A524" s="2" t="s">
        <v>828</v>
      </c>
      <c r="B524" t="s">
        <v>1786</v>
      </c>
      <c r="C524" t="s">
        <v>1765</v>
      </c>
      <c r="D524" t="s">
        <v>1768</v>
      </c>
      <c r="K524"/>
      <c r="L524"/>
      <c r="M524"/>
    </row>
    <row r="525" spans="1:13">
      <c r="A525" s="2" t="s">
        <v>830</v>
      </c>
      <c r="B525" t="s">
        <v>1786</v>
      </c>
      <c r="C525" t="s">
        <v>1765</v>
      </c>
      <c r="D525" t="s">
        <v>1768</v>
      </c>
      <c r="K525"/>
      <c r="L525"/>
      <c r="M525"/>
    </row>
    <row r="526" spans="1:13">
      <c r="A526" s="2" t="s">
        <v>829</v>
      </c>
      <c r="B526" t="s">
        <v>1786</v>
      </c>
      <c r="C526" t="s">
        <v>1765</v>
      </c>
      <c r="D526" t="s">
        <v>1768</v>
      </c>
      <c r="K526"/>
      <c r="L526"/>
      <c r="M526"/>
    </row>
    <row r="527" spans="1:13">
      <c r="A527" s="2" t="s">
        <v>831</v>
      </c>
      <c r="B527" t="s">
        <v>1786</v>
      </c>
      <c r="C527" t="s">
        <v>1765</v>
      </c>
      <c r="D527" t="s">
        <v>1768</v>
      </c>
      <c r="K527"/>
      <c r="L527"/>
      <c r="M527"/>
    </row>
    <row r="528" spans="1:13">
      <c r="A528" s="2" t="s">
        <v>832</v>
      </c>
      <c r="B528" t="s">
        <v>1786</v>
      </c>
      <c r="C528" t="s">
        <v>1765</v>
      </c>
      <c r="D528" t="s">
        <v>1768</v>
      </c>
      <c r="K528"/>
      <c r="L528"/>
      <c r="M528"/>
    </row>
    <row r="529" spans="1:13">
      <c r="A529" s="2" t="s">
        <v>833</v>
      </c>
      <c r="B529" t="s">
        <v>1786</v>
      </c>
      <c r="C529" t="s">
        <v>1765</v>
      </c>
      <c r="D529" t="s">
        <v>1768</v>
      </c>
      <c r="K529"/>
      <c r="L529"/>
      <c r="M529"/>
    </row>
    <row r="530" spans="1:13">
      <c r="A530" s="2" t="s">
        <v>834</v>
      </c>
      <c r="B530" t="s">
        <v>1786</v>
      </c>
      <c r="C530" t="s">
        <v>1765</v>
      </c>
      <c r="D530" t="s">
        <v>1768</v>
      </c>
      <c r="K530"/>
      <c r="L530"/>
      <c r="M530"/>
    </row>
    <row r="531" spans="1:13">
      <c r="A531" s="2" t="s">
        <v>755</v>
      </c>
      <c r="B531" t="s">
        <v>1786</v>
      </c>
      <c r="C531" t="s">
        <v>1759</v>
      </c>
      <c r="D531" t="s">
        <v>1773</v>
      </c>
      <c r="K531"/>
      <c r="L531"/>
      <c r="M531"/>
    </row>
    <row r="532" spans="1:13">
      <c r="A532" s="2" t="s">
        <v>756</v>
      </c>
      <c r="B532" t="s">
        <v>1786</v>
      </c>
      <c r="C532" t="s">
        <v>1759</v>
      </c>
      <c r="D532" t="s">
        <v>1773</v>
      </c>
      <c r="K532"/>
      <c r="L532"/>
      <c r="M532"/>
    </row>
    <row r="533" spans="1:13">
      <c r="A533" s="2" t="s">
        <v>757</v>
      </c>
      <c r="B533" t="s">
        <v>1786</v>
      </c>
      <c r="C533" t="s">
        <v>1759</v>
      </c>
      <c r="D533" t="s">
        <v>1773</v>
      </c>
      <c r="K533"/>
      <c r="L533"/>
      <c r="M533"/>
    </row>
    <row r="534" spans="1:13">
      <c r="A534" s="2" t="s">
        <v>758</v>
      </c>
      <c r="B534" t="s">
        <v>1786</v>
      </c>
      <c r="C534" t="s">
        <v>1759</v>
      </c>
      <c r="D534" t="s">
        <v>1773</v>
      </c>
      <c r="K534"/>
      <c r="L534"/>
      <c r="M534"/>
    </row>
    <row r="535" spans="1:13">
      <c r="A535" s="2" t="s">
        <v>761</v>
      </c>
      <c r="B535" t="s">
        <v>1786</v>
      </c>
      <c r="C535" t="s">
        <v>1765</v>
      </c>
      <c r="D535" t="s">
        <v>1770</v>
      </c>
      <c r="K535"/>
      <c r="L535"/>
      <c r="M535"/>
    </row>
    <row r="536" spans="1:13">
      <c r="A536" s="2" t="s">
        <v>760</v>
      </c>
      <c r="B536" t="s">
        <v>1786</v>
      </c>
      <c r="C536" t="s">
        <v>1765</v>
      </c>
      <c r="D536" t="s">
        <v>1776</v>
      </c>
      <c r="K536"/>
      <c r="L536"/>
      <c r="M536"/>
    </row>
    <row r="537" spans="1:13">
      <c r="A537" s="2" t="s">
        <v>763</v>
      </c>
      <c r="B537" t="s">
        <v>1786</v>
      </c>
      <c r="C537" t="s">
        <v>1765</v>
      </c>
      <c r="D537" t="s">
        <v>1784</v>
      </c>
      <c r="K537"/>
      <c r="L537"/>
      <c r="M537"/>
    </row>
    <row r="538" spans="1:13">
      <c r="A538" s="2" t="s">
        <v>762</v>
      </c>
      <c r="B538" t="s">
        <v>1786</v>
      </c>
      <c r="C538" t="s">
        <v>1765</v>
      </c>
      <c r="D538" t="s">
        <v>1777</v>
      </c>
      <c r="K538"/>
      <c r="L538"/>
      <c r="M538"/>
    </row>
    <row r="539" spans="1:13">
      <c r="A539" s="2" t="s">
        <v>836</v>
      </c>
      <c r="B539" t="s">
        <v>1786</v>
      </c>
      <c r="C539" t="s">
        <v>1765</v>
      </c>
      <c r="D539" t="s">
        <v>1770</v>
      </c>
      <c r="K539"/>
      <c r="L539"/>
      <c r="M539"/>
    </row>
    <row r="540" spans="1:13">
      <c r="A540" s="2" t="s">
        <v>837</v>
      </c>
      <c r="B540" t="s">
        <v>1786</v>
      </c>
      <c r="C540" t="s">
        <v>1765</v>
      </c>
      <c r="D540" t="s">
        <v>1783</v>
      </c>
      <c r="K540"/>
      <c r="L540"/>
      <c r="M540"/>
    </row>
    <row r="541" spans="1:13">
      <c r="A541" s="2" t="s">
        <v>835</v>
      </c>
      <c r="B541" t="s">
        <v>1786</v>
      </c>
      <c r="C541" t="s">
        <v>1765</v>
      </c>
      <c r="D541" t="s">
        <v>1776</v>
      </c>
      <c r="K541"/>
      <c r="L541"/>
      <c r="M541"/>
    </row>
    <row r="542" spans="1:13">
      <c r="A542" s="2" t="s">
        <v>841</v>
      </c>
      <c r="B542" t="s">
        <v>1786</v>
      </c>
      <c r="C542" t="s">
        <v>1765</v>
      </c>
      <c r="D542" t="s">
        <v>1775</v>
      </c>
      <c r="K542"/>
      <c r="L542"/>
      <c r="M542"/>
    </row>
    <row r="543" spans="1:13">
      <c r="A543" s="2" t="s">
        <v>839</v>
      </c>
      <c r="B543" t="s">
        <v>1786</v>
      </c>
      <c r="C543" t="s">
        <v>1765</v>
      </c>
      <c r="D543" t="s">
        <v>1779</v>
      </c>
      <c r="K543"/>
      <c r="L543"/>
      <c r="M543"/>
    </row>
    <row r="544" spans="1:13">
      <c r="A544" s="2" t="s">
        <v>840</v>
      </c>
      <c r="B544" t="s">
        <v>1786</v>
      </c>
      <c r="C544" t="s">
        <v>1765</v>
      </c>
      <c r="D544" t="s">
        <v>1769</v>
      </c>
      <c r="K544"/>
      <c r="L544"/>
      <c r="M544"/>
    </row>
    <row r="545" spans="1:13">
      <c r="A545" s="2" t="s">
        <v>838</v>
      </c>
      <c r="B545" t="s">
        <v>1786</v>
      </c>
      <c r="C545" t="s">
        <v>1765</v>
      </c>
      <c r="D545" t="s">
        <v>1778</v>
      </c>
      <c r="K545"/>
      <c r="L545"/>
      <c r="M545"/>
    </row>
    <row r="546" spans="1:13">
      <c r="A546" s="2" t="s">
        <v>843</v>
      </c>
      <c r="B546" t="s">
        <v>1786</v>
      </c>
      <c r="C546" t="s">
        <v>1765</v>
      </c>
      <c r="D546" t="s">
        <v>1770</v>
      </c>
      <c r="K546"/>
      <c r="L546"/>
      <c r="M546"/>
    </row>
    <row r="547" spans="1:13">
      <c r="A547" s="2" t="s">
        <v>844</v>
      </c>
      <c r="B547" t="s">
        <v>1786</v>
      </c>
      <c r="C547" t="s">
        <v>1765</v>
      </c>
      <c r="D547" t="s">
        <v>1780</v>
      </c>
      <c r="K547"/>
      <c r="L547"/>
      <c r="M547"/>
    </row>
    <row r="548" spans="1:13">
      <c r="A548" s="2" t="s">
        <v>842</v>
      </c>
      <c r="B548" t="s">
        <v>1786</v>
      </c>
      <c r="C548" t="s">
        <v>1765</v>
      </c>
      <c r="D548" t="s">
        <v>1776</v>
      </c>
      <c r="K548"/>
      <c r="L548"/>
      <c r="M548"/>
    </row>
    <row r="549" spans="1:13">
      <c r="A549" s="2" t="s">
        <v>849</v>
      </c>
      <c r="B549" t="s">
        <v>1786</v>
      </c>
      <c r="C549" t="s">
        <v>1765</v>
      </c>
      <c r="D549" t="s">
        <v>1775</v>
      </c>
      <c r="K549"/>
      <c r="L549"/>
      <c r="M549"/>
    </row>
    <row r="550" spans="1:13">
      <c r="A550" s="2" t="s">
        <v>846</v>
      </c>
      <c r="B550" t="s">
        <v>1786</v>
      </c>
      <c r="C550" t="s">
        <v>1765</v>
      </c>
      <c r="D550" t="s">
        <v>1779</v>
      </c>
      <c r="K550"/>
      <c r="L550"/>
      <c r="M550"/>
    </row>
    <row r="551" spans="1:13">
      <c r="A551" s="2" t="s">
        <v>847</v>
      </c>
      <c r="B551" t="s">
        <v>1786</v>
      </c>
      <c r="C551" t="s">
        <v>1765</v>
      </c>
      <c r="D551" t="s">
        <v>1769</v>
      </c>
      <c r="K551"/>
      <c r="L551"/>
      <c r="M551"/>
    </row>
    <row r="552" spans="1:13">
      <c r="A552" s="2" t="s">
        <v>848</v>
      </c>
      <c r="B552" t="s">
        <v>1786</v>
      </c>
      <c r="C552" t="s">
        <v>1765</v>
      </c>
      <c r="D552" t="s">
        <v>1769</v>
      </c>
      <c r="K552"/>
      <c r="L552"/>
      <c r="M552"/>
    </row>
    <row r="553" spans="1:13">
      <c r="A553" s="2" t="s">
        <v>845</v>
      </c>
      <c r="B553" t="s">
        <v>1786</v>
      </c>
      <c r="C553" t="s">
        <v>1765</v>
      </c>
      <c r="D553" t="s">
        <v>1777</v>
      </c>
      <c r="K553"/>
      <c r="L553"/>
      <c r="M553"/>
    </row>
    <row r="554" spans="1:13">
      <c r="A554" s="2" t="s">
        <v>852</v>
      </c>
      <c r="B554" t="s">
        <v>1786</v>
      </c>
      <c r="C554" t="s">
        <v>1765</v>
      </c>
      <c r="D554" t="s">
        <v>1770</v>
      </c>
      <c r="K554"/>
      <c r="L554"/>
      <c r="M554"/>
    </row>
    <row r="555" spans="1:13">
      <c r="A555" s="2" t="s">
        <v>853</v>
      </c>
      <c r="B555" t="s">
        <v>1786</v>
      </c>
      <c r="C555" t="s">
        <v>1765</v>
      </c>
      <c r="D555" t="s">
        <v>1780</v>
      </c>
      <c r="K555"/>
      <c r="L555"/>
      <c r="M555"/>
    </row>
    <row r="556" spans="1:13">
      <c r="A556" s="2" t="s">
        <v>860</v>
      </c>
      <c r="B556" t="s">
        <v>1786</v>
      </c>
      <c r="C556" t="s">
        <v>1765</v>
      </c>
      <c r="D556" t="s">
        <v>1769</v>
      </c>
      <c r="K556"/>
      <c r="L556"/>
      <c r="M556"/>
    </row>
    <row r="557" spans="1:13">
      <c r="A557" s="2" t="s">
        <v>862</v>
      </c>
      <c r="B557" t="s">
        <v>1786</v>
      </c>
      <c r="C557" t="s">
        <v>1765</v>
      </c>
      <c r="D557" t="s">
        <v>1771</v>
      </c>
      <c r="K557"/>
      <c r="L557"/>
      <c r="M557"/>
    </row>
    <row r="558" spans="1:13">
      <c r="A558" s="2" t="s">
        <v>861</v>
      </c>
      <c r="B558" t="s">
        <v>1786</v>
      </c>
      <c r="C558" t="s">
        <v>1765</v>
      </c>
      <c r="D558" t="s">
        <v>1773</v>
      </c>
      <c r="K558"/>
      <c r="L558"/>
      <c r="M558"/>
    </row>
    <row r="559" spans="1:13">
      <c r="A559" s="2" t="s">
        <v>850</v>
      </c>
      <c r="B559" t="s">
        <v>1786</v>
      </c>
      <c r="C559" t="s">
        <v>1765</v>
      </c>
      <c r="D559" t="s">
        <v>1776</v>
      </c>
      <c r="K559"/>
      <c r="L559"/>
      <c r="M559"/>
    </row>
    <row r="560" spans="1:13">
      <c r="A560" s="2" t="s">
        <v>855</v>
      </c>
      <c r="B560" t="s">
        <v>1786</v>
      </c>
      <c r="C560" t="s">
        <v>1765</v>
      </c>
      <c r="D560" t="s">
        <v>1781</v>
      </c>
      <c r="K560"/>
      <c r="L560"/>
      <c r="M560"/>
    </row>
    <row r="561" spans="1:13">
      <c r="A561" s="2" t="s">
        <v>851</v>
      </c>
      <c r="B561" t="s">
        <v>1786</v>
      </c>
      <c r="C561" t="s">
        <v>1765</v>
      </c>
      <c r="D561" t="s">
        <v>1782</v>
      </c>
      <c r="K561"/>
      <c r="L561"/>
      <c r="M561"/>
    </row>
    <row r="562" spans="1:13">
      <c r="A562" s="2" t="s">
        <v>858</v>
      </c>
      <c r="B562" t="s">
        <v>1786</v>
      </c>
      <c r="C562" t="s">
        <v>1765</v>
      </c>
      <c r="D562" t="s">
        <v>1775</v>
      </c>
      <c r="K562"/>
      <c r="L562"/>
      <c r="M562"/>
    </row>
    <row r="563" spans="1:13">
      <c r="A563" s="2" t="s">
        <v>859</v>
      </c>
      <c r="B563" t="s">
        <v>1786</v>
      </c>
      <c r="C563" t="s">
        <v>1765</v>
      </c>
      <c r="D563" t="s">
        <v>1775</v>
      </c>
      <c r="K563"/>
      <c r="L563"/>
      <c r="M563"/>
    </row>
    <row r="564" spans="1:13">
      <c r="A564" s="2" t="s">
        <v>856</v>
      </c>
      <c r="B564" t="s">
        <v>1786</v>
      </c>
      <c r="C564" t="s">
        <v>1765</v>
      </c>
      <c r="D564" t="s">
        <v>1769</v>
      </c>
      <c r="K564"/>
      <c r="L564"/>
      <c r="M564"/>
    </row>
    <row r="565" spans="1:13">
      <c r="A565" s="2" t="s">
        <v>857</v>
      </c>
      <c r="B565" t="s">
        <v>1786</v>
      </c>
      <c r="C565" t="s">
        <v>1765</v>
      </c>
      <c r="D565" t="s">
        <v>1769</v>
      </c>
      <c r="K565"/>
      <c r="L565"/>
      <c r="M565"/>
    </row>
    <row r="566" spans="1:13">
      <c r="A566" s="2" t="s">
        <v>854</v>
      </c>
      <c r="B566" t="s">
        <v>1786</v>
      </c>
      <c r="C566" t="s">
        <v>1765</v>
      </c>
      <c r="D566" t="s">
        <v>1777</v>
      </c>
      <c r="K566"/>
      <c r="L566"/>
      <c r="M566"/>
    </row>
    <row r="567" spans="1:13">
      <c r="A567" s="2" t="s">
        <v>865</v>
      </c>
      <c r="B567" t="s">
        <v>1786</v>
      </c>
      <c r="C567" t="s">
        <v>1765</v>
      </c>
      <c r="D567" t="s">
        <v>1770</v>
      </c>
      <c r="K567"/>
      <c r="L567"/>
      <c r="M567"/>
    </row>
    <row r="568" spans="1:13">
      <c r="A568" s="2" t="s">
        <v>866</v>
      </c>
      <c r="B568" t="s">
        <v>1786</v>
      </c>
      <c r="C568" t="s">
        <v>1765</v>
      </c>
      <c r="D568" t="s">
        <v>1772</v>
      </c>
      <c r="K568"/>
      <c r="L568"/>
      <c r="M568"/>
    </row>
    <row r="569" spans="1:13">
      <c r="A569" s="2" t="s">
        <v>873</v>
      </c>
      <c r="B569" t="s">
        <v>1786</v>
      </c>
      <c r="C569" t="s">
        <v>1765</v>
      </c>
      <c r="D569" t="s">
        <v>1769</v>
      </c>
      <c r="K569"/>
      <c r="L569"/>
      <c r="M569"/>
    </row>
    <row r="570" spans="1:13">
      <c r="A570" s="2" t="s">
        <v>875</v>
      </c>
      <c r="B570" t="s">
        <v>1786</v>
      </c>
      <c r="C570" t="s">
        <v>1765</v>
      </c>
      <c r="D570" t="s">
        <v>1771</v>
      </c>
      <c r="K570"/>
      <c r="L570"/>
      <c r="M570"/>
    </row>
    <row r="571" spans="1:13">
      <c r="A571" s="2" t="s">
        <v>874</v>
      </c>
      <c r="B571" t="s">
        <v>1786</v>
      </c>
      <c r="C571" t="s">
        <v>1765</v>
      </c>
      <c r="D571" t="s">
        <v>1773</v>
      </c>
      <c r="K571"/>
      <c r="L571"/>
      <c r="M571"/>
    </row>
    <row r="572" spans="1:13">
      <c r="A572" s="2" t="s">
        <v>876</v>
      </c>
      <c r="B572" t="s">
        <v>1786</v>
      </c>
      <c r="C572" t="s">
        <v>1765</v>
      </c>
      <c r="D572" t="s">
        <v>1774</v>
      </c>
      <c r="K572"/>
      <c r="L572"/>
      <c r="M572"/>
    </row>
    <row r="573" spans="1:13">
      <c r="A573" s="2" t="s">
        <v>863</v>
      </c>
      <c r="B573" t="s">
        <v>1786</v>
      </c>
      <c r="C573" t="s">
        <v>1765</v>
      </c>
      <c r="D573" t="s">
        <v>1776</v>
      </c>
      <c r="K573"/>
      <c r="L573"/>
      <c r="M573"/>
    </row>
    <row r="574" spans="1:13">
      <c r="A574" s="2" t="s">
        <v>868</v>
      </c>
      <c r="B574" t="s">
        <v>1786</v>
      </c>
      <c r="C574" t="s">
        <v>1765</v>
      </c>
      <c r="D574" t="s">
        <v>1781</v>
      </c>
      <c r="K574"/>
      <c r="L574"/>
      <c r="M574"/>
    </row>
    <row r="575" spans="1:13">
      <c r="A575" s="2" t="s">
        <v>864</v>
      </c>
      <c r="B575" t="s">
        <v>1786</v>
      </c>
      <c r="C575" t="s">
        <v>1765</v>
      </c>
      <c r="D575" t="s">
        <v>1782</v>
      </c>
      <c r="K575"/>
      <c r="L575"/>
      <c r="M575"/>
    </row>
    <row r="576" spans="1:13">
      <c r="A576" s="2" t="s">
        <v>871</v>
      </c>
      <c r="B576" t="s">
        <v>1786</v>
      </c>
      <c r="C576" t="s">
        <v>1765</v>
      </c>
      <c r="D576" t="s">
        <v>1775</v>
      </c>
      <c r="K576"/>
      <c r="L576"/>
      <c r="M576"/>
    </row>
    <row r="577" spans="1:13">
      <c r="A577" s="2" t="s">
        <v>872</v>
      </c>
      <c r="B577" t="s">
        <v>1786</v>
      </c>
      <c r="C577" t="s">
        <v>1765</v>
      </c>
      <c r="D577" t="s">
        <v>1775</v>
      </c>
      <c r="K577"/>
      <c r="L577"/>
      <c r="M577"/>
    </row>
    <row r="578" spans="1:13">
      <c r="A578" s="2" t="s">
        <v>869</v>
      </c>
      <c r="B578" t="s">
        <v>1786</v>
      </c>
      <c r="C578" t="s">
        <v>1765</v>
      </c>
      <c r="D578" t="s">
        <v>1769</v>
      </c>
      <c r="K578"/>
      <c r="L578"/>
      <c r="M578"/>
    </row>
    <row r="579" spans="1:13">
      <c r="A579" s="2" t="s">
        <v>870</v>
      </c>
      <c r="B579" t="s">
        <v>1786</v>
      </c>
      <c r="C579" t="s">
        <v>1765</v>
      </c>
      <c r="D579" t="s">
        <v>1769</v>
      </c>
      <c r="K579"/>
      <c r="L579"/>
      <c r="M579"/>
    </row>
    <row r="580" spans="1:13">
      <c r="A580" s="2" t="s">
        <v>877</v>
      </c>
      <c r="B580" t="s">
        <v>1786</v>
      </c>
      <c r="C580" t="s">
        <v>1764</v>
      </c>
      <c r="D580" t="s">
        <v>1768</v>
      </c>
      <c r="K580"/>
      <c r="L580"/>
      <c r="M580"/>
    </row>
    <row r="581" spans="1:13">
      <c r="A581" s="2" t="s">
        <v>867</v>
      </c>
      <c r="B581" t="s">
        <v>1786</v>
      </c>
      <c r="C581" t="s">
        <v>1765</v>
      </c>
      <c r="D581" t="s">
        <v>1777</v>
      </c>
      <c r="K581"/>
      <c r="L581"/>
      <c r="M581"/>
    </row>
    <row r="582" spans="1:13">
      <c r="A582" s="2" t="s">
        <v>880</v>
      </c>
      <c r="B582" t="s">
        <v>1786</v>
      </c>
      <c r="C582" t="s">
        <v>1765</v>
      </c>
      <c r="D582" t="s">
        <v>1770</v>
      </c>
      <c r="K582"/>
      <c r="L582"/>
      <c r="M582"/>
    </row>
    <row r="583" spans="1:13">
      <c r="A583" s="2" t="s">
        <v>881</v>
      </c>
      <c r="B583" t="s">
        <v>1786</v>
      </c>
      <c r="C583" t="s">
        <v>1765</v>
      </c>
      <c r="D583" t="s">
        <v>1772</v>
      </c>
      <c r="K583"/>
      <c r="L583"/>
      <c r="M583"/>
    </row>
    <row r="584" spans="1:13">
      <c r="A584" s="2" t="s">
        <v>888</v>
      </c>
      <c r="B584" t="s">
        <v>1786</v>
      </c>
      <c r="C584" t="s">
        <v>1765</v>
      </c>
      <c r="D584" t="s">
        <v>1769</v>
      </c>
      <c r="K584"/>
      <c r="L584"/>
      <c r="M584"/>
    </row>
    <row r="585" spans="1:13">
      <c r="A585" s="2" t="s">
        <v>890</v>
      </c>
      <c r="B585" t="s">
        <v>1786</v>
      </c>
      <c r="C585" t="s">
        <v>1765</v>
      </c>
      <c r="D585" t="s">
        <v>1771</v>
      </c>
      <c r="K585"/>
      <c r="L585"/>
      <c r="M585"/>
    </row>
    <row r="586" spans="1:13">
      <c r="A586" s="2" t="s">
        <v>889</v>
      </c>
      <c r="B586" t="s">
        <v>1786</v>
      </c>
      <c r="C586" t="s">
        <v>1765</v>
      </c>
      <c r="D586" t="s">
        <v>1773</v>
      </c>
      <c r="K586"/>
      <c r="L586"/>
      <c r="M586"/>
    </row>
    <row r="587" spans="1:13">
      <c r="A587" s="2" t="s">
        <v>891</v>
      </c>
      <c r="B587" t="s">
        <v>1786</v>
      </c>
      <c r="C587" t="s">
        <v>1765</v>
      </c>
      <c r="D587" t="s">
        <v>1774</v>
      </c>
      <c r="K587"/>
      <c r="L587"/>
      <c r="M587"/>
    </row>
    <row r="588" spans="1:13">
      <c r="A588" s="2" t="s">
        <v>878</v>
      </c>
      <c r="B588" t="s">
        <v>1786</v>
      </c>
      <c r="C588" t="s">
        <v>1765</v>
      </c>
      <c r="D588" t="s">
        <v>1776</v>
      </c>
      <c r="K588"/>
      <c r="L588"/>
      <c r="M588"/>
    </row>
    <row r="589" spans="1:13">
      <c r="A589" s="2" t="s">
        <v>883</v>
      </c>
      <c r="B589" t="s">
        <v>1786</v>
      </c>
      <c r="C589" t="s">
        <v>1765</v>
      </c>
      <c r="D589" t="s">
        <v>1781</v>
      </c>
      <c r="K589"/>
      <c r="L589"/>
      <c r="M589"/>
    </row>
    <row r="590" spans="1:13">
      <c r="A590" s="2" t="s">
        <v>879</v>
      </c>
      <c r="B590" t="s">
        <v>1786</v>
      </c>
      <c r="C590" t="s">
        <v>1765</v>
      </c>
      <c r="D590" t="s">
        <v>1782</v>
      </c>
      <c r="K590"/>
      <c r="L590"/>
      <c r="M590"/>
    </row>
    <row r="591" spans="1:13">
      <c r="A591" s="2" t="s">
        <v>886</v>
      </c>
      <c r="B591" t="s">
        <v>1786</v>
      </c>
      <c r="C591" t="s">
        <v>1765</v>
      </c>
      <c r="D591" t="s">
        <v>1775</v>
      </c>
      <c r="K591"/>
      <c r="L591"/>
      <c r="M591"/>
    </row>
    <row r="592" spans="1:13">
      <c r="A592" s="2" t="s">
        <v>887</v>
      </c>
      <c r="B592" t="s">
        <v>1786</v>
      </c>
      <c r="C592" t="s">
        <v>1765</v>
      </c>
      <c r="D592" t="s">
        <v>1775</v>
      </c>
      <c r="K592"/>
      <c r="L592"/>
      <c r="M592"/>
    </row>
    <row r="593" spans="1:13">
      <c r="A593" s="2" t="s">
        <v>884</v>
      </c>
      <c r="B593" t="s">
        <v>1786</v>
      </c>
      <c r="C593" t="s">
        <v>1765</v>
      </c>
      <c r="D593" t="s">
        <v>1769</v>
      </c>
      <c r="K593"/>
      <c r="L593"/>
      <c r="M593"/>
    </row>
    <row r="594" spans="1:13">
      <c r="A594" s="2" t="s">
        <v>885</v>
      </c>
      <c r="B594" t="s">
        <v>1786</v>
      </c>
      <c r="C594" t="s">
        <v>1765</v>
      </c>
      <c r="D594" t="s">
        <v>1769</v>
      </c>
      <c r="K594"/>
      <c r="L594"/>
      <c r="M594"/>
    </row>
    <row r="595" spans="1:13">
      <c r="A595" s="2" t="s">
        <v>892</v>
      </c>
      <c r="B595" t="s">
        <v>1786</v>
      </c>
      <c r="C595" t="s">
        <v>1764</v>
      </c>
      <c r="D595" t="s">
        <v>1768</v>
      </c>
      <c r="K595"/>
      <c r="L595"/>
      <c r="M595"/>
    </row>
    <row r="596" spans="1:13">
      <c r="A596" s="2" t="s">
        <v>882</v>
      </c>
      <c r="B596" t="s">
        <v>1786</v>
      </c>
      <c r="C596" t="s">
        <v>1765</v>
      </c>
      <c r="D596" t="s">
        <v>1777</v>
      </c>
      <c r="K596"/>
      <c r="L596"/>
      <c r="M596"/>
    </row>
    <row r="597" spans="1:13">
      <c r="A597" s="2" t="s">
        <v>907</v>
      </c>
      <c r="B597" t="s">
        <v>1786</v>
      </c>
      <c r="C597" t="s">
        <v>1765</v>
      </c>
      <c r="D597" t="s">
        <v>1789</v>
      </c>
      <c r="K597"/>
      <c r="L597"/>
      <c r="M597"/>
    </row>
    <row r="598" spans="1:13">
      <c r="A598" s="2" t="s">
        <v>908</v>
      </c>
      <c r="B598" t="s">
        <v>1786</v>
      </c>
      <c r="C598" t="s">
        <v>1765</v>
      </c>
      <c r="D598" t="s">
        <v>1789</v>
      </c>
      <c r="K598"/>
      <c r="L598"/>
      <c r="M598"/>
    </row>
    <row r="599" spans="1:13">
      <c r="A599" s="2" t="s">
        <v>613</v>
      </c>
      <c r="B599" t="s">
        <v>1786</v>
      </c>
      <c r="C599" t="s">
        <v>1759</v>
      </c>
      <c r="D599" t="s">
        <v>1769</v>
      </c>
      <c r="K599"/>
      <c r="L599"/>
      <c r="M599"/>
    </row>
    <row r="600" spans="1:13">
      <c r="A600" s="2" t="s">
        <v>63</v>
      </c>
      <c r="B600" t="s">
        <v>1786</v>
      </c>
      <c r="C600" t="s">
        <v>1759</v>
      </c>
      <c r="D600" t="s">
        <v>1769</v>
      </c>
      <c r="K600"/>
      <c r="L600"/>
      <c r="M600"/>
    </row>
    <row r="601" spans="1:13">
      <c r="A601" s="2" t="s">
        <v>34</v>
      </c>
      <c r="B601" t="s">
        <v>1786</v>
      </c>
      <c r="C601" t="s">
        <v>1759</v>
      </c>
      <c r="D601" t="s">
        <v>1769</v>
      </c>
      <c r="K601"/>
      <c r="L601"/>
      <c r="M601"/>
    </row>
    <row r="602" spans="1:13">
      <c r="A602" s="2" t="s">
        <v>56</v>
      </c>
      <c r="B602" t="s">
        <v>1786</v>
      </c>
      <c r="C602" t="s">
        <v>1759</v>
      </c>
      <c r="D602" t="s">
        <v>1769</v>
      </c>
      <c r="K602"/>
      <c r="L602"/>
      <c r="M602"/>
    </row>
    <row r="603" spans="1:13">
      <c r="A603" s="2" t="s">
        <v>51</v>
      </c>
      <c r="B603" t="s">
        <v>1786</v>
      </c>
      <c r="C603" t="s">
        <v>1759</v>
      </c>
      <c r="D603" t="s">
        <v>1769</v>
      </c>
      <c r="K603"/>
      <c r="L603"/>
      <c r="M603"/>
    </row>
    <row r="604" spans="1:13">
      <c r="A604" s="2" t="s">
        <v>38</v>
      </c>
      <c r="B604" t="s">
        <v>1786</v>
      </c>
      <c r="C604" t="s">
        <v>1759</v>
      </c>
      <c r="D604" t="s">
        <v>1769</v>
      </c>
      <c r="K604"/>
      <c r="L604"/>
      <c r="M604"/>
    </row>
    <row r="605" spans="1:13">
      <c r="A605" s="2" t="s">
        <v>46</v>
      </c>
      <c r="B605" t="s">
        <v>1786</v>
      </c>
      <c r="C605" t="s">
        <v>1759</v>
      </c>
      <c r="D605" t="s">
        <v>1769</v>
      </c>
      <c r="K605"/>
      <c r="L605"/>
      <c r="M605"/>
    </row>
    <row r="606" spans="1:13">
      <c r="A606" s="2" t="s">
        <v>65</v>
      </c>
      <c r="B606" t="s">
        <v>1786</v>
      </c>
      <c r="C606" t="s">
        <v>1759</v>
      </c>
      <c r="D606" t="s">
        <v>1769</v>
      </c>
      <c r="K606"/>
      <c r="L606"/>
      <c r="M606"/>
    </row>
    <row r="607" spans="1:13">
      <c r="A607" s="2" t="s">
        <v>66</v>
      </c>
      <c r="B607" t="s">
        <v>1786</v>
      </c>
      <c r="C607" t="s">
        <v>1759</v>
      </c>
      <c r="D607" t="s">
        <v>1769</v>
      </c>
      <c r="K607"/>
      <c r="L607"/>
      <c r="M607"/>
    </row>
    <row r="608" spans="1:13">
      <c r="A608" s="2" t="s">
        <v>612</v>
      </c>
      <c r="B608" t="s">
        <v>1786</v>
      </c>
      <c r="C608" t="s">
        <v>1759</v>
      </c>
      <c r="D608" t="s">
        <v>1769</v>
      </c>
      <c r="K608"/>
      <c r="L608"/>
      <c r="M608"/>
    </row>
    <row r="609" spans="1:13">
      <c r="A609" s="2" t="s">
        <v>48</v>
      </c>
      <c r="B609" t="s">
        <v>1786</v>
      </c>
      <c r="C609" t="s">
        <v>1759</v>
      </c>
      <c r="D609" t="s">
        <v>1769</v>
      </c>
      <c r="K609"/>
      <c r="L609"/>
      <c r="M609"/>
    </row>
    <row r="610" spans="1:13">
      <c r="A610" s="2" t="s">
        <v>71</v>
      </c>
      <c r="B610" t="s">
        <v>1786</v>
      </c>
      <c r="C610" t="s">
        <v>1759</v>
      </c>
      <c r="D610" t="s">
        <v>1769</v>
      </c>
      <c r="K610"/>
      <c r="L610"/>
      <c r="M610"/>
    </row>
    <row r="611" spans="1:13">
      <c r="A611" s="2" t="s">
        <v>57</v>
      </c>
      <c r="B611" t="s">
        <v>1786</v>
      </c>
      <c r="C611" t="s">
        <v>1759</v>
      </c>
      <c r="D611" t="s">
        <v>1769</v>
      </c>
      <c r="K611"/>
      <c r="L611"/>
      <c r="M611"/>
    </row>
    <row r="612" spans="1:13">
      <c r="A612" s="2" t="s">
        <v>61</v>
      </c>
      <c r="B612" t="s">
        <v>1786</v>
      </c>
      <c r="C612" t="s">
        <v>1759</v>
      </c>
      <c r="D612" t="s">
        <v>1769</v>
      </c>
      <c r="K612"/>
      <c r="L612"/>
      <c r="M612"/>
    </row>
    <row r="613" spans="1:13">
      <c r="A613" s="2" t="s">
        <v>59</v>
      </c>
      <c r="B613" t="s">
        <v>1786</v>
      </c>
      <c r="C613" t="s">
        <v>1759</v>
      </c>
      <c r="D613" t="s">
        <v>1769</v>
      </c>
      <c r="K613"/>
      <c r="L613"/>
      <c r="M613"/>
    </row>
    <row r="614" spans="1:13">
      <c r="A614" s="2" t="s">
        <v>614</v>
      </c>
      <c r="B614" t="s">
        <v>1786</v>
      </c>
      <c r="C614" t="s">
        <v>1759</v>
      </c>
      <c r="D614" t="s">
        <v>1769</v>
      </c>
      <c r="K614"/>
      <c r="L614"/>
      <c r="M614"/>
    </row>
    <row r="615" spans="1:13">
      <c r="A615" s="2" t="s">
        <v>70</v>
      </c>
      <c r="B615" t="s">
        <v>1786</v>
      </c>
      <c r="C615" t="s">
        <v>1759</v>
      </c>
      <c r="D615" t="s">
        <v>1769</v>
      </c>
      <c r="K615"/>
      <c r="L615"/>
      <c r="M615"/>
    </row>
    <row r="616" spans="1:13">
      <c r="A616" s="2" t="s">
        <v>666</v>
      </c>
      <c r="B616" t="s">
        <v>1786</v>
      </c>
      <c r="C616" t="s">
        <v>1759</v>
      </c>
      <c r="D616" t="s">
        <v>1769</v>
      </c>
      <c r="K616"/>
      <c r="L616"/>
      <c r="M616"/>
    </row>
    <row r="617" spans="1:13">
      <c r="A617" s="2" t="s">
        <v>55</v>
      </c>
      <c r="B617" t="s">
        <v>1786</v>
      </c>
      <c r="C617" t="s">
        <v>1759</v>
      </c>
      <c r="D617" t="s">
        <v>1769</v>
      </c>
      <c r="K617"/>
      <c r="L617"/>
      <c r="M617"/>
    </row>
    <row r="618" spans="1:13">
      <c r="A618" s="2" t="s">
        <v>49</v>
      </c>
      <c r="B618" t="s">
        <v>1786</v>
      </c>
      <c r="C618" t="s">
        <v>1759</v>
      </c>
      <c r="D618" t="s">
        <v>1769</v>
      </c>
      <c r="K618"/>
      <c r="L618"/>
      <c r="M618"/>
    </row>
    <row r="619" spans="1:13">
      <c r="A619" s="2" t="s">
        <v>36</v>
      </c>
      <c r="B619" t="s">
        <v>1786</v>
      </c>
      <c r="C619" t="s">
        <v>1759</v>
      </c>
      <c r="D619" t="s">
        <v>1769</v>
      </c>
      <c r="K619"/>
      <c r="L619"/>
      <c r="M619"/>
    </row>
    <row r="620" spans="1:13">
      <c r="A620" s="2" t="s">
        <v>42</v>
      </c>
      <c r="B620" t="s">
        <v>1786</v>
      </c>
      <c r="C620" t="s">
        <v>1759</v>
      </c>
      <c r="D620" t="s">
        <v>1769</v>
      </c>
      <c r="K620"/>
      <c r="L620"/>
      <c r="M620"/>
    </row>
    <row r="621" spans="1:13">
      <c r="A621" s="2" t="s">
        <v>43</v>
      </c>
      <c r="B621" t="s">
        <v>1786</v>
      </c>
      <c r="C621" t="s">
        <v>1759</v>
      </c>
      <c r="D621" t="s">
        <v>1769</v>
      </c>
      <c r="K621"/>
      <c r="L621"/>
      <c r="M621"/>
    </row>
    <row r="622" spans="1:13">
      <c r="A622" s="2" t="s">
        <v>53</v>
      </c>
      <c r="B622" t="s">
        <v>1786</v>
      </c>
      <c r="C622" t="s">
        <v>1762</v>
      </c>
      <c r="D622" t="s">
        <v>1768</v>
      </c>
      <c r="K622"/>
      <c r="L622"/>
      <c r="M622"/>
    </row>
    <row r="623" spans="1:13">
      <c r="A623" s="2" t="s">
        <v>58</v>
      </c>
      <c r="B623" t="s">
        <v>1786</v>
      </c>
      <c r="C623" t="s">
        <v>1766</v>
      </c>
      <c r="D623" t="s">
        <v>1769</v>
      </c>
      <c r="K623"/>
      <c r="L623"/>
      <c r="M623"/>
    </row>
    <row r="624" spans="1:13">
      <c r="A624" s="2" t="s">
        <v>67</v>
      </c>
      <c r="B624" t="s">
        <v>1786</v>
      </c>
      <c r="C624" t="s">
        <v>1759</v>
      </c>
      <c r="D624" t="s">
        <v>1769</v>
      </c>
      <c r="K624"/>
      <c r="L624"/>
      <c r="M624"/>
    </row>
    <row r="625" spans="1:13">
      <c r="A625" s="2" t="s">
        <v>72</v>
      </c>
      <c r="B625" t="s">
        <v>1786</v>
      </c>
      <c r="C625" t="s">
        <v>1759</v>
      </c>
      <c r="D625" t="s">
        <v>1769</v>
      </c>
      <c r="K625"/>
      <c r="L625"/>
      <c r="M625"/>
    </row>
    <row r="626" spans="1:13">
      <c r="A626" s="2" t="s">
        <v>611</v>
      </c>
      <c r="B626" t="s">
        <v>1786</v>
      </c>
      <c r="C626" t="s">
        <v>1759</v>
      </c>
      <c r="D626" t="s">
        <v>1769</v>
      </c>
      <c r="K626"/>
      <c r="L626"/>
      <c r="M626"/>
    </row>
    <row r="627" spans="1:13">
      <c r="A627" s="2" t="s">
        <v>610</v>
      </c>
      <c r="B627" t="s">
        <v>1786</v>
      </c>
      <c r="C627" t="s">
        <v>1759</v>
      </c>
      <c r="D627" t="s">
        <v>1769</v>
      </c>
      <c r="K627"/>
      <c r="L627"/>
      <c r="M627"/>
    </row>
    <row r="628" spans="1:13">
      <c r="A628" s="2" t="s">
        <v>50</v>
      </c>
      <c r="B628" t="s">
        <v>1786</v>
      </c>
      <c r="C628" t="s">
        <v>1759</v>
      </c>
      <c r="D628" t="s">
        <v>1769</v>
      </c>
      <c r="K628"/>
      <c r="L628"/>
      <c r="M628"/>
    </row>
    <row r="629" spans="1:13">
      <c r="A629" s="2" t="s">
        <v>44</v>
      </c>
      <c r="B629" t="s">
        <v>1786</v>
      </c>
      <c r="C629" t="s">
        <v>1759</v>
      </c>
      <c r="D629" t="s">
        <v>1769</v>
      </c>
      <c r="K629"/>
      <c r="L629"/>
      <c r="M629"/>
    </row>
    <row r="630" spans="1:13">
      <c r="A630" s="2" t="s">
        <v>45</v>
      </c>
      <c r="B630" t="s">
        <v>1786</v>
      </c>
      <c r="C630" t="s">
        <v>1759</v>
      </c>
      <c r="D630" t="s">
        <v>1769</v>
      </c>
      <c r="K630"/>
      <c r="L630"/>
      <c r="M630"/>
    </row>
    <row r="631" spans="1:13">
      <c r="A631" s="2" t="s">
        <v>62</v>
      </c>
      <c r="B631" t="s">
        <v>1786</v>
      </c>
      <c r="C631" t="s">
        <v>1759</v>
      </c>
      <c r="D631" t="s">
        <v>1769</v>
      </c>
      <c r="K631"/>
      <c r="L631"/>
      <c r="M631"/>
    </row>
    <row r="632" spans="1:13">
      <c r="A632" s="2" t="s">
        <v>39</v>
      </c>
      <c r="B632" t="s">
        <v>1786</v>
      </c>
      <c r="C632" t="s">
        <v>1759</v>
      </c>
      <c r="D632" t="s">
        <v>1769</v>
      </c>
      <c r="K632"/>
      <c r="L632"/>
      <c r="M632"/>
    </row>
    <row r="633" spans="1:13">
      <c r="A633" s="2" t="s">
        <v>60</v>
      </c>
      <c r="B633" t="s">
        <v>1786</v>
      </c>
      <c r="C633" t="s">
        <v>1759</v>
      </c>
      <c r="D633" t="s">
        <v>1769</v>
      </c>
      <c r="K633"/>
      <c r="L633"/>
      <c r="M633"/>
    </row>
    <row r="634" spans="1:13">
      <c r="A634" s="2" t="s">
        <v>40</v>
      </c>
      <c r="B634" t="s">
        <v>1786</v>
      </c>
      <c r="C634" t="s">
        <v>1759</v>
      </c>
      <c r="D634" t="s">
        <v>1769</v>
      </c>
      <c r="K634"/>
      <c r="L634"/>
      <c r="M634"/>
    </row>
    <row r="635" spans="1:13">
      <c r="A635" s="2" t="s">
        <v>64</v>
      </c>
      <c r="B635" t="s">
        <v>1786</v>
      </c>
      <c r="C635" t="s">
        <v>1759</v>
      </c>
      <c r="D635" t="s">
        <v>1769</v>
      </c>
      <c r="K635"/>
      <c r="L635"/>
      <c r="M635"/>
    </row>
    <row r="636" spans="1:13">
      <c r="A636" s="2" t="s">
        <v>667</v>
      </c>
      <c r="B636" t="s">
        <v>1786</v>
      </c>
      <c r="C636" t="s">
        <v>1759</v>
      </c>
      <c r="D636" t="s">
        <v>1769</v>
      </c>
      <c r="K636"/>
      <c r="L636"/>
      <c r="M636"/>
    </row>
    <row r="637" spans="1:13">
      <c r="A637" s="2" t="s">
        <v>68</v>
      </c>
      <c r="B637" t="s">
        <v>1786</v>
      </c>
      <c r="C637" t="s">
        <v>1759</v>
      </c>
      <c r="D637" t="s">
        <v>1769</v>
      </c>
      <c r="K637"/>
      <c r="L637"/>
      <c r="M637"/>
    </row>
    <row r="638" spans="1:13">
      <c r="A638" s="2" t="s">
        <v>54</v>
      </c>
      <c r="B638" t="s">
        <v>1786</v>
      </c>
      <c r="C638" t="s">
        <v>1759</v>
      </c>
      <c r="D638" t="s">
        <v>1769</v>
      </c>
      <c r="K638"/>
      <c r="L638"/>
      <c r="M638"/>
    </row>
    <row r="639" spans="1:13">
      <c r="A639" s="2" t="s">
        <v>47</v>
      </c>
      <c r="B639" t="s">
        <v>1786</v>
      </c>
      <c r="C639" t="s">
        <v>1759</v>
      </c>
      <c r="D639" t="s">
        <v>1769</v>
      </c>
      <c r="K639"/>
      <c r="L639"/>
      <c r="M639"/>
    </row>
    <row r="640" spans="1:13">
      <c r="A640" s="2" t="s">
        <v>37</v>
      </c>
      <c r="B640" t="s">
        <v>1786</v>
      </c>
      <c r="C640" t="s">
        <v>1759</v>
      </c>
      <c r="D640" t="s">
        <v>1769</v>
      </c>
      <c r="K640"/>
      <c r="L640"/>
      <c r="M640"/>
    </row>
    <row r="641" spans="1:13">
      <c r="A641" s="2" t="s">
        <v>41</v>
      </c>
      <c r="B641" t="s">
        <v>1786</v>
      </c>
      <c r="C641" t="s">
        <v>1759</v>
      </c>
      <c r="D641" t="s">
        <v>1769</v>
      </c>
      <c r="K641"/>
      <c r="L641"/>
      <c r="M641"/>
    </row>
    <row r="642" spans="1:13">
      <c r="A642" s="2" t="s">
        <v>69</v>
      </c>
      <c r="B642" t="s">
        <v>1786</v>
      </c>
      <c r="C642" t="s">
        <v>1759</v>
      </c>
      <c r="D642" t="s">
        <v>1769</v>
      </c>
      <c r="K642"/>
      <c r="L642"/>
      <c r="M642"/>
    </row>
    <row r="643" spans="1:13">
      <c r="A643" s="2" t="s">
        <v>52</v>
      </c>
      <c r="B643" t="s">
        <v>1786</v>
      </c>
      <c r="C643" t="s">
        <v>1759</v>
      </c>
      <c r="D643" t="s">
        <v>1769</v>
      </c>
      <c r="K643"/>
      <c r="L643"/>
      <c r="M643"/>
    </row>
    <row r="644" spans="1:13">
      <c r="A644" s="2" t="s">
        <v>85</v>
      </c>
      <c r="B644" t="s">
        <v>1786</v>
      </c>
      <c r="C644" t="s">
        <v>1759</v>
      </c>
      <c r="D644" t="s">
        <v>1769</v>
      </c>
      <c r="K644"/>
      <c r="L644"/>
      <c r="M644"/>
    </row>
    <row r="645" spans="1:13">
      <c r="A645" s="2" t="s">
        <v>84</v>
      </c>
      <c r="B645" t="s">
        <v>1786</v>
      </c>
      <c r="C645" t="s">
        <v>1759</v>
      </c>
      <c r="D645" t="s">
        <v>1769</v>
      </c>
      <c r="K645"/>
      <c r="L645"/>
      <c r="M645"/>
    </row>
    <row r="646" spans="1:13">
      <c r="A646" s="2" t="s">
        <v>73</v>
      </c>
      <c r="B646" t="s">
        <v>1786</v>
      </c>
      <c r="C646" t="s">
        <v>1759</v>
      </c>
      <c r="D646" t="s">
        <v>1769</v>
      </c>
      <c r="K646"/>
      <c r="L646"/>
      <c r="M646"/>
    </row>
    <row r="647" spans="1:13">
      <c r="A647" s="2" t="s">
        <v>75</v>
      </c>
      <c r="B647" t="s">
        <v>1786</v>
      </c>
      <c r="C647" t="s">
        <v>1759</v>
      </c>
      <c r="D647" t="s">
        <v>1769</v>
      </c>
      <c r="K647"/>
      <c r="L647"/>
      <c r="M647"/>
    </row>
    <row r="648" spans="1:13">
      <c r="A648" s="2" t="s">
        <v>76</v>
      </c>
      <c r="B648" t="s">
        <v>1786</v>
      </c>
      <c r="C648" t="s">
        <v>1759</v>
      </c>
      <c r="D648" t="s">
        <v>1769</v>
      </c>
      <c r="K648"/>
      <c r="L648"/>
      <c r="M648"/>
    </row>
    <row r="649" spans="1:13">
      <c r="A649" s="2" t="s">
        <v>77</v>
      </c>
      <c r="B649" t="s">
        <v>1786</v>
      </c>
      <c r="C649" t="s">
        <v>1759</v>
      </c>
      <c r="D649" t="s">
        <v>1769</v>
      </c>
      <c r="K649"/>
      <c r="L649"/>
      <c r="M649"/>
    </row>
    <row r="650" spans="1:13">
      <c r="A650" s="2" t="s">
        <v>86</v>
      </c>
      <c r="B650" t="s">
        <v>1786</v>
      </c>
      <c r="C650" t="s">
        <v>1759</v>
      </c>
      <c r="D650" t="s">
        <v>1769</v>
      </c>
      <c r="K650"/>
      <c r="L650"/>
      <c r="M650"/>
    </row>
    <row r="651" spans="1:13">
      <c r="A651" s="2" t="s">
        <v>80</v>
      </c>
      <c r="B651" t="s">
        <v>1786</v>
      </c>
      <c r="C651" t="s">
        <v>1759</v>
      </c>
      <c r="D651" t="s">
        <v>1769</v>
      </c>
      <c r="K651"/>
      <c r="L651"/>
      <c r="M651"/>
    </row>
    <row r="652" spans="1:13">
      <c r="A652" s="2" t="s">
        <v>79</v>
      </c>
      <c r="B652" t="s">
        <v>1786</v>
      </c>
      <c r="C652" t="s">
        <v>1759</v>
      </c>
      <c r="D652" t="s">
        <v>1769</v>
      </c>
      <c r="K652"/>
      <c r="L652"/>
      <c r="M652"/>
    </row>
    <row r="653" spans="1:13">
      <c r="A653" s="2" t="s">
        <v>81</v>
      </c>
      <c r="B653" t="s">
        <v>1786</v>
      </c>
      <c r="C653" t="s">
        <v>1759</v>
      </c>
      <c r="D653" t="s">
        <v>1769</v>
      </c>
      <c r="K653"/>
      <c r="L653"/>
      <c r="M653"/>
    </row>
    <row r="654" spans="1:13">
      <c r="A654" s="2" t="s">
        <v>619</v>
      </c>
      <c r="B654" t="s">
        <v>1786</v>
      </c>
      <c r="C654" t="s">
        <v>1759</v>
      </c>
      <c r="D654" t="s">
        <v>1769</v>
      </c>
      <c r="K654"/>
      <c r="L654"/>
      <c r="M654"/>
    </row>
    <row r="655" spans="1:13">
      <c r="A655" s="2" t="s">
        <v>82</v>
      </c>
      <c r="B655" t="s">
        <v>1786</v>
      </c>
      <c r="C655" t="s">
        <v>1759</v>
      </c>
      <c r="D655" t="s">
        <v>1769</v>
      </c>
      <c r="K655"/>
      <c r="L655"/>
      <c r="M655"/>
    </row>
    <row r="656" spans="1:13">
      <c r="A656" s="2" t="s">
        <v>83</v>
      </c>
      <c r="B656" t="s">
        <v>1786</v>
      </c>
      <c r="C656" t="s">
        <v>1759</v>
      </c>
      <c r="D656" t="s">
        <v>1769</v>
      </c>
      <c r="K656"/>
      <c r="L656"/>
      <c r="M656"/>
    </row>
    <row r="657" spans="1:13">
      <c r="A657" s="2" t="s">
        <v>78</v>
      </c>
      <c r="B657" t="s">
        <v>1786</v>
      </c>
      <c r="C657" t="s">
        <v>1759</v>
      </c>
      <c r="D657" t="s">
        <v>1769</v>
      </c>
      <c r="K657"/>
      <c r="L657"/>
      <c r="M657"/>
    </row>
    <row r="658" spans="1:13">
      <c r="A658" s="2" t="s">
        <v>618</v>
      </c>
      <c r="B658" t="s">
        <v>1786</v>
      </c>
      <c r="C658" t="s">
        <v>1759</v>
      </c>
      <c r="D658" t="s">
        <v>1769</v>
      </c>
      <c r="K658"/>
      <c r="L658"/>
      <c r="M658"/>
    </row>
    <row r="659" spans="1:13">
      <c r="A659" s="2" t="s">
        <v>87</v>
      </c>
      <c r="B659" t="s">
        <v>1786</v>
      </c>
      <c r="C659" t="s">
        <v>1759</v>
      </c>
      <c r="D659" t="s">
        <v>1769</v>
      </c>
      <c r="K659"/>
      <c r="L659"/>
      <c r="M659"/>
    </row>
    <row r="660" spans="1:13">
      <c r="A660" s="2" t="s">
        <v>615</v>
      </c>
      <c r="B660" t="s">
        <v>1786</v>
      </c>
      <c r="C660" t="s">
        <v>1759</v>
      </c>
      <c r="D660" t="s">
        <v>1769</v>
      </c>
      <c r="K660"/>
      <c r="L660"/>
      <c r="M660"/>
    </row>
    <row r="661" spans="1:13">
      <c r="A661" s="2" t="s">
        <v>617</v>
      </c>
      <c r="B661" t="s">
        <v>1786</v>
      </c>
      <c r="C661" t="s">
        <v>1759</v>
      </c>
      <c r="D661" t="s">
        <v>1769</v>
      </c>
      <c r="K661"/>
      <c r="L661"/>
      <c r="M661"/>
    </row>
    <row r="662" spans="1:13">
      <c r="A662" s="2" t="s">
        <v>616</v>
      </c>
      <c r="B662" t="s">
        <v>1786</v>
      </c>
      <c r="C662" t="s">
        <v>1759</v>
      </c>
      <c r="D662" t="s">
        <v>1769</v>
      </c>
      <c r="K662"/>
      <c r="L662"/>
      <c r="M662"/>
    </row>
    <row r="663" spans="1:13">
      <c r="A663" s="2" t="s">
        <v>88</v>
      </c>
      <c r="B663" t="s">
        <v>1786</v>
      </c>
      <c r="C663" t="s">
        <v>1759</v>
      </c>
      <c r="D663" t="s">
        <v>1769</v>
      </c>
      <c r="K663"/>
      <c r="L663"/>
      <c r="M663"/>
    </row>
    <row r="664" spans="1:13">
      <c r="A664" s="2" t="s">
        <v>89</v>
      </c>
      <c r="B664" t="s">
        <v>1786</v>
      </c>
      <c r="C664" t="s">
        <v>1759</v>
      </c>
      <c r="D664" t="s">
        <v>1769</v>
      </c>
      <c r="K664"/>
      <c r="L664"/>
      <c r="M664"/>
    </row>
    <row r="665" spans="1:13">
      <c r="A665" s="2" t="s">
        <v>595</v>
      </c>
      <c r="B665" t="s">
        <v>1786</v>
      </c>
      <c r="C665" t="s">
        <v>1762</v>
      </c>
      <c r="D665" t="s">
        <v>1769</v>
      </c>
      <c r="K665"/>
      <c r="L665"/>
      <c r="M665"/>
    </row>
    <row r="666" spans="1:13">
      <c r="A666" s="2" t="s">
        <v>30</v>
      </c>
      <c r="B666" t="s">
        <v>1786</v>
      </c>
      <c r="C666" t="s">
        <v>1766</v>
      </c>
      <c r="D666" t="s">
        <v>1769</v>
      </c>
      <c r="K666"/>
      <c r="L666"/>
      <c r="M666"/>
    </row>
    <row r="667" spans="1:13">
      <c r="A667" s="2" t="s">
        <v>26</v>
      </c>
      <c r="B667" t="s">
        <v>1786</v>
      </c>
      <c r="C667" t="s">
        <v>1766</v>
      </c>
      <c r="D667" t="s">
        <v>1769</v>
      </c>
      <c r="K667"/>
      <c r="L667"/>
      <c r="M667"/>
    </row>
    <row r="668" spans="1:13">
      <c r="A668" s="2" t="s">
        <v>31</v>
      </c>
      <c r="B668" t="s">
        <v>1786</v>
      </c>
      <c r="C668" t="s">
        <v>1766</v>
      </c>
      <c r="D668" t="s">
        <v>1769</v>
      </c>
      <c r="K668"/>
      <c r="L668"/>
      <c r="M668"/>
    </row>
    <row r="669" spans="1:13">
      <c r="A669" s="2" t="s">
        <v>22</v>
      </c>
      <c r="B669" t="s">
        <v>1786</v>
      </c>
      <c r="C669" t="s">
        <v>1759</v>
      </c>
      <c r="D669" t="s">
        <v>1769</v>
      </c>
      <c r="K669"/>
      <c r="L669"/>
      <c r="M669"/>
    </row>
    <row r="670" spans="1:13">
      <c r="A670" s="2" t="s">
        <v>28</v>
      </c>
      <c r="B670" t="s">
        <v>1786</v>
      </c>
      <c r="C670" t="s">
        <v>1759</v>
      </c>
      <c r="D670" t="s">
        <v>1769</v>
      </c>
      <c r="K670"/>
      <c r="L670"/>
      <c r="M670"/>
    </row>
    <row r="671" spans="1:13">
      <c r="A671" s="2" t="s">
        <v>25</v>
      </c>
      <c r="B671" t="s">
        <v>1786</v>
      </c>
      <c r="C671" t="s">
        <v>1766</v>
      </c>
      <c r="D671" t="s">
        <v>1769</v>
      </c>
      <c r="K671"/>
      <c r="L671"/>
      <c r="M671"/>
    </row>
    <row r="672" spans="1:13">
      <c r="A672" s="2" t="s">
        <v>29</v>
      </c>
      <c r="B672" t="s">
        <v>1786</v>
      </c>
      <c r="C672" t="s">
        <v>1761</v>
      </c>
      <c r="D672" t="s">
        <v>1769</v>
      </c>
      <c r="K672"/>
      <c r="L672"/>
      <c r="M672"/>
    </row>
    <row r="673" spans="1:13">
      <c r="A673" s="2" t="s">
        <v>27</v>
      </c>
      <c r="B673" t="s">
        <v>1786</v>
      </c>
      <c r="C673" t="s">
        <v>1766</v>
      </c>
      <c r="D673" t="s">
        <v>1769</v>
      </c>
      <c r="K673"/>
      <c r="L673"/>
      <c r="M673"/>
    </row>
    <row r="674" spans="1:13">
      <c r="A674" s="2" t="s">
        <v>594</v>
      </c>
      <c r="B674" t="s">
        <v>1786</v>
      </c>
      <c r="C674" t="s">
        <v>1759</v>
      </c>
      <c r="D674" t="s">
        <v>1772</v>
      </c>
      <c r="K674"/>
      <c r="L674"/>
      <c r="M674"/>
    </row>
    <row r="675" spans="1:13">
      <c r="A675" s="2" t="s">
        <v>592</v>
      </c>
      <c r="B675" t="s">
        <v>1786</v>
      </c>
      <c r="C675" t="s">
        <v>1759</v>
      </c>
      <c r="D675" t="s">
        <v>1772</v>
      </c>
      <c r="K675"/>
      <c r="L675"/>
      <c r="M675"/>
    </row>
    <row r="676" spans="1:13">
      <c r="A676" s="2" t="s">
        <v>591</v>
      </c>
      <c r="B676" t="s">
        <v>1786</v>
      </c>
      <c r="C676" t="s">
        <v>1759</v>
      </c>
      <c r="D676" t="s">
        <v>1772</v>
      </c>
      <c r="K676"/>
      <c r="L676"/>
      <c r="M676"/>
    </row>
    <row r="677" spans="1:13">
      <c r="A677" s="2" t="s">
        <v>593</v>
      </c>
      <c r="B677" t="s">
        <v>1786</v>
      </c>
      <c r="C677" t="s">
        <v>1759</v>
      </c>
      <c r="D677" t="s">
        <v>1771</v>
      </c>
      <c r="K677"/>
      <c r="L677"/>
      <c r="M677"/>
    </row>
    <row r="678" spans="1:13">
      <c r="A678" s="2" t="s">
        <v>179</v>
      </c>
      <c r="B678" t="s">
        <v>1786</v>
      </c>
      <c r="C678" t="s">
        <v>1766</v>
      </c>
      <c r="D678" t="s">
        <v>1771</v>
      </c>
      <c r="K678"/>
      <c r="L678"/>
      <c r="M678"/>
    </row>
    <row r="679" spans="1:13">
      <c r="A679" s="2" t="s">
        <v>142</v>
      </c>
      <c r="B679" t="s">
        <v>1786</v>
      </c>
      <c r="C679" t="s">
        <v>1766</v>
      </c>
      <c r="D679" t="s">
        <v>1768</v>
      </c>
      <c r="K679"/>
      <c r="L679"/>
      <c r="M679"/>
    </row>
    <row r="680" spans="1:13">
      <c r="A680" s="2" t="s">
        <v>161</v>
      </c>
      <c r="B680" t="s">
        <v>1786</v>
      </c>
      <c r="C680" t="s">
        <v>1766</v>
      </c>
      <c r="D680" t="s">
        <v>1768</v>
      </c>
      <c r="K680"/>
      <c r="L680"/>
      <c r="M680"/>
    </row>
    <row r="681" spans="1:13">
      <c r="A681" s="2" t="s">
        <v>191</v>
      </c>
      <c r="B681" t="s">
        <v>1786</v>
      </c>
      <c r="C681" t="s">
        <v>1766</v>
      </c>
      <c r="D681" t="s">
        <v>1770</v>
      </c>
      <c r="K681"/>
      <c r="L681"/>
      <c r="M681"/>
    </row>
    <row r="682" spans="1:13">
      <c r="A682" s="2" t="s">
        <v>104</v>
      </c>
      <c r="B682" t="s">
        <v>1786</v>
      </c>
      <c r="C682" t="s">
        <v>1766</v>
      </c>
      <c r="D682" t="s">
        <v>1768</v>
      </c>
      <c r="K682"/>
      <c r="L682"/>
      <c r="M682"/>
    </row>
    <row r="683" spans="1:13">
      <c r="A683" s="2" t="s">
        <v>159</v>
      </c>
      <c r="B683" t="s">
        <v>1786</v>
      </c>
      <c r="C683" t="s">
        <v>1760</v>
      </c>
      <c r="D683" t="s">
        <v>1770</v>
      </c>
      <c r="K683"/>
      <c r="L683"/>
      <c r="M683"/>
    </row>
    <row r="684" spans="1:13">
      <c r="A684" s="2" t="s">
        <v>192</v>
      </c>
      <c r="B684" t="s">
        <v>1786</v>
      </c>
      <c r="C684" t="s">
        <v>1766</v>
      </c>
      <c r="D684" t="s">
        <v>1768</v>
      </c>
      <c r="K684"/>
      <c r="L684"/>
      <c r="M684"/>
    </row>
    <row r="685" spans="1:13">
      <c r="A685" s="2" t="s">
        <v>157</v>
      </c>
      <c r="B685" t="s">
        <v>1786</v>
      </c>
      <c r="C685" t="s">
        <v>1766</v>
      </c>
      <c r="D685" t="s">
        <v>1768</v>
      </c>
      <c r="K685"/>
      <c r="L685"/>
      <c r="M685"/>
    </row>
    <row r="686" spans="1:13">
      <c r="A686" s="2" t="s">
        <v>132</v>
      </c>
      <c r="B686" t="s">
        <v>1786</v>
      </c>
      <c r="C686" t="s">
        <v>1766</v>
      </c>
      <c r="D686" t="s">
        <v>1768</v>
      </c>
      <c r="K686"/>
      <c r="L686"/>
      <c r="M686"/>
    </row>
    <row r="687" spans="1:13">
      <c r="A687" s="2" t="s">
        <v>128</v>
      </c>
      <c r="B687" t="s">
        <v>1786</v>
      </c>
      <c r="C687" t="s">
        <v>1766</v>
      </c>
      <c r="D687" t="s">
        <v>1768</v>
      </c>
      <c r="K687"/>
      <c r="L687"/>
      <c r="M687"/>
    </row>
    <row r="688" spans="1:13">
      <c r="A688" s="2" t="s">
        <v>158</v>
      </c>
      <c r="B688" t="s">
        <v>1786</v>
      </c>
      <c r="C688" t="s">
        <v>1766</v>
      </c>
      <c r="D688" t="s">
        <v>1768</v>
      </c>
      <c r="K688"/>
      <c r="L688"/>
      <c r="M688"/>
    </row>
    <row r="689" spans="1:13">
      <c r="A689" s="2" t="s">
        <v>153</v>
      </c>
      <c r="B689" t="s">
        <v>1786</v>
      </c>
      <c r="C689" t="s">
        <v>1766</v>
      </c>
      <c r="D689" t="s">
        <v>1768</v>
      </c>
      <c r="K689"/>
      <c r="L689"/>
      <c r="M689"/>
    </row>
    <row r="690" spans="1:13">
      <c r="A690" s="2" t="s">
        <v>100</v>
      </c>
      <c r="B690" t="s">
        <v>1786</v>
      </c>
      <c r="C690" t="s">
        <v>1766</v>
      </c>
      <c r="D690" t="s">
        <v>1770</v>
      </c>
      <c r="K690"/>
      <c r="L690"/>
      <c r="M690"/>
    </row>
    <row r="691" spans="1:13">
      <c r="A691" s="2" t="s">
        <v>187</v>
      </c>
      <c r="B691" t="s">
        <v>1786</v>
      </c>
      <c r="C691" t="s">
        <v>1766</v>
      </c>
      <c r="D691" t="s">
        <v>1768</v>
      </c>
      <c r="K691"/>
      <c r="L691"/>
      <c r="M691"/>
    </row>
    <row r="692" spans="1:13">
      <c r="A692" s="2" t="s">
        <v>96</v>
      </c>
      <c r="B692" t="s">
        <v>1786</v>
      </c>
      <c r="C692" t="s">
        <v>1766</v>
      </c>
      <c r="D692" t="s">
        <v>1770</v>
      </c>
      <c r="K692"/>
      <c r="L692"/>
      <c r="M692"/>
    </row>
    <row r="693" spans="1:13">
      <c r="A693" s="2" t="s">
        <v>90</v>
      </c>
      <c r="B693" t="s">
        <v>1786</v>
      </c>
      <c r="C693" t="s">
        <v>1766</v>
      </c>
      <c r="D693" t="s">
        <v>1770</v>
      </c>
      <c r="K693"/>
      <c r="L693"/>
      <c r="M693"/>
    </row>
    <row r="694" spans="1:13">
      <c r="A694" s="2" t="s">
        <v>193</v>
      </c>
      <c r="B694" t="s">
        <v>1786</v>
      </c>
      <c r="C694" t="s">
        <v>1766</v>
      </c>
      <c r="D694" t="s">
        <v>1768</v>
      </c>
      <c r="K694"/>
      <c r="L694"/>
      <c r="M694"/>
    </row>
    <row r="695" spans="1:13">
      <c r="A695" s="2" t="s">
        <v>145</v>
      </c>
      <c r="B695" t="s">
        <v>1786</v>
      </c>
      <c r="C695" t="s">
        <v>1766</v>
      </c>
      <c r="D695" t="s">
        <v>1768</v>
      </c>
      <c r="K695"/>
      <c r="L695"/>
      <c r="M695"/>
    </row>
    <row r="696" spans="1:13">
      <c r="A696" s="2" t="s">
        <v>133</v>
      </c>
      <c r="B696" t="s">
        <v>1786</v>
      </c>
      <c r="C696" t="s">
        <v>1766</v>
      </c>
      <c r="D696" t="s">
        <v>1768</v>
      </c>
      <c r="K696"/>
      <c r="L696"/>
      <c r="M696"/>
    </row>
    <row r="697" spans="1:13">
      <c r="A697" s="2" t="s">
        <v>148</v>
      </c>
      <c r="B697" t="s">
        <v>1786</v>
      </c>
      <c r="C697" t="s">
        <v>1766</v>
      </c>
      <c r="D697" t="s">
        <v>1768</v>
      </c>
      <c r="K697"/>
      <c r="L697"/>
      <c r="M697"/>
    </row>
    <row r="698" spans="1:13">
      <c r="A698" s="2" t="s">
        <v>115</v>
      </c>
      <c r="B698" t="s">
        <v>1786</v>
      </c>
      <c r="C698" t="s">
        <v>1766</v>
      </c>
      <c r="D698" t="s">
        <v>1768</v>
      </c>
      <c r="K698"/>
      <c r="L698"/>
      <c r="M698"/>
    </row>
    <row r="699" spans="1:13">
      <c r="A699" s="2" t="s">
        <v>194</v>
      </c>
      <c r="B699" t="s">
        <v>1786</v>
      </c>
      <c r="C699" t="s">
        <v>1766</v>
      </c>
      <c r="D699" t="s">
        <v>1768</v>
      </c>
      <c r="K699"/>
      <c r="L699"/>
      <c r="M699"/>
    </row>
    <row r="700" spans="1:13">
      <c r="A700" s="2" t="s">
        <v>172</v>
      </c>
      <c r="B700" t="s">
        <v>1786</v>
      </c>
      <c r="C700" t="s">
        <v>1766</v>
      </c>
      <c r="D700" t="s">
        <v>1768</v>
      </c>
      <c r="K700"/>
      <c r="L700"/>
      <c r="M700"/>
    </row>
    <row r="701" spans="1:13">
      <c r="A701" s="2" t="s">
        <v>195</v>
      </c>
      <c r="B701" t="s">
        <v>1786</v>
      </c>
      <c r="C701" t="s">
        <v>1766</v>
      </c>
      <c r="D701" t="s">
        <v>1768</v>
      </c>
      <c r="K701"/>
      <c r="L701"/>
      <c r="M701"/>
    </row>
    <row r="702" spans="1:13">
      <c r="A702" s="2" t="s">
        <v>183</v>
      </c>
      <c r="B702" t="s">
        <v>1786</v>
      </c>
      <c r="C702" t="s">
        <v>1766</v>
      </c>
      <c r="D702" t="s">
        <v>1768</v>
      </c>
      <c r="K702"/>
      <c r="L702"/>
      <c r="M702"/>
    </row>
    <row r="703" spans="1:13">
      <c r="A703" s="2" t="s">
        <v>102</v>
      </c>
      <c r="B703" t="s">
        <v>1786</v>
      </c>
      <c r="C703" t="s">
        <v>1766</v>
      </c>
      <c r="D703" t="s">
        <v>1770</v>
      </c>
      <c r="K703"/>
      <c r="L703"/>
      <c r="M703"/>
    </row>
    <row r="704" spans="1:13">
      <c r="A704" s="2" t="s">
        <v>185</v>
      </c>
      <c r="B704" t="s">
        <v>1786</v>
      </c>
      <c r="C704" t="s">
        <v>1766</v>
      </c>
      <c r="D704" t="s">
        <v>1768</v>
      </c>
      <c r="K704"/>
      <c r="L704"/>
      <c r="M704"/>
    </row>
    <row r="705" spans="1:13">
      <c r="A705" s="2" t="s">
        <v>181</v>
      </c>
      <c r="B705" t="s">
        <v>1786</v>
      </c>
      <c r="C705" t="s">
        <v>1766</v>
      </c>
      <c r="D705" t="s">
        <v>1768</v>
      </c>
      <c r="K705"/>
      <c r="L705"/>
      <c r="M705"/>
    </row>
    <row r="706" spans="1:13">
      <c r="A706" s="2" t="s">
        <v>116</v>
      </c>
      <c r="B706" t="s">
        <v>1786</v>
      </c>
      <c r="C706" t="s">
        <v>1766</v>
      </c>
      <c r="D706" t="s">
        <v>1768</v>
      </c>
      <c r="K706"/>
      <c r="L706"/>
      <c r="M706"/>
    </row>
    <row r="707" spans="1:13">
      <c r="A707" s="2" t="s">
        <v>151</v>
      </c>
      <c r="B707" t="s">
        <v>1786</v>
      </c>
      <c r="C707" t="s">
        <v>1766</v>
      </c>
      <c r="D707" t="s">
        <v>1770</v>
      </c>
      <c r="K707"/>
      <c r="L707"/>
      <c r="M707"/>
    </row>
    <row r="708" spans="1:13">
      <c r="A708" s="2" t="s">
        <v>164</v>
      </c>
      <c r="B708" t="s">
        <v>1786</v>
      </c>
      <c r="C708" t="s">
        <v>1766</v>
      </c>
      <c r="D708" t="s">
        <v>1771</v>
      </c>
      <c r="K708"/>
      <c r="L708"/>
      <c r="M708"/>
    </row>
    <row r="709" spans="1:13">
      <c r="A709" s="2" t="s">
        <v>105</v>
      </c>
      <c r="B709" t="s">
        <v>1786</v>
      </c>
      <c r="C709" t="s">
        <v>1766</v>
      </c>
      <c r="D709" t="s">
        <v>1768</v>
      </c>
      <c r="K709"/>
      <c r="L709"/>
      <c r="M709"/>
    </row>
    <row r="710" spans="1:13">
      <c r="A710" s="2" t="s">
        <v>106</v>
      </c>
      <c r="B710" t="s">
        <v>1786</v>
      </c>
      <c r="C710" t="s">
        <v>1766</v>
      </c>
      <c r="D710" t="s">
        <v>1770</v>
      </c>
      <c r="K710"/>
      <c r="L710"/>
      <c r="M710"/>
    </row>
    <row r="711" spans="1:13">
      <c r="A711" s="2" t="s">
        <v>121</v>
      </c>
      <c r="B711" t="s">
        <v>1786</v>
      </c>
      <c r="C711" t="s">
        <v>1766</v>
      </c>
      <c r="D711" t="s">
        <v>1768</v>
      </c>
      <c r="K711"/>
      <c r="L711"/>
      <c r="M711"/>
    </row>
    <row r="712" spans="1:13">
      <c r="A712" s="2" t="s">
        <v>155</v>
      </c>
      <c r="B712" t="s">
        <v>1786</v>
      </c>
      <c r="C712" t="s">
        <v>1766</v>
      </c>
      <c r="D712" t="s">
        <v>1768</v>
      </c>
      <c r="K712"/>
      <c r="L712"/>
      <c r="M712"/>
    </row>
    <row r="713" spans="1:13">
      <c r="A713" s="2" t="s">
        <v>117</v>
      </c>
      <c r="B713" t="s">
        <v>1786</v>
      </c>
      <c r="C713" t="s">
        <v>1766</v>
      </c>
      <c r="D713" t="s">
        <v>1768</v>
      </c>
      <c r="K713"/>
      <c r="L713"/>
      <c r="M713"/>
    </row>
    <row r="714" spans="1:13">
      <c r="A714" s="2" t="s">
        <v>154</v>
      </c>
      <c r="B714" t="s">
        <v>1786</v>
      </c>
      <c r="C714" t="s">
        <v>1766</v>
      </c>
      <c r="D714" t="s">
        <v>1770</v>
      </c>
      <c r="K714"/>
      <c r="L714"/>
      <c r="M714"/>
    </row>
    <row r="715" spans="1:13">
      <c r="A715" s="2" t="s">
        <v>137</v>
      </c>
      <c r="B715" t="s">
        <v>1786</v>
      </c>
      <c r="C715" t="s">
        <v>1766</v>
      </c>
      <c r="D715" t="s">
        <v>1768</v>
      </c>
      <c r="K715"/>
      <c r="L715"/>
      <c r="M715"/>
    </row>
    <row r="716" spans="1:13">
      <c r="A716" s="2" t="s">
        <v>111</v>
      </c>
      <c r="B716" t="s">
        <v>1786</v>
      </c>
      <c r="C716" t="s">
        <v>1766</v>
      </c>
      <c r="D716" t="s">
        <v>1768</v>
      </c>
      <c r="K716"/>
      <c r="L716"/>
      <c r="M716"/>
    </row>
    <row r="717" spans="1:13">
      <c r="A717" s="2" t="s">
        <v>136</v>
      </c>
      <c r="B717" t="s">
        <v>1786</v>
      </c>
      <c r="C717" t="s">
        <v>1766</v>
      </c>
      <c r="D717" t="s">
        <v>1770</v>
      </c>
      <c r="K717"/>
      <c r="L717"/>
      <c r="M717"/>
    </row>
    <row r="718" spans="1:13">
      <c r="A718" s="2" t="s">
        <v>144</v>
      </c>
      <c r="B718" t="s">
        <v>1786</v>
      </c>
      <c r="C718" t="s">
        <v>1766</v>
      </c>
      <c r="D718" t="s">
        <v>1768</v>
      </c>
      <c r="K718"/>
      <c r="L718"/>
      <c r="M718"/>
    </row>
    <row r="719" spans="1:13">
      <c r="A719" s="2" t="s">
        <v>178</v>
      </c>
      <c r="B719" t="s">
        <v>1786</v>
      </c>
      <c r="C719" t="s">
        <v>1766</v>
      </c>
      <c r="D719" t="s">
        <v>1768</v>
      </c>
      <c r="K719"/>
      <c r="L719"/>
      <c r="M719"/>
    </row>
    <row r="720" spans="1:13">
      <c r="A720" s="2" t="s">
        <v>184</v>
      </c>
      <c r="B720" t="s">
        <v>1786</v>
      </c>
      <c r="C720" t="s">
        <v>1766</v>
      </c>
      <c r="D720" t="s">
        <v>1771</v>
      </c>
      <c r="K720"/>
      <c r="L720"/>
      <c r="M720"/>
    </row>
    <row r="721" spans="1:13">
      <c r="A721" s="2" t="s">
        <v>95</v>
      </c>
      <c r="B721" t="s">
        <v>1786</v>
      </c>
      <c r="C721" t="s">
        <v>1766</v>
      </c>
      <c r="D721" t="s">
        <v>1770</v>
      </c>
      <c r="K721"/>
      <c r="L721"/>
      <c r="M721"/>
    </row>
    <row r="722" spans="1:13">
      <c r="A722" s="2" t="s">
        <v>171</v>
      </c>
      <c r="B722" t="s">
        <v>1786</v>
      </c>
      <c r="C722" t="s">
        <v>1766</v>
      </c>
      <c r="D722" t="s">
        <v>1768</v>
      </c>
      <c r="K722"/>
      <c r="L722"/>
      <c r="M722"/>
    </row>
    <row r="723" spans="1:13">
      <c r="A723" s="2" t="s">
        <v>170</v>
      </c>
      <c r="B723" t="s">
        <v>1786</v>
      </c>
      <c r="C723" t="s">
        <v>1766</v>
      </c>
      <c r="D723" t="s">
        <v>1771</v>
      </c>
      <c r="K723"/>
      <c r="L723"/>
      <c r="M723"/>
    </row>
    <row r="724" spans="1:13">
      <c r="A724" s="2" t="s">
        <v>149</v>
      </c>
      <c r="B724" t="s">
        <v>1786</v>
      </c>
      <c r="C724" t="s">
        <v>1766</v>
      </c>
      <c r="D724" t="s">
        <v>1768</v>
      </c>
      <c r="K724"/>
      <c r="L724"/>
      <c r="M724"/>
    </row>
    <row r="725" spans="1:13">
      <c r="A725" s="2" t="s">
        <v>150</v>
      </c>
      <c r="B725" t="s">
        <v>1786</v>
      </c>
      <c r="C725" t="s">
        <v>1766</v>
      </c>
      <c r="D725" t="s">
        <v>1768</v>
      </c>
      <c r="K725"/>
      <c r="L725"/>
      <c r="M725"/>
    </row>
    <row r="726" spans="1:13">
      <c r="A726" s="2" t="s">
        <v>146</v>
      </c>
      <c r="B726" t="s">
        <v>1786</v>
      </c>
      <c r="C726" t="s">
        <v>1766</v>
      </c>
      <c r="D726" t="s">
        <v>1768</v>
      </c>
      <c r="K726"/>
      <c r="L726"/>
      <c r="M726"/>
    </row>
    <row r="727" spans="1:13">
      <c r="A727" s="2" t="s">
        <v>189</v>
      </c>
      <c r="B727" t="s">
        <v>1786</v>
      </c>
      <c r="C727" t="s">
        <v>1766</v>
      </c>
      <c r="D727" t="s">
        <v>1768</v>
      </c>
      <c r="K727"/>
      <c r="L727"/>
      <c r="M727"/>
    </row>
    <row r="728" spans="1:13">
      <c r="A728" s="2" t="s">
        <v>175</v>
      </c>
      <c r="B728" t="s">
        <v>1786</v>
      </c>
      <c r="C728" t="s">
        <v>1766</v>
      </c>
      <c r="D728" t="s">
        <v>1768</v>
      </c>
      <c r="K728"/>
      <c r="L728"/>
      <c r="M728"/>
    </row>
    <row r="729" spans="1:13">
      <c r="A729" s="2" t="s">
        <v>176</v>
      </c>
      <c r="B729" t="s">
        <v>1786</v>
      </c>
      <c r="C729" t="s">
        <v>1766</v>
      </c>
      <c r="D729" t="s">
        <v>1768</v>
      </c>
      <c r="K729"/>
      <c r="L729"/>
      <c r="M729"/>
    </row>
    <row r="730" spans="1:13">
      <c r="A730" s="2" t="s">
        <v>177</v>
      </c>
      <c r="B730" t="s">
        <v>1786</v>
      </c>
      <c r="C730" t="s">
        <v>1766</v>
      </c>
      <c r="D730" t="s">
        <v>1768</v>
      </c>
      <c r="K730"/>
      <c r="L730"/>
      <c r="M730"/>
    </row>
    <row r="731" spans="1:13">
      <c r="A731" s="2" t="s">
        <v>103</v>
      </c>
      <c r="B731" t="s">
        <v>1786</v>
      </c>
      <c r="C731" t="s">
        <v>1766</v>
      </c>
      <c r="D731" t="s">
        <v>1770</v>
      </c>
      <c r="K731"/>
      <c r="L731"/>
      <c r="M731"/>
    </row>
    <row r="732" spans="1:13">
      <c r="A732" s="2" t="s">
        <v>122</v>
      </c>
      <c r="B732" t="s">
        <v>1786</v>
      </c>
      <c r="C732" t="s">
        <v>1766</v>
      </c>
      <c r="D732" t="s">
        <v>1770</v>
      </c>
      <c r="K732"/>
      <c r="L732"/>
      <c r="M732"/>
    </row>
    <row r="733" spans="1:13">
      <c r="A733" s="2" t="s">
        <v>622</v>
      </c>
      <c r="B733" t="s">
        <v>1786</v>
      </c>
      <c r="C733" t="s">
        <v>1766</v>
      </c>
      <c r="D733" t="s">
        <v>1768</v>
      </c>
      <c r="K733"/>
      <c r="L733"/>
      <c r="M733"/>
    </row>
    <row r="734" spans="1:13">
      <c r="A734" s="2" t="s">
        <v>623</v>
      </c>
      <c r="B734" t="s">
        <v>1786</v>
      </c>
      <c r="C734" t="s">
        <v>1766</v>
      </c>
      <c r="D734" t="s">
        <v>1771</v>
      </c>
      <c r="K734"/>
      <c r="L734"/>
      <c r="M734"/>
    </row>
    <row r="735" spans="1:13">
      <c r="A735" s="2" t="s">
        <v>624</v>
      </c>
      <c r="B735" t="s">
        <v>1786</v>
      </c>
      <c r="C735" t="s">
        <v>1766</v>
      </c>
      <c r="D735" t="s">
        <v>1768</v>
      </c>
      <c r="K735"/>
      <c r="L735"/>
      <c r="M735"/>
    </row>
    <row r="736" spans="1:13">
      <c r="A736" s="2" t="s">
        <v>621</v>
      </c>
      <c r="B736" t="s">
        <v>1786</v>
      </c>
      <c r="C736" t="s">
        <v>1766</v>
      </c>
      <c r="D736" t="s">
        <v>1770</v>
      </c>
      <c r="K736"/>
      <c r="L736"/>
      <c r="M736"/>
    </row>
    <row r="737" spans="1:13">
      <c r="A737" s="2" t="s">
        <v>625</v>
      </c>
      <c r="B737" t="s">
        <v>1786</v>
      </c>
      <c r="C737" t="s">
        <v>1766</v>
      </c>
      <c r="D737" t="s">
        <v>1768</v>
      </c>
      <c r="K737"/>
      <c r="L737"/>
      <c r="M737"/>
    </row>
    <row r="738" spans="1:13">
      <c r="A738" s="2" t="s">
        <v>166</v>
      </c>
      <c r="B738" t="s">
        <v>1786</v>
      </c>
      <c r="C738" t="s">
        <v>1766</v>
      </c>
      <c r="D738" t="s">
        <v>1768</v>
      </c>
      <c r="K738"/>
      <c r="L738"/>
      <c r="M738"/>
    </row>
    <row r="739" spans="1:13">
      <c r="A739" s="2" t="s">
        <v>165</v>
      </c>
      <c r="B739" t="s">
        <v>1786</v>
      </c>
      <c r="C739" t="s">
        <v>1766</v>
      </c>
      <c r="D739" t="s">
        <v>1768</v>
      </c>
      <c r="K739"/>
      <c r="L739"/>
      <c r="M739"/>
    </row>
    <row r="740" spans="1:13">
      <c r="A740" s="2" t="s">
        <v>169</v>
      </c>
      <c r="B740" t="s">
        <v>1786</v>
      </c>
      <c r="C740" t="s">
        <v>1766</v>
      </c>
      <c r="D740" t="s">
        <v>1768</v>
      </c>
      <c r="K740"/>
      <c r="L740"/>
      <c r="M740"/>
    </row>
    <row r="741" spans="1:13">
      <c r="A741" s="2" t="s">
        <v>163</v>
      </c>
      <c r="B741" t="s">
        <v>1786</v>
      </c>
      <c r="C741" t="s">
        <v>1766</v>
      </c>
      <c r="D741" t="s">
        <v>1768</v>
      </c>
      <c r="K741"/>
      <c r="L741"/>
      <c r="M741"/>
    </row>
    <row r="742" spans="1:13">
      <c r="A742" s="2" t="s">
        <v>126</v>
      </c>
      <c r="B742" t="s">
        <v>1786</v>
      </c>
      <c r="C742" t="s">
        <v>1766</v>
      </c>
      <c r="D742" t="s">
        <v>1768</v>
      </c>
      <c r="K742"/>
      <c r="L742"/>
      <c r="M742"/>
    </row>
    <row r="743" spans="1:13">
      <c r="A743" s="2" t="s">
        <v>109</v>
      </c>
      <c r="B743" t="s">
        <v>1786</v>
      </c>
      <c r="C743" t="s">
        <v>1766</v>
      </c>
      <c r="D743" t="s">
        <v>1770</v>
      </c>
      <c r="K743"/>
      <c r="L743"/>
      <c r="M743"/>
    </row>
    <row r="744" spans="1:13">
      <c r="A744" s="2" t="s">
        <v>130</v>
      </c>
      <c r="B744" t="s">
        <v>1786</v>
      </c>
      <c r="C744" t="s">
        <v>1766</v>
      </c>
      <c r="D744" t="s">
        <v>1768</v>
      </c>
      <c r="K744"/>
      <c r="L744"/>
      <c r="M744"/>
    </row>
    <row r="745" spans="1:13">
      <c r="A745" s="2" t="s">
        <v>140</v>
      </c>
      <c r="B745" t="s">
        <v>1786</v>
      </c>
      <c r="C745" t="s">
        <v>1766</v>
      </c>
      <c r="D745" t="s">
        <v>1770</v>
      </c>
      <c r="K745"/>
      <c r="L745"/>
      <c r="M745"/>
    </row>
    <row r="746" spans="1:13">
      <c r="A746" s="2" t="s">
        <v>156</v>
      </c>
      <c r="B746" t="s">
        <v>1786</v>
      </c>
      <c r="C746" t="s">
        <v>1766</v>
      </c>
      <c r="D746" t="s">
        <v>1771</v>
      </c>
      <c r="K746"/>
      <c r="L746"/>
      <c r="M746"/>
    </row>
    <row r="747" spans="1:13">
      <c r="A747" s="2" t="s">
        <v>101</v>
      </c>
      <c r="B747" t="s">
        <v>1786</v>
      </c>
      <c r="C747" t="s">
        <v>1766</v>
      </c>
      <c r="D747" t="s">
        <v>1768</v>
      </c>
      <c r="K747"/>
      <c r="L747"/>
      <c r="M747"/>
    </row>
    <row r="748" spans="1:13">
      <c r="A748" s="2" t="s">
        <v>138</v>
      </c>
      <c r="B748" t="s">
        <v>1786</v>
      </c>
      <c r="C748" t="s">
        <v>1766</v>
      </c>
      <c r="D748" t="s">
        <v>1770</v>
      </c>
      <c r="K748"/>
      <c r="L748"/>
      <c r="M748"/>
    </row>
    <row r="749" spans="1:13">
      <c r="A749" s="2" t="s">
        <v>186</v>
      </c>
      <c r="B749" t="s">
        <v>1786</v>
      </c>
      <c r="C749" t="s">
        <v>1766</v>
      </c>
      <c r="D749" t="s">
        <v>1768</v>
      </c>
      <c r="K749"/>
      <c r="L749"/>
      <c r="M749"/>
    </row>
    <row r="750" spans="1:13">
      <c r="A750" s="2" t="s">
        <v>182</v>
      </c>
      <c r="B750" t="s">
        <v>1786</v>
      </c>
      <c r="C750" t="s">
        <v>1766</v>
      </c>
      <c r="D750" t="s">
        <v>1768</v>
      </c>
      <c r="K750"/>
      <c r="L750"/>
      <c r="M750"/>
    </row>
    <row r="751" spans="1:13">
      <c r="A751" s="2" t="s">
        <v>123</v>
      </c>
      <c r="B751" t="s">
        <v>1786</v>
      </c>
      <c r="C751" t="s">
        <v>1766</v>
      </c>
      <c r="D751" t="s">
        <v>1770</v>
      </c>
      <c r="K751"/>
      <c r="L751"/>
      <c r="M751"/>
    </row>
    <row r="752" spans="1:13">
      <c r="A752" s="2" t="s">
        <v>113</v>
      </c>
      <c r="B752" t="s">
        <v>1786</v>
      </c>
      <c r="C752" t="s">
        <v>1766</v>
      </c>
      <c r="D752" t="s">
        <v>1770</v>
      </c>
      <c r="K752"/>
      <c r="L752"/>
      <c r="M752"/>
    </row>
    <row r="753" spans="1:13">
      <c r="A753" s="2" t="s">
        <v>174</v>
      </c>
      <c r="B753" t="s">
        <v>1786</v>
      </c>
      <c r="C753" t="s">
        <v>1766</v>
      </c>
      <c r="D753" t="s">
        <v>1768</v>
      </c>
      <c r="K753"/>
      <c r="L753"/>
      <c r="M753"/>
    </row>
    <row r="754" spans="1:13">
      <c r="A754" s="2" t="s">
        <v>120</v>
      </c>
      <c r="B754" t="s">
        <v>1786</v>
      </c>
      <c r="C754" t="s">
        <v>1766</v>
      </c>
      <c r="D754" t="s">
        <v>1768</v>
      </c>
      <c r="K754"/>
      <c r="L754"/>
      <c r="M754"/>
    </row>
    <row r="755" spans="1:13">
      <c r="A755" s="2" t="s">
        <v>173</v>
      </c>
      <c r="B755" t="s">
        <v>1786</v>
      </c>
      <c r="C755" t="s">
        <v>1766</v>
      </c>
      <c r="D755" t="s">
        <v>1768</v>
      </c>
      <c r="K755"/>
      <c r="L755"/>
      <c r="M755"/>
    </row>
    <row r="756" spans="1:13">
      <c r="A756" s="2" t="s">
        <v>162</v>
      </c>
      <c r="B756" t="s">
        <v>1786</v>
      </c>
      <c r="C756" t="s">
        <v>1766</v>
      </c>
      <c r="D756" t="s">
        <v>1771</v>
      </c>
      <c r="K756"/>
      <c r="L756"/>
      <c r="M756"/>
    </row>
    <row r="757" spans="1:13">
      <c r="A757" s="2" t="s">
        <v>131</v>
      </c>
      <c r="B757" t="s">
        <v>1786</v>
      </c>
      <c r="C757" t="s">
        <v>1766</v>
      </c>
      <c r="D757" t="s">
        <v>1770</v>
      </c>
      <c r="K757"/>
      <c r="L757"/>
      <c r="M757"/>
    </row>
    <row r="758" spans="1:13">
      <c r="A758" s="2" t="s">
        <v>134</v>
      </c>
      <c r="B758" t="s">
        <v>1786</v>
      </c>
      <c r="C758" t="s">
        <v>1766</v>
      </c>
      <c r="D758" t="s">
        <v>1770</v>
      </c>
      <c r="K758"/>
      <c r="L758"/>
      <c r="M758"/>
    </row>
    <row r="759" spans="1:13">
      <c r="A759" s="2" t="s">
        <v>119</v>
      </c>
      <c r="B759" t="s">
        <v>1786</v>
      </c>
      <c r="C759" t="s">
        <v>1766</v>
      </c>
      <c r="D759" t="s">
        <v>1768</v>
      </c>
      <c r="K759"/>
      <c r="L759"/>
      <c r="M759"/>
    </row>
    <row r="760" spans="1:13">
      <c r="A760" s="2" t="s">
        <v>168</v>
      </c>
      <c r="B760" t="s">
        <v>1786</v>
      </c>
      <c r="C760" t="s">
        <v>1760</v>
      </c>
      <c r="D760" t="s">
        <v>1770</v>
      </c>
      <c r="K760"/>
      <c r="L760"/>
      <c r="M760"/>
    </row>
    <row r="761" spans="1:13">
      <c r="A761" s="2" t="s">
        <v>141</v>
      </c>
      <c r="B761" t="s">
        <v>1786</v>
      </c>
      <c r="C761" t="s">
        <v>1766</v>
      </c>
      <c r="D761" t="s">
        <v>1768</v>
      </c>
      <c r="K761"/>
      <c r="L761"/>
      <c r="M761"/>
    </row>
    <row r="762" spans="1:13">
      <c r="A762" s="2" t="s">
        <v>180</v>
      </c>
      <c r="B762" t="s">
        <v>1786</v>
      </c>
      <c r="C762" t="s">
        <v>1766</v>
      </c>
      <c r="D762" t="s">
        <v>1768</v>
      </c>
      <c r="K762"/>
      <c r="L762"/>
      <c r="M762"/>
    </row>
    <row r="763" spans="1:13">
      <c r="A763" s="2" t="s">
        <v>135</v>
      </c>
      <c r="B763" t="s">
        <v>1786</v>
      </c>
      <c r="C763" t="s">
        <v>1766</v>
      </c>
      <c r="D763" t="s">
        <v>1768</v>
      </c>
      <c r="K763"/>
      <c r="L763"/>
      <c r="M763"/>
    </row>
    <row r="764" spans="1:13">
      <c r="A764" s="2" t="s">
        <v>620</v>
      </c>
      <c r="B764" t="s">
        <v>1786</v>
      </c>
      <c r="C764" t="s">
        <v>1766</v>
      </c>
      <c r="D764" t="s">
        <v>1770</v>
      </c>
      <c r="K764"/>
      <c r="L764"/>
      <c r="M764"/>
    </row>
    <row r="765" spans="1:13">
      <c r="A765" s="2" t="s">
        <v>98</v>
      </c>
      <c r="B765" t="s">
        <v>1786</v>
      </c>
      <c r="C765" t="s">
        <v>1766</v>
      </c>
      <c r="D765" t="s">
        <v>1768</v>
      </c>
      <c r="K765"/>
      <c r="L765"/>
      <c r="M765"/>
    </row>
    <row r="766" spans="1:13">
      <c r="A766" s="2" t="s">
        <v>124</v>
      </c>
      <c r="B766" t="s">
        <v>1786</v>
      </c>
      <c r="C766" t="s">
        <v>1766</v>
      </c>
      <c r="D766" t="s">
        <v>1768</v>
      </c>
      <c r="K766"/>
      <c r="L766"/>
      <c r="M766"/>
    </row>
    <row r="767" spans="1:13">
      <c r="A767" s="2" t="s">
        <v>99</v>
      </c>
      <c r="B767" t="s">
        <v>1786</v>
      </c>
      <c r="C767" t="s">
        <v>1766</v>
      </c>
      <c r="D767" t="s">
        <v>1770</v>
      </c>
      <c r="K767"/>
      <c r="L767"/>
      <c r="M767"/>
    </row>
    <row r="768" spans="1:13">
      <c r="A768" s="2" t="s">
        <v>92</v>
      </c>
      <c r="B768" t="s">
        <v>1786</v>
      </c>
      <c r="C768" t="s">
        <v>1766</v>
      </c>
      <c r="D768" t="s">
        <v>1770</v>
      </c>
      <c r="K768"/>
      <c r="L768"/>
      <c r="M768"/>
    </row>
    <row r="769" spans="1:13">
      <c r="A769" s="2" t="s">
        <v>97</v>
      </c>
      <c r="B769" t="s">
        <v>1786</v>
      </c>
      <c r="C769" t="s">
        <v>1766</v>
      </c>
      <c r="D769" t="s">
        <v>1770</v>
      </c>
      <c r="K769"/>
      <c r="L769"/>
      <c r="M769"/>
    </row>
    <row r="770" spans="1:13">
      <c r="A770" s="2" t="s">
        <v>152</v>
      </c>
      <c r="B770" t="s">
        <v>1786</v>
      </c>
      <c r="C770" t="s">
        <v>1766</v>
      </c>
      <c r="D770" t="s">
        <v>1770</v>
      </c>
      <c r="K770"/>
      <c r="L770"/>
      <c r="M770"/>
    </row>
    <row r="771" spans="1:13">
      <c r="A771" s="2" t="s">
        <v>107</v>
      </c>
      <c r="B771" t="s">
        <v>1786</v>
      </c>
      <c r="C771" t="s">
        <v>1766</v>
      </c>
      <c r="D771" t="s">
        <v>1768</v>
      </c>
      <c r="K771"/>
      <c r="L771"/>
      <c r="M771"/>
    </row>
    <row r="772" spans="1:13">
      <c r="A772" s="2" t="s">
        <v>108</v>
      </c>
      <c r="B772" t="s">
        <v>1786</v>
      </c>
      <c r="C772" t="s">
        <v>1766</v>
      </c>
      <c r="D772" t="s">
        <v>1770</v>
      </c>
      <c r="K772"/>
      <c r="L772"/>
      <c r="M772"/>
    </row>
    <row r="773" spans="1:13">
      <c r="A773" s="2" t="s">
        <v>127</v>
      </c>
      <c r="B773" t="s">
        <v>1786</v>
      </c>
      <c r="C773" t="s">
        <v>1766</v>
      </c>
      <c r="D773" t="s">
        <v>1768</v>
      </c>
      <c r="K773"/>
      <c r="L773"/>
      <c r="M773"/>
    </row>
    <row r="774" spans="1:13">
      <c r="A774" s="2" t="s">
        <v>112</v>
      </c>
      <c r="B774" t="s">
        <v>1786</v>
      </c>
      <c r="C774" t="s">
        <v>1766</v>
      </c>
      <c r="D774" t="s">
        <v>1768</v>
      </c>
      <c r="K774"/>
      <c r="L774"/>
      <c r="M774"/>
    </row>
    <row r="775" spans="1:13">
      <c r="A775" s="2" t="s">
        <v>118</v>
      </c>
      <c r="B775" t="s">
        <v>1786</v>
      </c>
      <c r="C775" t="s">
        <v>1766</v>
      </c>
      <c r="D775" t="s">
        <v>1768</v>
      </c>
      <c r="K775"/>
      <c r="L775"/>
      <c r="M775"/>
    </row>
    <row r="776" spans="1:13">
      <c r="A776" s="2" t="s">
        <v>114</v>
      </c>
      <c r="B776" t="s">
        <v>1786</v>
      </c>
      <c r="C776" t="s">
        <v>1766</v>
      </c>
      <c r="D776" t="s">
        <v>1768</v>
      </c>
      <c r="K776"/>
      <c r="L776"/>
      <c r="M776"/>
    </row>
    <row r="777" spans="1:13">
      <c r="A777" s="2" t="s">
        <v>143</v>
      </c>
      <c r="B777" t="s">
        <v>1786</v>
      </c>
      <c r="C777" t="s">
        <v>1766</v>
      </c>
      <c r="D777" t="s">
        <v>1770</v>
      </c>
      <c r="K777"/>
      <c r="L777"/>
      <c r="M777"/>
    </row>
    <row r="778" spans="1:13">
      <c r="A778" s="2" t="s">
        <v>160</v>
      </c>
      <c r="B778" t="s">
        <v>1786</v>
      </c>
      <c r="C778" t="s">
        <v>1766</v>
      </c>
      <c r="D778" t="s">
        <v>1768</v>
      </c>
      <c r="K778"/>
      <c r="L778"/>
      <c r="M778"/>
    </row>
    <row r="779" spans="1:13">
      <c r="A779" s="2" t="s">
        <v>94</v>
      </c>
      <c r="B779" t="s">
        <v>1786</v>
      </c>
      <c r="C779" t="s">
        <v>1766</v>
      </c>
      <c r="D779" t="s">
        <v>1768</v>
      </c>
      <c r="K779"/>
      <c r="L779"/>
      <c r="M779"/>
    </row>
    <row r="780" spans="1:13">
      <c r="A780" s="2" t="s">
        <v>91</v>
      </c>
      <c r="B780" t="s">
        <v>1786</v>
      </c>
      <c r="C780" t="s">
        <v>1766</v>
      </c>
      <c r="D780" t="s">
        <v>1768</v>
      </c>
      <c r="K780"/>
      <c r="L780"/>
      <c r="M780"/>
    </row>
    <row r="781" spans="1:13">
      <c r="A781" s="2" t="s">
        <v>93</v>
      </c>
      <c r="B781" t="s">
        <v>1786</v>
      </c>
      <c r="C781" t="s">
        <v>1766</v>
      </c>
      <c r="D781" t="s">
        <v>1768</v>
      </c>
      <c r="K781"/>
      <c r="L781"/>
      <c r="M781"/>
    </row>
    <row r="782" spans="1:13">
      <c r="A782" s="2" t="s">
        <v>110</v>
      </c>
      <c r="B782" t="s">
        <v>1786</v>
      </c>
      <c r="C782" t="s">
        <v>1766</v>
      </c>
      <c r="D782" t="s">
        <v>1768</v>
      </c>
      <c r="K782"/>
      <c r="L782"/>
      <c r="M782"/>
    </row>
    <row r="783" spans="1:13">
      <c r="A783" s="2" t="s">
        <v>129</v>
      </c>
      <c r="B783" t="s">
        <v>1786</v>
      </c>
      <c r="C783" t="s">
        <v>1766</v>
      </c>
      <c r="D783" t="s">
        <v>1768</v>
      </c>
      <c r="K783"/>
      <c r="L783"/>
      <c r="M783"/>
    </row>
    <row r="784" spans="1:13">
      <c r="A784" s="2" t="s">
        <v>190</v>
      </c>
      <c r="B784" t="s">
        <v>1786</v>
      </c>
      <c r="C784" t="s">
        <v>1766</v>
      </c>
      <c r="D784" t="s">
        <v>1768</v>
      </c>
      <c r="K784"/>
      <c r="L784"/>
      <c r="M784"/>
    </row>
    <row r="785" spans="1:13">
      <c r="A785" s="2" t="s">
        <v>139</v>
      </c>
      <c r="B785" t="s">
        <v>1786</v>
      </c>
      <c r="C785" t="s">
        <v>1766</v>
      </c>
      <c r="D785" t="s">
        <v>1768</v>
      </c>
      <c r="K785"/>
      <c r="L785"/>
      <c r="M785"/>
    </row>
    <row r="786" spans="1:13">
      <c r="A786" s="2" t="s">
        <v>147</v>
      </c>
      <c r="B786" t="s">
        <v>1786</v>
      </c>
      <c r="C786" t="s">
        <v>1766</v>
      </c>
      <c r="D786" t="s">
        <v>1768</v>
      </c>
      <c r="K786"/>
      <c r="L786"/>
      <c r="M786"/>
    </row>
    <row r="787" spans="1:13">
      <c r="A787" s="2" t="s">
        <v>188</v>
      </c>
      <c r="B787" t="s">
        <v>1786</v>
      </c>
      <c r="C787" t="s">
        <v>1766</v>
      </c>
      <c r="D787" t="s">
        <v>1768</v>
      </c>
      <c r="K787"/>
      <c r="L787"/>
      <c r="M787"/>
    </row>
    <row r="788" spans="1:13">
      <c r="A788" s="2" t="s">
        <v>125</v>
      </c>
      <c r="B788" t="s">
        <v>1786</v>
      </c>
      <c r="C788" t="s">
        <v>1766</v>
      </c>
      <c r="D788" t="s">
        <v>1774</v>
      </c>
      <c r="K788"/>
      <c r="L788"/>
      <c r="M788"/>
    </row>
    <row r="789" spans="1:13">
      <c r="A789" s="2" t="s">
        <v>167</v>
      </c>
      <c r="B789" t="s">
        <v>1786</v>
      </c>
      <c r="C789" t="s">
        <v>1760</v>
      </c>
      <c r="D789" t="s">
        <v>1770</v>
      </c>
      <c r="K789"/>
      <c r="L789"/>
      <c r="M789"/>
    </row>
    <row r="790" spans="1:13">
      <c r="A790" s="2" t="s">
        <v>1790</v>
      </c>
      <c r="B790" t="s">
        <v>1786</v>
      </c>
      <c r="C790" t="s">
        <v>1759</v>
      </c>
      <c r="D790" t="s">
        <v>1768</v>
      </c>
    </row>
    <row r="791" spans="1:13">
      <c r="A791" s="2" t="s">
        <v>1793</v>
      </c>
      <c r="B791" t="s">
        <v>1786</v>
      </c>
      <c r="C791" t="s">
        <v>1766</v>
      </c>
      <c r="D791" t="s">
        <v>1768</v>
      </c>
    </row>
    <row r="792" spans="1:13">
      <c r="A792" s="2" t="s">
        <v>2892</v>
      </c>
      <c r="B792" t="s">
        <v>1787</v>
      </c>
      <c r="C792" t="s">
        <v>1758</v>
      </c>
      <c r="D792" t="s">
        <v>1769</v>
      </c>
    </row>
  </sheetData>
  <conditionalFormatting sqref="B1:C1048576">
    <cfRule type="containsText" dxfId="0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24DFE-8DD9-4D72-9A1A-EEEF52044CB5}">
  <dimension ref="A1:J793"/>
  <sheetViews>
    <sheetView zoomScaleNormal="100" workbookViewId="0">
      <pane xSplit="1" ySplit="1" topLeftCell="B768" activePane="bottomRight" state="frozen"/>
      <selection activeCell="Q19" sqref="Q19"/>
      <selection pane="topRight" activeCell="Q19" sqref="Q19"/>
      <selection pane="bottomLeft" activeCell="Q19" sqref="Q19"/>
      <selection pane="bottomRight" activeCell="B793" sqref="B793"/>
    </sheetView>
  </sheetViews>
  <sheetFormatPr defaultRowHeight="14.6"/>
  <cols>
    <col min="1" max="1" width="50.765625" bestFit="1" customWidth="1"/>
    <col min="2" max="2" width="18.61328125" bestFit="1" customWidth="1"/>
    <col min="5" max="6" width="18.23046875" bestFit="1" customWidth="1"/>
    <col min="7" max="7" width="22.3046875" bestFit="1" customWidth="1"/>
    <col min="8" max="8" width="19.15234375" style="10" bestFit="1" customWidth="1"/>
    <col min="9" max="9" width="17.4609375" style="11" bestFit="1" customWidth="1"/>
    <col min="10" max="10" width="10" style="12" bestFit="1" customWidth="1"/>
    <col min="11" max="11" width="24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0" s="1" customFormat="1" ht="44.15" customHeight="1">
      <c r="A1" s="1" t="s">
        <v>0</v>
      </c>
      <c r="B1" s="1" t="s">
        <v>2316</v>
      </c>
    </row>
    <row r="2" spans="1:10">
      <c r="A2" s="2" t="s">
        <v>531</v>
      </c>
      <c r="B2" s="2" t="str" cm="1">
        <f t="array" ref="B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2"/>
      <c r="I2"/>
      <c r="J2"/>
    </row>
    <row r="3" spans="1:10">
      <c r="A3" s="2" t="s">
        <v>300</v>
      </c>
      <c r="B3" s="2" t="str" cm="1">
        <f t="array" ref="B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"/>
      <c r="I3"/>
      <c r="J3"/>
    </row>
    <row r="4" spans="1:10">
      <c r="A4" s="2" t="s">
        <v>266</v>
      </c>
      <c r="B4" s="2" t="str" cm="1">
        <f t="array" ref="B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"/>
      <c r="I4"/>
      <c r="J4"/>
    </row>
    <row r="5" spans="1:10">
      <c r="A5" s="2" t="s">
        <v>291</v>
      </c>
      <c r="B5" s="2" t="str" cm="1">
        <f t="array" ref="B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5"/>
      <c r="I5"/>
      <c r="J5"/>
    </row>
    <row r="6" spans="1:10">
      <c r="A6" s="2" t="s">
        <v>247</v>
      </c>
      <c r="B6" s="2" t="str" cm="1">
        <f t="array" ref="B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"/>
      <c r="I6"/>
      <c r="J6"/>
    </row>
    <row r="7" spans="1:10">
      <c r="A7" s="2" t="s">
        <v>230</v>
      </c>
      <c r="B7" s="2" t="str" cm="1">
        <f t="array" ref="B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"/>
      <c r="I7"/>
      <c r="J7"/>
    </row>
    <row r="8" spans="1:10">
      <c r="A8" s="2" t="s">
        <v>297</v>
      </c>
      <c r="B8" s="2" t="str" cm="1">
        <f t="array" ref="B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"/>
      <c r="I8"/>
      <c r="J8"/>
    </row>
    <row r="9" spans="1:10">
      <c r="A9" s="2" t="s">
        <v>298</v>
      </c>
      <c r="B9" s="2" t="str" cm="1">
        <f t="array" ref="B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"/>
      <c r="I9"/>
      <c r="J9"/>
    </row>
    <row r="10" spans="1:10">
      <c r="A10" s="2" t="s">
        <v>244</v>
      </c>
      <c r="B10" s="2" t="str" cm="1">
        <f t="array" ref="B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"/>
      <c r="I10"/>
      <c r="J10"/>
    </row>
    <row r="11" spans="1:10">
      <c r="A11" s="2" t="s">
        <v>232</v>
      </c>
      <c r="B11" s="2" t="str" cm="1">
        <f t="array" ref="B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"/>
      <c r="I11"/>
      <c r="J11"/>
    </row>
    <row r="12" spans="1:10">
      <c r="A12" s="2" t="s">
        <v>274</v>
      </c>
      <c r="B12" s="2" t="str" cm="1">
        <f t="array" ref="B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"/>
      <c r="I12"/>
      <c r="J12"/>
    </row>
    <row r="13" spans="1:10">
      <c r="A13" s="2" t="s">
        <v>201</v>
      </c>
      <c r="B13" s="2" t="str" cm="1">
        <f t="array" ref="B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3"/>
      <c r="I13"/>
      <c r="J13"/>
    </row>
    <row r="14" spans="1:10">
      <c r="A14" s="2" t="s">
        <v>321</v>
      </c>
      <c r="B14" s="2" t="str" cm="1">
        <f t="array" ref="B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4"/>
      <c r="I14"/>
      <c r="J14"/>
    </row>
    <row r="15" spans="1:10">
      <c r="A15" s="2" t="s">
        <v>280</v>
      </c>
      <c r="B15" s="2" t="str" cm="1">
        <f t="array" ref="B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5"/>
      <c r="I15"/>
      <c r="J15"/>
    </row>
    <row r="16" spans="1:10">
      <c r="A16" s="2" t="s">
        <v>319</v>
      </c>
      <c r="B16" s="2" t="str" cm="1">
        <f t="array" ref="B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6"/>
      <c r="I16"/>
      <c r="J16"/>
    </row>
    <row r="17" spans="1:10">
      <c r="A17" s="2" t="s">
        <v>235</v>
      </c>
      <c r="B17" s="2" t="str" cm="1">
        <f t="array" ref="B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7"/>
      <c r="I17"/>
      <c r="J17"/>
    </row>
    <row r="18" spans="1:10">
      <c r="A18" s="2" t="s">
        <v>264</v>
      </c>
      <c r="B18" s="2" t="str" cm="1">
        <f t="array" ref="B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8"/>
      <c r="I18"/>
      <c r="J18"/>
    </row>
    <row r="19" spans="1:10">
      <c r="A19" s="2" t="s">
        <v>270</v>
      </c>
      <c r="B19" s="2" t="str" cm="1">
        <f t="array" ref="B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"/>
      <c r="I19"/>
      <c r="J19"/>
    </row>
    <row r="20" spans="1:10">
      <c r="A20" s="2" t="s">
        <v>282</v>
      </c>
      <c r="B20" s="2" t="str" cm="1">
        <f t="array" ref="B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"/>
      <c r="I20"/>
      <c r="J20"/>
    </row>
    <row r="21" spans="1:10">
      <c r="A21" s="2" t="s">
        <v>211</v>
      </c>
      <c r="B21" s="2" t="str" cm="1">
        <f t="array" ref="B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"/>
      <c r="I21"/>
      <c r="J21"/>
    </row>
    <row r="22" spans="1:10">
      <c r="A22" s="2" t="s">
        <v>306</v>
      </c>
      <c r="B22" s="2" t="str" cm="1">
        <f t="array" ref="B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2"/>
      <c r="I22"/>
      <c r="J22"/>
    </row>
    <row r="23" spans="1:10">
      <c r="A23" s="2" t="s">
        <v>225</v>
      </c>
      <c r="B23" s="2" t="str" cm="1">
        <f t="array" ref="B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"/>
      <c r="I23"/>
      <c r="J23"/>
    </row>
    <row r="24" spans="1:10">
      <c r="A24" s="2" t="s">
        <v>248</v>
      </c>
      <c r="B24" s="2" t="str" cm="1">
        <f t="array" ref="B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"/>
      <c r="I24"/>
      <c r="J24"/>
    </row>
    <row r="25" spans="1:10">
      <c r="A25" s="2" t="s">
        <v>216</v>
      </c>
      <c r="B25" s="2" t="str" cm="1">
        <f t="array" ref="B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5"/>
      <c r="I25"/>
      <c r="J25"/>
    </row>
    <row r="26" spans="1:10">
      <c r="A26" s="2" t="s">
        <v>222</v>
      </c>
      <c r="B26" s="2" t="str" cm="1">
        <f t="array" ref="B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"/>
      <c r="I26"/>
      <c r="J26"/>
    </row>
    <row r="27" spans="1:10">
      <c r="A27" s="2" t="s">
        <v>292</v>
      </c>
      <c r="B27" s="2" t="str" cm="1">
        <f t="array" ref="B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"/>
      <c r="I27"/>
      <c r="J27"/>
    </row>
    <row r="28" spans="1:10">
      <c r="A28" s="2" t="s">
        <v>268</v>
      </c>
      <c r="B28" s="2" t="str" cm="1">
        <f t="array" ref="B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8"/>
      <c r="I28"/>
      <c r="J28"/>
    </row>
    <row r="29" spans="1:10">
      <c r="A29" s="2" t="s">
        <v>205</v>
      </c>
      <c r="B29" s="2" t="str" cm="1">
        <f t="array" ref="B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"/>
      <c r="I29"/>
      <c r="J29"/>
    </row>
    <row r="30" spans="1:10">
      <c r="A30" s="2" t="s">
        <v>295</v>
      </c>
      <c r="B30" s="2" t="str" cm="1">
        <f t="array" ref="B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"/>
      <c r="I30"/>
      <c r="J30"/>
    </row>
    <row r="31" spans="1:10">
      <c r="A31" s="2" t="s">
        <v>223</v>
      </c>
      <c r="B31" s="2" t="str" cm="1">
        <f t="array" ref="B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1"/>
      <c r="I31"/>
      <c r="J31"/>
    </row>
    <row r="32" spans="1:10">
      <c r="A32" s="2" t="s">
        <v>259</v>
      </c>
      <c r="B32" s="2" t="str" cm="1">
        <f t="array" ref="B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2"/>
      <c r="I32"/>
      <c r="J32"/>
    </row>
    <row r="33" spans="1:10">
      <c r="A33" s="2" t="s">
        <v>238</v>
      </c>
      <c r="B33" s="2" t="str" cm="1">
        <f t="array" ref="B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3"/>
      <c r="I33"/>
      <c r="J33"/>
    </row>
    <row r="34" spans="1:10">
      <c r="A34" s="2" t="s">
        <v>212</v>
      </c>
      <c r="B34" s="2" t="str" cm="1">
        <f t="array" ref="B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4"/>
      <c r="I34"/>
      <c r="J34"/>
    </row>
    <row r="35" spans="1:10">
      <c r="A35" s="2" t="s">
        <v>209</v>
      </c>
      <c r="B35" s="2" t="str" cm="1">
        <f t="array" ref="B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5"/>
      <c r="I35"/>
      <c r="J35"/>
    </row>
    <row r="36" spans="1:10">
      <c r="A36" s="2" t="s">
        <v>288</v>
      </c>
      <c r="B36" s="2" t="str" cm="1">
        <f t="array" ref="B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6"/>
      <c r="I36"/>
      <c r="J36"/>
    </row>
    <row r="37" spans="1:10">
      <c r="A37" s="2" t="s">
        <v>213</v>
      </c>
      <c r="B37" s="2" t="str" cm="1">
        <f t="array" ref="B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7"/>
      <c r="I37"/>
      <c r="J37"/>
    </row>
    <row r="38" spans="1:10">
      <c r="A38" s="2" t="s">
        <v>293</v>
      </c>
      <c r="B38" s="2" t="str" cm="1">
        <f t="array" ref="B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8"/>
      <c r="I38"/>
      <c r="J38"/>
    </row>
    <row r="39" spans="1:10">
      <c r="A39" s="2" t="s">
        <v>279</v>
      </c>
      <c r="B39" s="2" t="str" cm="1">
        <f t="array" ref="B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9"/>
      <c r="I39"/>
      <c r="J39"/>
    </row>
    <row r="40" spans="1:10">
      <c r="A40" s="2" t="s">
        <v>239</v>
      </c>
      <c r="B40" s="2" t="str" cm="1">
        <f t="array" ref="B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0"/>
      <c r="I40"/>
      <c r="J40"/>
    </row>
    <row r="41" spans="1:10">
      <c r="A41" s="2" t="s">
        <v>253</v>
      </c>
      <c r="B41" s="2" t="str" cm="1">
        <f t="array" ref="B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41"/>
      <c r="I41"/>
      <c r="J41"/>
    </row>
    <row r="42" spans="1:10">
      <c r="A42" s="2" t="s">
        <v>256</v>
      </c>
      <c r="B42" s="2" t="str" cm="1">
        <f t="array" ref="B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2"/>
      <c r="I42"/>
      <c r="J42"/>
    </row>
    <row r="43" spans="1:10">
      <c r="A43" s="2" t="s">
        <v>236</v>
      </c>
      <c r="B43" s="2" t="str" cm="1">
        <f t="array" ref="B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3"/>
      <c r="I43"/>
      <c r="J43"/>
    </row>
    <row r="44" spans="1:10">
      <c r="A44" s="2" t="s">
        <v>219</v>
      </c>
      <c r="B44" s="2" t="str" cm="1">
        <f t="array" ref="B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4"/>
      <c r="I44"/>
      <c r="J44"/>
    </row>
    <row r="45" spans="1:10">
      <c r="A45" s="2" t="s">
        <v>226</v>
      </c>
      <c r="B45" s="2" t="str" cm="1">
        <f t="array" ref="B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5"/>
      <c r="I45"/>
      <c r="J45"/>
    </row>
    <row r="46" spans="1:10">
      <c r="A46" s="2" t="s">
        <v>316</v>
      </c>
      <c r="B46" s="2" t="str" cm="1">
        <f t="array" ref="B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6"/>
      <c r="I46"/>
      <c r="J46"/>
    </row>
    <row r="47" spans="1:10">
      <c r="A47" s="2" t="s">
        <v>233</v>
      </c>
      <c r="B47" s="2" t="str" cm="1">
        <f t="array" ref="B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7"/>
      <c r="I47"/>
      <c r="J47"/>
    </row>
    <row r="48" spans="1:10">
      <c r="A48" s="2" t="s">
        <v>302</v>
      </c>
      <c r="B48" s="2" t="str" cm="1">
        <f t="array" ref="B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8"/>
      <c r="I48"/>
      <c r="J48"/>
    </row>
    <row r="49" spans="1:10">
      <c r="A49" s="2" t="s">
        <v>220</v>
      </c>
      <c r="B49" s="2" t="str" cm="1">
        <f t="array" ref="B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9"/>
      <c r="I49"/>
      <c r="J49"/>
    </row>
    <row r="50" spans="1:10">
      <c r="A50" s="2" t="s">
        <v>242</v>
      </c>
      <c r="B50" s="2" t="str" cm="1">
        <f t="array" ref="B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0"/>
      <c r="I50"/>
      <c r="J50"/>
    </row>
    <row r="51" spans="1:10">
      <c r="A51" s="2" t="s">
        <v>286</v>
      </c>
      <c r="B51" s="2" t="str" cm="1">
        <f t="array" ref="B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1"/>
      <c r="I51"/>
      <c r="J51"/>
    </row>
    <row r="52" spans="1:10">
      <c r="A52" s="2" t="s">
        <v>314</v>
      </c>
      <c r="B52" s="2" t="str" cm="1">
        <f t="array" ref="B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2"/>
      <c r="I52"/>
      <c r="J52"/>
    </row>
    <row r="53" spans="1:10">
      <c r="A53" s="2" t="s">
        <v>217</v>
      </c>
      <c r="B53" s="2" t="str" cm="1">
        <f t="array" ref="B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3"/>
      <c r="I53"/>
      <c r="J53"/>
    </row>
    <row r="54" spans="1:10">
      <c r="A54" s="2" t="s">
        <v>254</v>
      </c>
      <c r="B54" s="2" t="str" cm="1">
        <f t="array" ref="B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4"/>
      <c r="I54"/>
      <c r="J54"/>
    </row>
    <row r="55" spans="1:10">
      <c r="A55" s="2" t="s">
        <v>199</v>
      </c>
      <c r="B55" s="2" t="str" cm="1">
        <f t="array" ref="B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5"/>
      <c r="I55"/>
      <c r="J55"/>
    </row>
    <row r="56" spans="1:10">
      <c r="A56" s="2" t="s">
        <v>196</v>
      </c>
      <c r="B56" s="2" t="str" cm="1">
        <f t="array" ref="B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6"/>
      <c r="I56"/>
      <c r="J56"/>
    </row>
    <row r="57" spans="1:10">
      <c r="A57" s="2" t="s">
        <v>257</v>
      </c>
      <c r="B57" s="2" t="str" cm="1">
        <f t="array" ref="B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7"/>
      <c r="I57"/>
      <c r="J57"/>
    </row>
    <row r="58" spans="1:10">
      <c r="A58" s="2" t="s">
        <v>215</v>
      </c>
      <c r="B58" s="2" t="str" cm="1">
        <f t="array" ref="B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8"/>
      <c r="I58"/>
      <c r="J58"/>
    </row>
    <row r="59" spans="1:10">
      <c r="A59" s="2" t="s">
        <v>214</v>
      </c>
      <c r="B59" s="2" t="str" cm="1">
        <f t="array" ref="B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9"/>
      <c r="I59"/>
      <c r="J59"/>
    </row>
    <row r="60" spans="1:10">
      <c r="A60" s="2" t="s">
        <v>227</v>
      </c>
      <c r="B60" s="2" t="str" cm="1">
        <f t="array" ref="B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0"/>
      <c r="I60"/>
      <c r="J60"/>
    </row>
    <row r="61" spans="1:10">
      <c r="A61" s="2" t="s">
        <v>290</v>
      </c>
      <c r="B61" s="2" t="str" cm="1">
        <f t="array" ref="B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1"/>
      <c r="I61"/>
      <c r="J61"/>
    </row>
    <row r="62" spans="1:10">
      <c r="A62" s="2" t="s">
        <v>251</v>
      </c>
      <c r="B62" s="2" t="str" cm="1">
        <f t="array" ref="B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2"/>
      <c r="I62"/>
      <c r="J62"/>
    </row>
    <row r="63" spans="1:10">
      <c r="A63" s="2" t="s">
        <v>272</v>
      </c>
      <c r="B63" s="2" t="str" cm="1">
        <f t="array" ref="B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3"/>
      <c r="I63"/>
      <c r="J63"/>
    </row>
    <row r="64" spans="1:10">
      <c r="A64" s="2" t="s">
        <v>267</v>
      </c>
      <c r="B64" s="2" t="str" cm="1">
        <f t="array" ref="B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4"/>
      <c r="I64"/>
      <c r="J64"/>
    </row>
    <row r="65" spans="1:10">
      <c r="A65" s="2" t="s">
        <v>284</v>
      </c>
      <c r="B65" s="2" t="str" cm="1">
        <f t="array" ref="B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5"/>
      <c r="I65"/>
      <c r="J65"/>
    </row>
    <row r="66" spans="1:10">
      <c r="A66" s="2" t="s">
        <v>287</v>
      </c>
      <c r="B66" s="2" t="str" cm="1">
        <f t="array" ref="B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6"/>
      <c r="I66"/>
      <c r="J66"/>
    </row>
    <row r="67" spans="1:10">
      <c r="A67" s="2" t="s">
        <v>311</v>
      </c>
      <c r="B67" s="2" t="str" cm="1">
        <f t="array" ref="B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7"/>
      <c r="I67"/>
      <c r="J67"/>
    </row>
    <row r="68" spans="1:10">
      <c r="A68" s="2" t="s">
        <v>273</v>
      </c>
      <c r="B68" s="2" t="str" cm="1">
        <f t="array" ref="B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"/>
      <c r="I68"/>
      <c r="J68"/>
    </row>
    <row r="69" spans="1:10">
      <c r="A69" s="2" t="s">
        <v>277</v>
      </c>
      <c r="B69" s="2" t="str" cm="1">
        <f t="array" ref="B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"/>
      <c r="I69"/>
      <c r="J69"/>
    </row>
    <row r="70" spans="1:10">
      <c r="A70" s="2" t="s">
        <v>626</v>
      </c>
      <c r="B70" s="2" t="str" cm="1">
        <f t="array" ref="B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"/>
      <c r="I70"/>
      <c r="J70"/>
    </row>
    <row r="71" spans="1:10">
      <c r="A71" s="2" t="s">
        <v>210</v>
      </c>
      <c r="B71" s="2" t="str" cm="1">
        <f t="array" ref="B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1"/>
      <c r="I71"/>
      <c r="J71"/>
    </row>
    <row r="72" spans="1:10">
      <c r="A72" s="2" t="s">
        <v>269</v>
      </c>
      <c r="B72" s="2" t="str" cm="1">
        <f t="array" ref="B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2"/>
      <c r="I72"/>
      <c r="J72"/>
    </row>
    <row r="73" spans="1:10">
      <c r="A73" s="2" t="s">
        <v>304</v>
      </c>
      <c r="B73" s="2" t="str" cm="1">
        <f t="array" ref="B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"/>
      <c r="I73"/>
      <c r="J73"/>
    </row>
    <row r="74" spans="1:10">
      <c r="A74" s="2" t="s">
        <v>198</v>
      </c>
      <c r="B74" s="2" t="str" cm="1">
        <f t="array" ref="B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"/>
      <c r="I74"/>
      <c r="J74"/>
    </row>
    <row r="75" spans="1:10">
      <c r="A75" s="2" t="s">
        <v>206</v>
      </c>
      <c r="B75" s="2" t="str" cm="1">
        <f t="array" ref="B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"/>
      <c r="I75"/>
      <c r="J75"/>
    </row>
    <row r="76" spans="1:10">
      <c r="A76" s="2" t="s">
        <v>315</v>
      </c>
      <c r="B76" s="2" t="str" cm="1">
        <f t="array" ref="B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"/>
      <c r="I76"/>
      <c r="J76"/>
    </row>
    <row r="77" spans="1:10">
      <c r="A77" s="2" t="s">
        <v>320</v>
      </c>
      <c r="B77" s="2" t="str" cm="1">
        <f t="array" ref="B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"/>
      <c r="I77"/>
      <c r="J77"/>
    </row>
    <row r="78" spans="1:10">
      <c r="A78" s="2" t="s">
        <v>278</v>
      </c>
      <c r="B78" s="2" t="str" cm="1">
        <f t="array" ref="B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"/>
      <c r="I78"/>
      <c r="J78"/>
    </row>
    <row r="79" spans="1:10">
      <c r="A79" s="2" t="s">
        <v>240</v>
      </c>
      <c r="B79" s="2" t="str" cm="1">
        <f t="array" ref="B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9"/>
      <c r="I79"/>
      <c r="J79"/>
    </row>
    <row r="80" spans="1:10">
      <c r="A80" s="2" t="s">
        <v>294</v>
      </c>
      <c r="B80" s="2" t="str" cm="1">
        <f t="array" ref="B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0"/>
      <c r="I80"/>
      <c r="J80"/>
    </row>
    <row r="81" spans="1:10">
      <c r="A81" s="2" t="s">
        <v>296</v>
      </c>
      <c r="B81" s="2" t="str" cm="1">
        <f t="array" ref="B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81"/>
      <c r="I81"/>
      <c r="J81"/>
    </row>
    <row r="82" spans="1:10">
      <c r="A82" s="2" t="s">
        <v>307</v>
      </c>
      <c r="B82" s="2" t="str" cm="1">
        <f t="array" ref="B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2"/>
      <c r="I82"/>
      <c r="J82"/>
    </row>
    <row r="83" spans="1:10">
      <c r="A83" s="2" t="s">
        <v>313</v>
      </c>
      <c r="B83" s="2" t="str" cm="1">
        <f t="array" ref="B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3"/>
      <c r="I83"/>
      <c r="J83"/>
    </row>
    <row r="84" spans="1:10">
      <c r="A84" s="2" t="s">
        <v>241</v>
      </c>
      <c r="B84" s="2" t="str" cm="1">
        <f t="array" ref="B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4"/>
      <c r="I84"/>
      <c r="J84"/>
    </row>
    <row r="85" spans="1:10">
      <c r="A85" s="2" t="s">
        <v>221</v>
      </c>
      <c r="B85" s="2" t="str" cm="1">
        <f t="array" ref="B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5"/>
      <c r="I85"/>
      <c r="J85"/>
    </row>
    <row r="86" spans="1:10">
      <c r="A86" s="2" t="s">
        <v>229</v>
      </c>
      <c r="B86" s="2" t="str" cm="1">
        <f t="array" ref="B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6"/>
      <c r="I86"/>
      <c r="J86"/>
    </row>
    <row r="87" spans="1:10">
      <c r="A87" s="2" t="s">
        <v>312</v>
      </c>
      <c r="B87" s="2" t="str" cm="1">
        <f t="array" ref="B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7"/>
      <c r="I87"/>
      <c r="J87"/>
    </row>
    <row r="88" spans="1:10">
      <c r="A88" s="2" t="s">
        <v>258</v>
      </c>
      <c r="B88" s="2" t="str" cm="1">
        <f t="array" ref="B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8"/>
      <c r="I88"/>
      <c r="J88"/>
    </row>
    <row r="89" spans="1:10">
      <c r="A89" s="2" t="s">
        <v>255</v>
      </c>
      <c r="B89" s="2" t="str" cm="1">
        <f t="array" ref="B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89"/>
      <c r="I89"/>
      <c r="J89"/>
    </row>
    <row r="90" spans="1:10">
      <c r="A90" s="2" t="s">
        <v>231</v>
      </c>
      <c r="B90" s="2" t="str" cm="1">
        <f t="array" ref="B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0"/>
      <c r="I90"/>
      <c r="J90"/>
    </row>
    <row r="91" spans="1:10">
      <c r="A91" s="2" t="s">
        <v>224</v>
      </c>
      <c r="B91" s="2" t="str" cm="1">
        <f t="array" ref="B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91"/>
      <c r="I91"/>
      <c r="J91"/>
    </row>
    <row r="92" spans="1:10">
      <c r="A92" s="2" t="s">
        <v>243</v>
      </c>
      <c r="B92" s="2" t="str" cm="1">
        <f t="array" ref="B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92"/>
      <c r="I92"/>
      <c r="J92"/>
    </row>
    <row r="93" spans="1:10">
      <c r="A93" s="2" t="s">
        <v>283</v>
      </c>
      <c r="B93" s="2" t="str" cm="1">
        <f t="array" ref="B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93"/>
      <c r="I93"/>
      <c r="J93"/>
    </row>
    <row r="94" spans="1:10">
      <c r="A94" s="2" t="s">
        <v>310</v>
      </c>
      <c r="B94" s="2" t="str" cm="1">
        <f t="array" ref="B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4"/>
      <c r="I94"/>
      <c r="J94"/>
    </row>
    <row r="95" spans="1:10">
      <c r="A95" s="2" t="s">
        <v>317</v>
      </c>
      <c r="B95" s="2" t="str" cm="1">
        <f t="array" ref="B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5"/>
      <c r="I95"/>
      <c r="J95"/>
    </row>
    <row r="96" spans="1:10">
      <c r="A96" s="2" t="s">
        <v>299</v>
      </c>
      <c r="B96" s="2" t="str" cm="1">
        <f t="array" ref="B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6"/>
      <c r="I96"/>
      <c r="J96"/>
    </row>
    <row r="97" spans="1:10">
      <c r="A97" s="2" t="s">
        <v>276</v>
      </c>
      <c r="B97" s="2" t="str" cm="1">
        <f t="array" ref="B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97"/>
      <c r="I97"/>
      <c r="J97"/>
    </row>
    <row r="98" spans="1:10">
      <c r="A98" s="2" t="s">
        <v>318</v>
      </c>
      <c r="B98" s="2" t="str" cm="1">
        <f t="array" ref="B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8"/>
      <c r="I98"/>
      <c r="J98"/>
    </row>
    <row r="99" spans="1:10">
      <c r="A99" s="2" t="s">
        <v>289</v>
      </c>
      <c r="B99" s="2" t="str" cm="1">
        <f t="array" ref="B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99"/>
      <c r="I99"/>
      <c r="J99"/>
    </row>
    <row r="100" spans="1:10">
      <c r="A100" s="2" t="s">
        <v>271</v>
      </c>
      <c r="B100" s="2" t="str" cm="1">
        <f t="array" ref="B1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0"/>
      <c r="I100"/>
      <c r="J100"/>
    </row>
    <row r="101" spans="1:10">
      <c r="A101" s="2" t="s">
        <v>237</v>
      </c>
      <c r="B101" s="2" t="str" cm="1">
        <f t="array" ref="B1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1"/>
      <c r="I101"/>
      <c r="J101"/>
    </row>
    <row r="102" spans="1:10">
      <c r="A102" s="2" t="s">
        <v>200</v>
      </c>
      <c r="B102" s="2" t="str" cm="1">
        <f t="array" ref="B1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2"/>
      <c r="I102"/>
      <c r="J102"/>
    </row>
    <row r="103" spans="1:10">
      <c r="A103" s="2" t="s">
        <v>301</v>
      </c>
      <c r="B103" s="2" t="str" cm="1">
        <f t="array" ref="B1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3"/>
      <c r="I103"/>
      <c r="J103"/>
    </row>
    <row r="104" spans="1:10">
      <c r="A104" s="2" t="s">
        <v>303</v>
      </c>
      <c r="B104" s="2" t="str" cm="1">
        <f t="array" ref="B1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4"/>
      <c r="I104"/>
      <c r="J104"/>
    </row>
    <row r="105" spans="1:10">
      <c r="A105" s="2" t="s">
        <v>246</v>
      </c>
      <c r="B105" s="2" t="str" cm="1">
        <f t="array" ref="B1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05"/>
      <c r="I105"/>
      <c r="J105"/>
    </row>
    <row r="106" spans="1:10">
      <c r="A106" s="2" t="s">
        <v>228</v>
      </c>
      <c r="B106" s="2" t="str" cm="1">
        <f t="array" ref="B1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6"/>
      <c r="I106"/>
      <c r="J106"/>
    </row>
    <row r="107" spans="1:10">
      <c r="A107" s="2" t="s">
        <v>281</v>
      </c>
      <c r="B107" s="2" t="str" cm="1">
        <f t="array" ref="B1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7"/>
      <c r="I107"/>
      <c r="J107"/>
    </row>
    <row r="108" spans="1:10">
      <c r="A108" s="2" t="s">
        <v>249</v>
      </c>
      <c r="B108" s="2" t="str" cm="1">
        <f t="array" ref="B1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8"/>
      <c r="I108"/>
      <c r="J108"/>
    </row>
    <row r="109" spans="1:10">
      <c r="A109" s="2" t="s">
        <v>250</v>
      </c>
      <c r="B109" s="2" t="str" cm="1">
        <f t="array" ref="B1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09"/>
      <c r="I109"/>
      <c r="J109"/>
    </row>
    <row r="110" spans="1:10">
      <c r="A110" s="2" t="s">
        <v>322</v>
      </c>
      <c r="B110" s="2" t="str" cm="1">
        <f t="array" ref="B1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10"/>
      <c r="I110"/>
      <c r="J110"/>
    </row>
    <row r="111" spans="1:10">
      <c r="A111" s="2" t="s">
        <v>263</v>
      </c>
      <c r="B111" s="2" t="str" cm="1">
        <f t="array" ref="B1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11"/>
      <c r="I111"/>
      <c r="J111"/>
    </row>
    <row r="112" spans="1:10">
      <c r="A112" s="2" t="s">
        <v>260</v>
      </c>
      <c r="B112" s="2" t="str" cm="1">
        <f t="array" ref="B1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12"/>
      <c r="I112"/>
      <c r="J112"/>
    </row>
    <row r="113" spans="1:10">
      <c r="A113" s="2" t="s">
        <v>309</v>
      </c>
      <c r="B113" s="2" t="str" cm="1">
        <f t="array" ref="B1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13"/>
      <c r="I113"/>
      <c r="J113"/>
    </row>
    <row r="114" spans="1:10">
      <c r="A114" s="2" t="s">
        <v>308</v>
      </c>
      <c r="B114" s="2" t="str" cm="1">
        <f t="array" ref="B1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14"/>
      <c r="I114"/>
      <c r="J114"/>
    </row>
    <row r="115" spans="1:10">
      <c r="A115" s="2" t="s">
        <v>305</v>
      </c>
      <c r="B115" s="2" t="str" cm="1">
        <f t="array" ref="B1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5"/>
      <c r="I115"/>
      <c r="J115"/>
    </row>
    <row r="116" spans="1:10">
      <c r="A116" s="2" t="s">
        <v>252</v>
      </c>
      <c r="B116" s="2" t="str" cm="1">
        <f t="array" ref="B1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16"/>
      <c r="I116"/>
      <c r="J116"/>
    </row>
    <row r="117" spans="1:10">
      <c r="A117" s="2" t="s">
        <v>208</v>
      </c>
      <c r="B117" s="2" t="str" cm="1">
        <f t="array" ref="B1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7"/>
      <c r="I117"/>
      <c r="J117"/>
    </row>
    <row r="118" spans="1:10">
      <c r="A118" s="2" t="s">
        <v>323</v>
      </c>
      <c r="B118" s="2" t="str" cm="1">
        <f t="array" ref="B1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18"/>
      <c r="I118"/>
      <c r="J118"/>
    </row>
    <row r="119" spans="1:10">
      <c r="A119" s="2" t="s">
        <v>218</v>
      </c>
      <c r="B119" s="2" t="str" cm="1">
        <f t="array" ref="B1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9"/>
      <c r="I119"/>
      <c r="J119"/>
    </row>
    <row r="120" spans="1:10">
      <c r="A120" s="2" t="s">
        <v>245</v>
      </c>
      <c r="B120" s="2" t="str" cm="1">
        <f t="array" ref="B1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0"/>
      <c r="I120"/>
      <c r="J120"/>
    </row>
    <row r="121" spans="1:10">
      <c r="A121" s="2" t="s">
        <v>936</v>
      </c>
      <c r="B121" s="2" t="str" cm="1">
        <f t="array" ref="B1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1"/>
      <c r="I121"/>
      <c r="J121"/>
    </row>
    <row r="122" spans="1:10">
      <c r="A122" s="2" t="s">
        <v>203</v>
      </c>
      <c r="B122" s="2" t="str" cm="1">
        <f t="array" ref="B1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2"/>
      <c r="I122"/>
      <c r="J122"/>
    </row>
    <row r="123" spans="1:10">
      <c r="A123" s="2" t="s">
        <v>197</v>
      </c>
      <c r="B123" s="2" t="str" cm="1">
        <f t="array" ref="B1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23"/>
      <c r="I123"/>
      <c r="J123"/>
    </row>
    <row r="124" spans="1:10">
      <c r="A124" s="2" t="s">
        <v>285</v>
      </c>
      <c r="B124" s="2" t="str" cm="1">
        <f t="array" ref="B1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4"/>
      <c r="I124"/>
      <c r="J124"/>
    </row>
    <row r="125" spans="1:10">
      <c r="A125" s="2" t="s">
        <v>262</v>
      </c>
      <c r="B125" s="2" t="str" cm="1">
        <f t="array" ref="B1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5"/>
      <c r="I125"/>
      <c r="J125"/>
    </row>
    <row r="126" spans="1:10">
      <c r="A126" s="2" t="s">
        <v>207</v>
      </c>
      <c r="B126" s="2" t="str" cm="1">
        <f t="array" ref="B1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6"/>
      <c r="I126"/>
      <c r="J126"/>
    </row>
    <row r="127" spans="1:10">
      <c r="A127" s="2" t="s">
        <v>265</v>
      </c>
      <c r="B127" s="2" t="str" cm="1">
        <f t="array" ref="B1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7"/>
      <c r="I127"/>
      <c r="J127"/>
    </row>
    <row r="128" spans="1:10">
      <c r="A128" s="2" t="s">
        <v>261</v>
      </c>
      <c r="B128" s="2" t="str" cm="1">
        <f t="array" ref="B1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8"/>
      <c r="I128"/>
      <c r="J128"/>
    </row>
    <row r="129" spans="1:10">
      <c r="A129" s="2" t="s">
        <v>234</v>
      </c>
      <c r="B129" s="2" t="str" cm="1">
        <f t="array" ref="B1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29"/>
      <c r="I129"/>
      <c r="J129"/>
    </row>
    <row r="130" spans="1:10">
      <c r="A130" s="2" t="s">
        <v>204</v>
      </c>
      <c r="B130" s="2" t="str" cm="1">
        <f t="array" ref="B1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30"/>
      <c r="I130"/>
      <c r="J130"/>
    </row>
    <row r="131" spans="1:10">
      <c r="A131" s="2" t="s">
        <v>202</v>
      </c>
      <c r="B131" s="2" t="str" cm="1">
        <f t="array" ref="B1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31"/>
      <c r="I131"/>
      <c r="J131"/>
    </row>
    <row r="132" spans="1:10">
      <c r="A132" s="2" t="s">
        <v>275</v>
      </c>
      <c r="B132" s="2" t="str" cm="1">
        <f t="array" ref="B1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32"/>
      <c r="I132"/>
      <c r="J132"/>
    </row>
    <row r="133" spans="1:10">
      <c r="A133" s="2" t="s">
        <v>521</v>
      </c>
      <c r="B133" s="2" t="str" cm="1">
        <f t="array" ref="B1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3"/>
      <c r="I133"/>
      <c r="J133"/>
    </row>
    <row r="134" spans="1:10">
      <c r="A134" s="2" t="s">
        <v>526</v>
      </c>
      <c r="B134" s="2" t="str" cm="1">
        <f t="array" ref="B1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4"/>
      <c r="I134"/>
      <c r="J134"/>
    </row>
    <row r="135" spans="1:10">
      <c r="A135" s="2" t="s">
        <v>498</v>
      </c>
      <c r="B135" s="2" t="str" cm="1">
        <f t="array" ref="B1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5"/>
      <c r="I135"/>
      <c r="J135"/>
    </row>
    <row r="136" spans="1:10">
      <c r="A136" s="2" t="s">
        <v>480</v>
      </c>
      <c r="B136" s="2" t="str" cm="1">
        <f t="array" ref="B1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36"/>
      <c r="I136"/>
      <c r="J136"/>
    </row>
    <row r="137" spans="1:10">
      <c r="A137" s="2" t="s">
        <v>509</v>
      </c>
      <c r="B137" s="2" t="str" cm="1">
        <f t="array" ref="B1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7"/>
      <c r="I137"/>
      <c r="J137"/>
    </row>
    <row r="138" spans="1:10">
      <c r="A138" s="2" t="s">
        <v>483</v>
      </c>
      <c r="B138" s="2" t="str" cm="1">
        <f t="array" ref="B1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8"/>
      <c r="I138"/>
      <c r="J138"/>
    </row>
    <row r="139" spans="1:10">
      <c r="A139" s="2" t="s">
        <v>524</v>
      </c>
      <c r="B139" s="2" t="str" cm="1">
        <f t="array" ref="B1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39"/>
      <c r="I139"/>
      <c r="J139"/>
    </row>
    <row r="140" spans="1:10">
      <c r="A140" s="2" t="s">
        <v>508</v>
      </c>
      <c r="B140" s="2" t="str" cm="1">
        <f t="array" ref="B1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0"/>
      <c r="I140"/>
      <c r="J140"/>
    </row>
    <row r="141" spans="1:10">
      <c r="A141" s="2" t="s">
        <v>497</v>
      </c>
      <c r="B141" s="2" t="str" cm="1">
        <f t="array" ref="B1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1"/>
      <c r="I141"/>
      <c r="J141"/>
    </row>
    <row r="142" spans="1:10">
      <c r="A142" s="2" t="s">
        <v>516</v>
      </c>
      <c r="B142" s="2" t="str" cm="1">
        <f t="array" ref="B1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2"/>
      <c r="I142"/>
      <c r="J142"/>
    </row>
    <row r="143" spans="1:10">
      <c r="A143" s="2" t="s">
        <v>514</v>
      </c>
      <c r="B143" s="2" t="str" cm="1">
        <f t="array" ref="B1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3"/>
      <c r="I143"/>
      <c r="J143"/>
    </row>
    <row r="144" spans="1:10">
      <c r="A144" s="2" t="s">
        <v>486</v>
      </c>
      <c r="B144" s="2" t="str" cm="1">
        <f t="array" ref="B1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4"/>
      <c r="I144"/>
      <c r="J144"/>
    </row>
    <row r="145" spans="1:10">
      <c r="A145" s="2" t="s">
        <v>525</v>
      </c>
      <c r="B145" s="2" t="str" cm="1">
        <f t="array" ref="B1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5"/>
      <c r="I145"/>
      <c r="J145"/>
    </row>
    <row r="146" spans="1:10">
      <c r="A146" s="2" t="s">
        <v>489</v>
      </c>
      <c r="B146" s="2" t="str" cm="1">
        <f t="array" ref="B1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46"/>
      <c r="I146"/>
      <c r="J146"/>
    </row>
    <row r="147" spans="1:10">
      <c r="A147" s="2" t="s">
        <v>513</v>
      </c>
      <c r="B147" s="2" t="str" cm="1">
        <f t="array" ref="B1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7"/>
      <c r="I147"/>
      <c r="J147"/>
    </row>
    <row r="148" spans="1:10">
      <c r="A148" s="2" t="s">
        <v>501</v>
      </c>
      <c r="B148" s="2" t="str" cm="1">
        <f t="array" ref="B1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8"/>
      <c r="I148"/>
      <c r="J148"/>
    </row>
    <row r="149" spans="1:10">
      <c r="A149" s="2" t="s">
        <v>504</v>
      </c>
      <c r="B149" s="2" t="str" cm="1">
        <f t="array" ref="B1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9"/>
      <c r="I149"/>
      <c r="J149"/>
    </row>
    <row r="150" spans="1:10">
      <c r="A150" s="2" t="s">
        <v>481</v>
      </c>
      <c r="B150" s="2" t="str" cm="1">
        <f t="array" ref="B1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0"/>
      <c r="I150"/>
      <c r="J150"/>
    </row>
    <row r="151" spans="1:10">
      <c r="A151" s="2" t="s">
        <v>495</v>
      </c>
      <c r="B151" s="2" t="str" cm="1">
        <f t="array" ref="B1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1"/>
      <c r="I151"/>
      <c r="J151"/>
    </row>
    <row r="152" spans="1:10">
      <c r="A152" s="2" t="s">
        <v>500</v>
      </c>
      <c r="B152" s="2" t="str" cm="1">
        <f t="array" ref="B1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2"/>
      <c r="I152"/>
      <c r="J152"/>
    </row>
    <row r="153" spans="1:10">
      <c r="A153" s="2" t="s">
        <v>518</v>
      </c>
      <c r="B153" s="2" t="str" cm="1">
        <f t="array" ref="B1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3"/>
      <c r="I153"/>
      <c r="J153"/>
    </row>
    <row r="154" spans="1:10">
      <c r="A154" s="2" t="s">
        <v>517</v>
      </c>
      <c r="B154" s="2" t="str" cm="1">
        <f t="array" ref="B1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4"/>
      <c r="I154"/>
      <c r="J154"/>
    </row>
    <row r="155" spans="1:10">
      <c r="A155" s="2" t="s">
        <v>493</v>
      </c>
      <c r="B155" s="2" t="str" cm="1">
        <f t="array" ref="B1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5"/>
      <c r="I155"/>
      <c r="J155"/>
    </row>
    <row r="156" spans="1:10">
      <c r="A156" s="2" t="s">
        <v>520</v>
      </c>
      <c r="B156" s="2" t="str" cm="1">
        <f t="array" ref="B1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6"/>
      <c r="I156"/>
      <c r="J156"/>
    </row>
    <row r="157" spans="1:10">
      <c r="A157" s="2" t="s">
        <v>494</v>
      </c>
      <c r="B157" s="2" t="str" cm="1">
        <f t="array" ref="B1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7"/>
      <c r="I157"/>
      <c r="J157"/>
    </row>
    <row r="158" spans="1:10">
      <c r="A158" s="2" t="s">
        <v>478</v>
      </c>
      <c r="B158" s="2" t="str" cm="1">
        <f t="array" ref="B1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8"/>
      <c r="I158"/>
      <c r="J158"/>
    </row>
    <row r="159" spans="1:10">
      <c r="A159" s="2" t="s">
        <v>482</v>
      </c>
      <c r="B159" s="2" t="str" cm="1">
        <f t="array" ref="B1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9"/>
      <c r="I159"/>
      <c r="J159"/>
    </row>
    <row r="160" spans="1:10">
      <c r="A160" s="2" t="s">
        <v>484</v>
      </c>
      <c r="B160" s="2" t="str" cm="1">
        <f t="array" ref="B1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0"/>
      <c r="I160"/>
      <c r="J160"/>
    </row>
    <row r="161" spans="1:10">
      <c r="A161" s="2" t="s">
        <v>523</v>
      </c>
      <c r="B161" s="2" t="str" cm="1">
        <f t="array" ref="B1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1"/>
      <c r="I161"/>
      <c r="J161"/>
    </row>
    <row r="162" spans="1:10">
      <c r="A162" s="2" t="s">
        <v>506</v>
      </c>
      <c r="B162" s="2" t="str" cm="1">
        <f t="array" ref="B1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2"/>
      <c r="I162"/>
      <c r="J162"/>
    </row>
    <row r="163" spans="1:10">
      <c r="A163" s="2" t="s">
        <v>507</v>
      </c>
      <c r="B163" s="2" t="str" cm="1">
        <f t="array" ref="B1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3"/>
      <c r="I163"/>
      <c r="J163"/>
    </row>
    <row r="164" spans="1:10">
      <c r="A164" s="2" t="s">
        <v>527</v>
      </c>
      <c r="B164" s="2" t="str" cm="1">
        <f t="array" ref="B1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4"/>
      <c r="I164"/>
      <c r="J164"/>
    </row>
    <row r="165" spans="1:10">
      <c r="A165" s="2" t="s">
        <v>503</v>
      </c>
      <c r="B165" s="2" t="str" cm="1">
        <f t="array" ref="B1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5"/>
      <c r="I165"/>
      <c r="J165"/>
    </row>
    <row r="166" spans="1:10">
      <c r="A166" s="2" t="s">
        <v>510</v>
      </c>
      <c r="B166" s="2" t="str" cm="1">
        <f t="array" ref="B1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6"/>
      <c r="I166"/>
      <c r="J166"/>
    </row>
    <row r="167" spans="1:10">
      <c r="A167" s="2" t="s">
        <v>519</v>
      </c>
      <c r="B167" s="2" t="str" cm="1">
        <f t="array" ref="B1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7"/>
      <c r="I167"/>
      <c r="J167"/>
    </row>
    <row r="168" spans="1:10">
      <c r="A168" s="2" t="s">
        <v>485</v>
      </c>
      <c r="B168" s="2" t="str" cm="1">
        <f t="array" ref="B1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8"/>
      <c r="I168"/>
      <c r="J168"/>
    </row>
    <row r="169" spans="1:10">
      <c r="A169" s="2" t="s">
        <v>496</v>
      </c>
      <c r="B169" s="2" t="str" cm="1">
        <f t="array" ref="B1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9"/>
      <c r="I169"/>
      <c r="J169"/>
    </row>
    <row r="170" spans="1:10">
      <c r="A170" s="2" t="s">
        <v>528</v>
      </c>
      <c r="B170" s="2" t="str" cm="1">
        <f t="array" ref="B1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0"/>
      <c r="I170"/>
      <c r="J170"/>
    </row>
    <row r="171" spans="1:10">
      <c r="A171" s="2" t="s">
        <v>529</v>
      </c>
      <c r="B171" s="2" t="str" cm="1">
        <f t="array" ref="B1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1"/>
      <c r="I171"/>
      <c r="J171"/>
    </row>
    <row r="172" spans="1:10">
      <c r="A172" s="2" t="s">
        <v>499</v>
      </c>
      <c r="B172" s="2" t="str" cm="1">
        <f t="array" ref="B1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2"/>
      <c r="I172"/>
      <c r="J172"/>
    </row>
    <row r="173" spans="1:10">
      <c r="A173" s="2" t="s">
        <v>487</v>
      </c>
      <c r="B173" s="2" t="str" cm="1">
        <f t="array" ref="B1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3"/>
      <c r="I173"/>
      <c r="J173"/>
    </row>
    <row r="174" spans="1:10">
      <c r="A174" s="2" t="s">
        <v>512</v>
      </c>
      <c r="B174" s="2" t="str" cm="1">
        <f t="array" ref="B1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4"/>
      <c r="I174"/>
      <c r="J174"/>
    </row>
    <row r="175" spans="1:10">
      <c r="A175" s="2" t="s">
        <v>530</v>
      </c>
      <c r="B175" s="2" t="str" cm="1">
        <f t="array" ref="B1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5"/>
      <c r="I175"/>
      <c r="J175"/>
    </row>
    <row r="176" spans="1:10">
      <c r="A176" s="2" t="s">
        <v>491</v>
      </c>
      <c r="B176" s="2" t="str" cm="1">
        <f t="array" ref="B1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6"/>
      <c r="I176"/>
      <c r="J176"/>
    </row>
    <row r="177" spans="1:10">
      <c r="A177" s="2" t="s">
        <v>511</v>
      </c>
      <c r="B177" s="2" t="str" cm="1">
        <f t="array" ref="B1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7"/>
      <c r="I177"/>
      <c r="J177"/>
    </row>
    <row r="178" spans="1:10">
      <c r="A178" s="2" t="s">
        <v>490</v>
      </c>
      <c r="B178" s="2" t="str" cm="1">
        <f t="array" ref="B1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8"/>
      <c r="I178"/>
      <c r="J178"/>
    </row>
    <row r="179" spans="1:10">
      <c r="A179" s="2" t="s">
        <v>522</v>
      </c>
      <c r="B179" s="2" t="str" cm="1">
        <f t="array" ref="B1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9"/>
      <c r="I179"/>
      <c r="J179"/>
    </row>
    <row r="180" spans="1:10">
      <c r="A180" s="2" t="s">
        <v>502</v>
      </c>
      <c r="B180" s="2" t="str" cm="1">
        <f t="array" ref="B1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0"/>
      <c r="I180"/>
      <c r="J180"/>
    </row>
    <row r="181" spans="1:10">
      <c r="A181" s="2" t="s">
        <v>505</v>
      </c>
      <c r="B181" s="2" t="str" cm="1">
        <f t="array" ref="B1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1"/>
      <c r="I181"/>
      <c r="J181"/>
    </row>
    <row r="182" spans="1:10">
      <c r="A182" s="2" t="s">
        <v>492</v>
      </c>
      <c r="B182" s="2" t="str" cm="1">
        <f t="array" ref="B1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2"/>
      <c r="I182"/>
      <c r="J182"/>
    </row>
    <row r="183" spans="1:10">
      <c r="A183" s="2" t="s">
        <v>515</v>
      </c>
      <c r="B183" s="2" t="str" cm="1">
        <f t="array" ref="B1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3"/>
      <c r="I183"/>
      <c r="J183"/>
    </row>
    <row r="184" spans="1:10">
      <c r="A184" s="2" t="s">
        <v>488</v>
      </c>
      <c r="B184" s="2" t="str" cm="1">
        <f t="array" ref="B1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84"/>
      <c r="I184"/>
      <c r="J184"/>
    </row>
    <row r="185" spans="1:10">
      <c r="A185" s="2" t="s">
        <v>439</v>
      </c>
      <c r="B185" s="2" t="str" cm="1">
        <f t="array" ref="B1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5"/>
      <c r="I185"/>
      <c r="J185"/>
    </row>
    <row r="186" spans="1:10">
      <c r="A186" s="2" t="s">
        <v>631</v>
      </c>
      <c r="B186" s="2" t="str" cm="1">
        <f t="array" ref="B1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6"/>
      <c r="I186"/>
      <c r="J186"/>
    </row>
    <row r="187" spans="1:10">
      <c r="A187" s="2" t="s">
        <v>383</v>
      </c>
      <c r="B187" s="2" t="str" cm="1">
        <f t="array" ref="B1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7"/>
      <c r="I187"/>
      <c r="J187"/>
    </row>
    <row r="188" spans="1:10">
      <c r="A188" s="2" t="s">
        <v>421</v>
      </c>
      <c r="B188" s="2" t="str" cm="1">
        <f t="array" ref="B1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8"/>
      <c r="I188"/>
      <c r="J188"/>
    </row>
    <row r="189" spans="1:10">
      <c r="A189" s="2" t="s">
        <v>428</v>
      </c>
      <c r="B189" s="2" t="str" cm="1">
        <f t="array" ref="B1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89"/>
      <c r="I189"/>
      <c r="J189"/>
    </row>
    <row r="190" spans="1:10">
      <c r="A190" s="2" t="s">
        <v>429</v>
      </c>
      <c r="B190" s="2" t="str" cm="1">
        <f t="array" ref="B1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0"/>
      <c r="I190"/>
      <c r="J190"/>
    </row>
    <row r="191" spans="1:10">
      <c r="A191" s="2" t="s">
        <v>416</v>
      </c>
      <c r="B191" s="2" t="str" cm="1">
        <f t="array" ref="B1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1"/>
      <c r="I191"/>
      <c r="J191"/>
    </row>
    <row r="192" spans="1:10">
      <c r="A192" s="2" t="s">
        <v>405</v>
      </c>
      <c r="B192" s="2" t="str" cm="1">
        <f t="array" ref="B1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2"/>
      <c r="I192"/>
      <c r="J192"/>
    </row>
    <row r="193" spans="1:10">
      <c r="A193" s="2" t="s">
        <v>477</v>
      </c>
      <c r="B193" s="2" t="str" cm="1">
        <f t="array" ref="B1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93"/>
      <c r="I193"/>
      <c r="J193"/>
    </row>
    <row r="194" spans="1:10">
      <c r="A194" s="2" t="s">
        <v>637</v>
      </c>
      <c r="B194" s="2" t="str" cm="1">
        <f t="array" ref="B1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94"/>
      <c r="I194"/>
      <c r="J194"/>
    </row>
    <row r="195" spans="1:10">
      <c r="A195" s="2" t="s">
        <v>658</v>
      </c>
      <c r="B195" s="2" t="str" cm="1">
        <f t="array" ref="B1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95"/>
      <c r="I195"/>
      <c r="J195"/>
    </row>
    <row r="196" spans="1:10">
      <c r="A196" s="2" t="s">
        <v>461</v>
      </c>
      <c r="B196" s="2" t="str" cm="1">
        <f t="array" ref="B1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96"/>
      <c r="I196"/>
      <c r="J196"/>
    </row>
    <row r="197" spans="1:10">
      <c r="A197" s="2" t="s">
        <v>408</v>
      </c>
      <c r="B197" s="2" t="str" cm="1">
        <f t="array" ref="B1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97"/>
      <c r="I197"/>
      <c r="J197"/>
    </row>
    <row r="198" spans="1:10">
      <c r="A198" s="2" t="s">
        <v>412</v>
      </c>
      <c r="B198" s="2" t="str" cm="1">
        <f t="array" ref="B1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98"/>
      <c r="I198"/>
      <c r="J198"/>
    </row>
    <row r="199" spans="1:10">
      <c r="A199" s="2" t="s">
        <v>394</v>
      </c>
      <c r="B199" s="2" t="str" cm="1">
        <f t="array" ref="B1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9"/>
      <c r="I199"/>
      <c r="J199"/>
    </row>
    <row r="200" spans="1:10">
      <c r="A200" s="2" t="s">
        <v>407</v>
      </c>
      <c r="B200" s="2" t="str" cm="1">
        <f t="array" ref="B2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0"/>
      <c r="I200"/>
      <c r="J200"/>
    </row>
    <row r="201" spans="1:10">
      <c r="A201" s="2" t="s">
        <v>444</v>
      </c>
      <c r="B201" s="2" t="str" cm="1">
        <f t="array" ref="B2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1"/>
      <c r="I201"/>
      <c r="J201"/>
    </row>
    <row r="202" spans="1:10">
      <c r="A202" s="2" t="s">
        <v>443</v>
      </c>
      <c r="B202" s="2" t="str" cm="1">
        <f t="array" ref="B2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02"/>
      <c r="I202"/>
      <c r="J202"/>
    </row>
    <row r="203" spans="1:10">
      <c r="A203" s="2" t="s">
        <v>442</v>
      </c>
      <c r="B203" s="2" t="str" cm="1">
        <f t="array" ref="B2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03"/>
      <c r="I203"/>
      <c r="J203"/>
    </row>
    <row r="204" spans="1:10">
      <c r="A204" s="2" t="s">
        <v>441</v>
      </c>
      <c r="B204" s="2" t="str" cm="1">
        <f t="array" ref="B2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04"/>
      <c r="I204"/>
      <c r="J204"/>
    </row>
    <row r="205" spans="1:10">
      <c r="A205" s="2" t="s">
        <v>440</v>
      </c>
      <c r="B205" s="2" t="str" cm="1">
        <f t="array" ref="B2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5"/>
      <c r="I205"/>
      <c r="J205"/>
    </row>
    <row r="206" spans="1:10">
      <c r="A206" s="2" t="s">
        <v>446</v>
      </c>
      <c r="B206" s="2" t="str" cm="1">
        <f t="array" ref="B2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6"/>
      <c r="I206"/>
      <c r="J206"/>
    </row>
    <row r="207" spans="1:10">
      <c r="A207" s="2" t="s">
        <v>413</v>
      </c>
      <c r="B207" s="2" t="str" cm="1">
        <f t="array" ref="B2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7"/>
      <c r="I207"/>
      <c r="J207"/>
    </row>
    <row r="208" spans="1:10">
      <c r="A208" s="2" t="s">
        <v>469</v>
      </c>
      <c r="B208" s="2" t="str" cm="1">
        <f t="array" ref="B2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08"/>
      <c r="I208"/>
      <c r="J208"/>
    </row>
    <row r="209" spans="1:10">
      <c r="A209" s="2" t="s">
        <v>453</v>
      </c>
      <c r="B209" s="2" t="str" cm="1">
        <f t="array" ref="B2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9"/>
      <c r="I209"/>
      <c r="J209"/>
    </row>
    <row r="210" spans="1:10">
      <c r="A210" s="2" t="s">
        <v>662</v>
      </c>
      <c r="B210" s="2" t="str" cm="1">
        <f t="array" ref="B2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0"/>
      <c r="I210"/>
      <c r="J210"/>
    </row>
    <row r="211" spans="1:10">
      <c r="A211" s="2" t="s">
        <v>462</v>
      </c>
      <c r="B211" s="2" t="str" cm="1">
        <f t="array" ref="B2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1"/>
      <c r="I211"/>
      <c r="J211"/>
    </row>
    <row r="212" spans="1:10">
      <c r="A212" s="2" t="s">
        <v>464</v>
      </c>
      <c r="B212" s="2" t="str" cm="1">
        <f t="array" ref="B2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2"/>
      <c r="I212"/>
      <c r="J212"/>
    </row>
    <row r="213" spans="1:10">
      <c r="A213" s="2" t="s">
        <v>463</v>
      </c>
      <c r="B213" s="2" t="str" cm="1">
        <f t="array" ref="B2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3"/>
      <c r="I213"/>
      <c r="J213"/>
    </row>
    <row r="214" spans="1:10">
      <c r="A214" s="2" t="s">
        <v>388</v>
      </c>
      <c r="B214" s="2" t="str" cm="1">
        <f t="array" ref="B2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4"/>
      <c r="I214"/>
      <c r="J214"/>
    </row>
    <row r="215" spans="1:10">
      <c r="A215" s="2" t="s">
        <v>476</v>
      </c>
      <c r="B215" s="2" t="str" cm="1">
        <f t="array" ref="B2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5"/>
      <c r="I215"/>
      <c r="J215"/>
    </row>
    <row r="216" spans="1:10">
      <c r="A216" s="2" t="s">
        <v>422</v>
      </c>
      <c r="B216" s="2" t="str" cm="1">
        <f t="array" ref="B2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6"/>
      <c r="I216"/>
      <c r="J216"/>
    </row>
    <row r="217" spans="1:10">
      <c r="A217" s="2" t="s">
        <v>419</v>
      </c>
      <c r="B217" s="2" t="str" cm="1">
        <f t="array" ref="B2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7"/>
      <c r="I217"/>
      <c r="J217"/>
    </row>
    <row r="218" spans="1:10">
      <c r="A218" s="2" t="s">
        <v>417</v>
      </c>
      <c r="B218" s="2" t="str" cm="1">
        <f t="array" ref="B2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8"/>
      <c r="I218"/>
      <c r="J218"/>
    </row>
    <row r="219" spans="1:10">
      <c r="A219" s="2" t="s">
        <v>465</v>
      </c>
      <c r="B219" s="2" t="str" cm="1">
        <f t="array" ref="B2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9"/>
      <c r="I219"/>
      <c r="J219"/>
    </row>
    <row r="220" spans="1:10">
      <c r="A220" s="2" t="s">
        <v>471</v>
      </c>
      <c r="B220" s="2" t="str" cm="1">
        <f t="array" ref="B2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0"/>
      <c r="I220"/>
      <c r="J220"/>
    </row>
    <row r="221" spans="1:10">
      <c r="A221" s="2" t="s">
        <v>423</v>
      </c>
      <c r="B221" s="2" t="str" cm="1">
        <f t="array" ref="B2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1"/>
      <c r="I221"/>
      <c r="J221"/>
    </row>
    <row r="222" spans="1:10">
      <c r="A222" s="2" t="s">
        <v>435</v>
      </c>
      <c r="B222" s="2" t="str" cm="1">
        <f t="array" ref="B2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2"/>
      <c r="I222"/>
      <c r="J222"/>
    </row>
    <row r="223" spans="1:10">
      <c r="A223" s="2" t="s">
        <v>447</v>
      </c>
      <c r="B223" s="2" t="str" cm="1">
        <f t="array" ref="B2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3"/>
      <c r="I223"/>
      <c r="J223"/>
    </row>
    <row r="224" spans="1:10">
      <c r="A224" s="2" t="s">
        <v>661</v>
      </c>
      <c r="B224" s="2" t="str" cm="1">
        <f t="array" ref="B2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4"/>
      <c r="I224"/>
      <c r="J224"/>
    </row>
    <row r="225" spans="1:10">
      <c r="A225" s="2" t="s">
        <v>387</v>
      </c>
      <c r="B225" s="2" t="str" cm="1">
        <f t="array" ref="B2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5"/>
      <c r="I225"/>
      <c r="J225"/>
    </row>
    <row r="226" spans="1:10">
      <c r="A226" s="2" t="s">
        <v>410</v>
      </c>
      <c r="B226" s="2" t="str" cm="1">
        <f t="array" ref="B2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6"/>
      <c r="I226"/>
      <c r="J226"/>
    </row>
    <row r="227" spans="1:10">
      <c r="A227" s="2" t="s">
        <v>389</v>
      </c>
      <c r="B227" s="2" t="str" cm="1">
        <f t="array" ref="B2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7"/>
      <c r="I227"/>
      <c r="J227"/>
    </row>
    <row r="228" spans="1:10">
      <c r="A228" s="2" t="s">
        <v>402</v>
      </c>
      <c r="B228" s="2" t="str" cm="1">
        <f t="array" ref="B2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8"/>
      <c r="I228"/>
      <c r="J228"/>
    </row>
    <row r="229" spans="1:10">
      <c r="A229" s="2" t="s">
        <v>395</v>
      </c>
      <c r="B229" s="2" t="str" cm="1">
        <f t="array" ref="B2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9"/>
      <c r="I229"/>
      <c r="J229"/>
    </row>
    <row r="230" spans="1:10">
      <c r="A230" s="2" t="s">
        <v>403</v>
      </c>
      <c r="B230" s="2" t="str" cm="1">
        <f t="array" ref="B2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30"/>
      <c r="I230"/>
      <c r="J230"/>
    </row>
    <row r="231" spans="1:10">
      <c r="A231" s="2" t="s">
        <v>454</v>
      </c>
      <c r="B231" s="2" t="str" cm="1">
        <f t="array" ref="B2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1"/>
      <c r="I231"/>
      <c r="J231"/>
    </row>
    <row r="232" spans="1:10">
      <c r="A232" s="2" t="s">
        <v>472</v>
      </c>
      <c r="B232" s="2" t="str" cm="1">
        <f t="array" ref="B2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2"/>
      <c r="I232"/>
      <c r="J232"/>
    </row>
    <row r="233" spans="1:10">
      <c r="A233" s="2" t="s">
        <v>404</v>
      </c>
      <c r="B233" s="2" t="str" cm="1">
        <f t="array" ref="B2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3"/>
      <c r="I233"/>
      <c r="J233"/>
    </row>
    <row r="234" spans="1:10">
      <c r="A234" s="2" t="s">
        <v>401</v>
      </c>
      <c r="B234" s="2" t="str" cm="1">
        <f t="array" ref="B2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4"/>
      <c r="I234"/>
      <c r="J234"/>
    </row>
    <row r="235" spans="1:10">
      <c r="A235" s="2" t="s">
        <v>386</v>
      </c>
      <c r="B235" s="2" t="str" cm="1">
        <f t="array" ref="B2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35"/>
      <c r="I235"/>
      <c r="J235"/>
    </row>
    <row r="236" spans="1:10">
      <c r="A236" s="2" t="s">
        <v>379</v>
      </c>
      <c r="B236" s="2" t="str" cm="1">
        <f t="array" ref="B2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36"/>
      <c r="I236"/>
      <c r="J236"/>
    </row>
    <row r="237" spans="1:10">
      <c r="A237" s="2" t="s">
        <v>380</v>
      </c>
      <c r="B237" s="2" t="str" cm="1">
        <f t="array" ref="B2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7"/>
      <c r="I237"/>
      <c r="J237"/>
    </row>
    <row r="238" spans="1:10">
      <c r="A238" s="2" t="s">
        <v>629</v>
      </c>
      <c r="B238" s="2" t="str" cm="1">
        <f t="array" ref="B2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8"/>
      <c r="I238"/>
      <c r="J238"/>
    </row>
    <row r="239" spans="1:10">
      <c r="A239" s="2" t="s">
        <v>473</v>
      </c>
      <c r="B239" s="2" t="str" cm="1">
        <f t="array" ref="B2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39"/>
      <c r="I239"/>
      <c r="J239"/>
    </row>
    <row r="240" spans="1:10">
      <c r="A240" s="2" t="s">
        <v>628</v>
      </c>
      <c r="B240" s="2" t="str" cm="1">
        <f t="array" ref="B2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0"/>
      <c r="I240"/>
      <c r="J240"/>
    </row>
    <row r="241" spans="1:10">
      <c r="A241" s="2" t="s">
        <v>466</v>
      </c>
      <c r="B241" s="2" t="str" cm="1">
        <f t="array" ref="B2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1"/>
      <c r="I241"/>
      <c r="J241"/>
    </row>
    <row r="242" spans="1:10">
      <c r="A242" s="2" t="s">
        <v>663</v>
      </c>
      <c r="B242" s="2" t="str" cm="1">
        <f t="array" ref="B2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42"/>
      <c r="I242"/>
      <c r="J242"/>
    </row>
    <row r="243" spans="1:10">
      <c r="A243" s="2" t="s">
        <v>664</v>
      </c>
      <c r="B243" s="2" t="str" cm="1">
        <f t="array" ref="B2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43"/>
      <c r="I243"/>
      <c r="J243"/>
    </row>
    <row r="244" spans="1:10">
      <c r="A244" s="2" t="s">
        <v>455</v>
      </c>
      <c r="B244" s="2" t="str" cm="1">
        <f t="array" ref="B2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4"/>
      <c r="I244"/>
      <c r="J244"/>
    </row>
    <row r="245" spans="1:10">
      <c r="A245" s="2" t="s">
        <v>458</v>
      </c>
      <c r="B245" s="2" t="str" cm="1">
        <f t="array" ref="B2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45"/>
      <c r="I245"/>
      <c r="J245"/>
    </row>
    <row r="246" spans="1:10">
      <c r="A246" s="2" t="s">
        <v>459</v>
      </c>
      <c r="B246" s="2" t="str" cm="1">
        <f t="array" ref="B2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46"/>
      <c r="I246"/>
      <c r="J246"/>
    </row>
    <row r="247" spans="1:10">
      <c r="A247" s="2" t="s">
        <v>409</v>
      </c>
      <c r="B247" s="2" t="str" cm="1">
        <f t="array" ref="B2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7"/>
      <c r="I247"/>
      <c r="J247"/>
    </row>
    <row r="248" spans="1:10">
      <c r="A248" s="2" t="s">
        <v>456</v>
      </c>
      <c r="B248" s="2" t="str" cm="1">
        <f t="array" ref="B2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48"/>
      <c r="I248"/>
      <c r="J248"/>
    </row>
    <row r="249" spans="1:10">
      <c r="A249" s="2" t="s">
        <v>381</v>
      </c>
      <c r="B249" s="2" t="str" cm="1">
        <f t="array" ref="B2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9"/>
      <c r="I249"/>
      <c r="J249"/>
    </row>
    <row r="250" spans="1:10">
      <c r="A250" s="2" t="s">
        <v>382</v>
      </c>
      <c r="B250" s="2" t="str" cm="1">
        <f t="array" ref="B2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50"/>
      <c r="I250"/>
      <c r="J250"/>
    </row>
    <row r="251" spans="1:10">
      <c r="A251" s="2" t="s">
        <v>460</v>
      </c>
      <c r="B251" s="2" t="str" cm="1">
        <f t="array" ref="B2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1"/>
      <c r="I251"/>
      <c r="J251"/>
    </row>
    <row r="252" spans="1:10">
      <c r="A252" s="2" t="s">
        <v>630</v>
      </c>
      <c r="B252" s="2" t="str" cm="1">
        <f t="array" ref="B2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2"/>
      <c r="I252"/>
      <c r="J252"/>
    </row>
    <row r="253" spans="1:10">
      <c r="A253" s="2" t="s">
        <v>640</v>
      </c>
      <c r="B253" s="2" t="str" cm="1">
        <f t="array" ref="B2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3"/>
      <c r="I253"/>
      <c r="J253"/>
    </row>
    <row r="254" spans="1:10">
      <c r="A254" s="2" t="s">
        <v>418</v>
      </c>
      <c r="B254" s="2" t="str" cm="1">
        <f t="array" ref="B2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54"/>
      <c r="I254"/>
      <c r="J254"/>
    </row>
    <row r="255" spans="1:10">
      <c r="A255" s="2" t="s">
        <v>434</v>
      </c>
      <c r="B255" s="2" t="str" cm="1">
        <f t="array" ref="B2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5"/>
      <c r="I255"/>
      <c r="J255"/>
    </row>
    <row r="256" spans="1:10">
      <c r="A256" s="2" t="s">
        <v>414</v>
      </c>
      <c r="B256" s="2" t="str" cm="1">
        <f t="array" ref="B2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56"/>
      <c r="I256"/>
      <c r="J256"/>
    </row>
    <row r="257" spans="1:10">
      <c r="A257" s="2" t="s">
        <v>399</v>
      </c>
      <c r="B257" s="2" t="str" cm="1">
        <f t="array" ref="B2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57"/>
      <c r="I257"/>
      <c r="J257"/>
    </row>
    <row r="258" spans="1:10">
      <c r="A258" s="2" t="s">
        <v>398</v>
      </c>
      <c r="B258" s="2" t="str" cm="1">
        <f t="array" ref="B2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58"/>
      <c r="I258"/>
      <c r="J258"/>
    </row>
    <row r="259" spans="1:10">
      <c r="A259" s="2" t="s">
        <v>397</v>
      </c>
      <c r="B259" s="2" t="str" cm="1">
        <f t="array" ref="B2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9"/>
      <c r="I259"/>
      <c r="J259"/>
    </row>
    <row r="260" spans="1:10">
      <c r="A260" s="2" t="s">
        <v>448</v>
      </c>
      <c r="B260" s="2" t="str" cm="1">
        <f t="array" ref="B2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0"/>
      <c r="I260"/>
      <c r="J260"/>
    </row>
    <row r="261" spans="1:10">
      <c r="A261" s="2" t="s">
        <v>449</v>
      </c>
      <c r="B261" s="2" t="str" cm="1">
        <f t="array" ref="B2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1"/>
      <c r="I261"/>
      <c r="J261"/>
    </row>
    <row r="262" spans="1:10">
      <c r="A262" s="2" t="s">
        <v>656</v>
      </c>
      <c r="B262" s="2" t="str" cm="1">
        <f t="array" ref="B2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2"/>
      <c r="I262"/>
      <c r="J262"/>
    </row>
    <row r="263" spans="1:10">
      <c r="A263" s="2" t="s">
        <v>665</v>
      </c>
      <c r="B263" s="2" t="str" cm="1">
        <f t="array" ref="B2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63"/>
      <c r="I263"/>
      <c r="J263"/>
    </row>
    <row r="264" spans="1:10">
      <c r="A264" s="2" t="s">
        <v>653</v>
      </c>
      <c r="B264" s="2" t="str" cm="1">
        <f t="array" ref="B2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64"/>
      <c r="I264"/>
      <c r="J264"/>
    </row>
    <row r="265" spans="1:10">
      <c r="A265" s="2" t="s">
        <v>652</v>
      </c>
      <c r="B265" s="2" t="str" cm="1">
        <f t="array" ref="B2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65"/>
      <c r="I265"/>
      <c r="J265"/>
    </row>
    <row r="266" spans="1:10">
      <c r="A266" s="2" t="s">
        <v>654</v>
      </c>
      <c r="B266" s="2" t="str" cm="1">
        <f t="array" ref="B2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6"/>
      <c r="I266"/>
      <c r="J266"/>
    </row>
    <row r="267" spans="1:10">
      <c r="A267" s="2" t="s">
        <v>660</v>
      </c>
      <c r="B267" s="2" t="str" cm="1">
        <f t="array" ref="B2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7"/>
      <c r="I267"/>
      <c r="J267"/>
    </row>
    <row r="268" spans="1:10">
      <c r="A268" s="2" t="s">
        <v>659</v>
      </c>
      <c r="B268" s="2" t="str" cm="1">
        <f t="array" ref="B2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68"/>
      <c r="I268"/>
      <c r="J268"/>
    </row>
    <row r="269" spans="1:10">
      <c r="A269" s="2" t="s">
        <v>400</v>
      </c>
      <c r="B269" s="2" t="str" cm="1">
        <f t="array" ref="B2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9"/>
      <c r="I269"/>
      <c r="J269"/>
    </row>
    <row r="270" spans="1:10">
      <c r="A270" s="2" t="s">
        <v>639</v>
      </c>
      <c r="B270" s="2" t="str" cm="1">
        <f t="array" ref="B2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70"/>
      <c r="I270"/>
      <c r="J270"/>
    </row>
    <row r="271" spans="1:10">
      <c r="A271" s="2" t="s">
        <v>450</v>
      </c>
      <c r="B271" s="2" t="str" cm="1">
        <f t="array" ref="B2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1"/>
      <c r="I271"/>
      <c r="J271"/>
    </row>
    <row r="272" spans="1:10">
      <c r="A272" s="2" t="s">
        <v>632</v>
      </c>
      <c r="B272" s="2" t="str" cm="1">
        <f t="array" ref="B2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72"/>
      <c r="I272"/>
      <c r="J272"/>
    </row>
    <row r="273" spans="1:10">
      <c r="A273" s="2" t="s">
        <v>633</v>
      </c>
      <c r="B273" s="2" t="str" cm="1">
        <f t="array" ref="B2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3"/>
      <c r="I273"/>
      <c r="J273"/>
    </row>
    <row r="274" spans="1:10">
      <c r="A274" s="2" t="s">
        <v>634</v>
      </c>
      <c r="B274" s="2" t="str" cm="1">
        <f t="array" ref="B2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4"/>
      <c r="I274"/>
      <c r="J274"/>
    </row>
    <row r="275" spans="1:10">
      <c r="A275" s="2" t="s">
        <v>638</v>
      </c>
      <c r="B275" s="2" t="str" cm="1">
        <f t="array" ref="B2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75"/>
      <c r="I275"/>
      <c r="J275"/>
    </row>
    <row r="276" spans="1:10">
      <c r="A276" s="2" t="s">
        <v>411</v>
      </c>
      <c r="B276" s="2" t="str" cm="1">
        <f t="array" ref="B2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76"/>
      <c r="I276"/>
      <c r="J276"/>
    </row>
    <row r="277" spans="1:10">
      <c r="A277" s="2" t="s">
        <v>396</v>
      </c>
      <c r="B277" s="2" t="str" cm="1">
        <f t="array" ref="B2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7"/>
      <c r="I277"/>
      <c r="J277"/>
    </row>
    <row r="278" spans="1:10">
      <c r="A278" s="2" t="s">
        <v>451</v>
      </c>
      <c r="B278" s="2" t="str" cm="1">
        <f t="array" ref="B2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8"/>
      <c r="I278"/>
      <c r="J278"/>
    </row>
    <row r="279" spans="1:10">
      <c r="A279" s="2" t="s">
        <v>406</v>
      </c>
      <c r="B279" s="2" t="str" cm="1">
        <f t="array" ref="B2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79"/>
      <c r="I279"/>
      <c r="J279"/>
    </row>
    <row r="280" spans="1:10">
      <c r="A280" s="2" t="s">
        <v>470</v>
      </c>
      <c r="B280" s="2" t="str" cm="1">
        <f t="array" ref="B2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80"/>
      <c r="I280"/>
      <c r="J280"/>
    </row>
    <row r="281" spans="1:10">
      <c r="A281" s="2" t="s">
        <v>430</v>
      </c>
      <c r="B281" s="2" t="str" cm="1">
        <f t="array" ref="B2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81"/>
      <c r="I281"/>
      <c r="J281"/>
    </row>
    <row r="282" spans="1:10">
      <c r="A282" s="2" t="s">
        <v>431</v>
      </c>
      <c r="B282" s="2" t="str" cm="1">
        <f t="array" ref="B2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82"/>
      <c r="I282"/>
      <c r="J282"/>
    </row>
    <row r="283" spans="1:10">
      <c r="A283" s="2" t="s">
        <v>433</v>
      </c>
      <c r="B283" s="2" t="str" cm="1">
        <f t="array" ref="B2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3"/>
      <c r="I283"/>
      <c r="J283"/>
    </row>
    <row r="284" spans="1:10">
      <c r="A284" s="2" t="s">
        <v>432</v>
      </c>
      <c r="B284" s="2" t="str" cm="1">
        <f t="array" ref="B2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4"/>
      <c r="I284"/>
      <c r="J284"/>
    </row>
    <row r="285" spans="1:10">
      <c r="A285" s="2" t="s">
        <v>424</v>
      </c>
      <c r="B285" s="2" t="str" cm="1">
        <f t="array" ref="B2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5"/>
      <c r="I285"/>
      <c r="J285"/>
    </row>
    <row r="286" spans="1:10">
      <c r="A286" s="2" t="s">
        <v>627</v>
      </c>
      <c r="B286" s="2" t="str" cm="1">
        <f t="array" ref="B2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86"/>
      <c r="I286"/>
      <c r="J286"/>
    </row>
    <row r="287" spans="1:10">
      <c r="A287" s="2" t="s">
        <v>635</v>
      </c>
      <c r="B287" s="2" t="str" cm="1">
        <f t="array" ref="B2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7"/>
      <c r="I287"/>
      <c r="J287"/>
    </row>
    <row r="288" spans="1:10">
      <c r="A288" s="2" t="s">
        <v>636</v>
      </c>
      <c r="B288" s="2" t="str" cm="1">
        <f t="array" ref="B2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8"/>
      <c r="I288"/>
      <c r="J288"/>
    </row>
    <row r="289" spans="1:10">
      <c r="A289" s="2" t="s">
        <v>425</v>
      </c>
      <c r="B289" s="2" t="str" cm="1">
        <f t="array" ref="B2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9"/>
      <c r="I289"/>
      <c r="J289"/>
    </row>
    <row r="290" spans="1:10">
      <c r="A290" s="2" t="s">
        <v>427</v>
      </c>
      <c r="B290" s="2" t="str" cm="1">
        <f t="array" ref="B2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0"/>
      <c r="I290"/>
      <c r="J290"/>
    </row>
    <row r="291" spans="1:10">
      <c r="A291" s="2" t="s">
        <v>426</v>
      </c>
      <c r="B291" s="2" t="str" cm="1">
        <f t="array" ref="B2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91"/>
      <c r="I291"/>
      <c r="J291"/>
    </row>
    <row r="292" spans="1:10">
      <c r="A292" s="2" t="s">
        <v>390</v>
      </c>
      <c r="B292" s="2" t="str" cm="1">
        <f t="array" ref="B2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2"/>
      <c r="I292"/>
      <c r="J292"/>
    </row>
    <row r="293" spans="1:10">
      <c r="A293" s="2" t="s">
        <v>457</v>
      </c>
      <c r="B293" s="2" t="str" cm="1">
        <f t="array" ref="B2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93"/>
      <c r="I293"/>
      <c r="J293"/>
    </row>
    <row r="294" spans="1:10">
      <c r="A294" s="2" t="s">
        <v>474</v>
      </c>
      <c r="B294" s="2" t="str" cm="1">
        <f t="array" ref="B2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4"/>
      <c r="I294"/>
      <c r="J294"/>
    </row>
    <row r="295" spans="1:10">
      <c r="A295" s="2" t="s">
        <v>391</v>
      </c>
      <c r="B295" s="2" t="str" cm="1">
        <f t="array" ref="B2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5"/>
      <c r="I295"/>
      <c r="J295"/>
    </row>
    <row r="296" spans="1:10">
      <c r="A296" s="2" t="s">
        <v>378</v>
      </c>
      <c r="B296" s="2" t="str" cm="1">
        <f t="array" ref="B2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6"/>
      <c r="I296"/>
      <c r="J296"/>
    </row>
    <row r="297" spans="1:10">
      <c r="A297" s="2" t="s">
        <v>384</v>
      </c>
      <c r="B297" s="2" t="str" cm="1">
        <f t="array" ref="B2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97"/>
      <c r="I297"/>
      <c r="J297"/>
    </row>
    <row r="298" spans="1:10">
      <c r="A298" s="2" t="s">
        <v>657</v>
      </c>
      <c r="B298" s="2" t="str" cm="1">
        <f t="array" ref="B2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98"/>
      <c r="I298"/>
      <c r="J298"/>
    </row>
    <row r="299" spans="1:10">
      <c r="A299" s="2" t="s">
        <v>655</v>
      </c>
      <c r="B299" s="2" t="str" cm="1">
        <f t="array" ref="B2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99"/>
      <c r="I299"/>
      <c r="J299"/>
    </row>
    <row r="300" spans="1:10">
      <c r="A300" s="2" t="s">
        <v>452</v>
      </c>
      <c r="B300" s="2" t="str" cm="1">
        <f t="array" ref="B3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0"/>
      <c r="I300"/>
      <c r="J300"/>
    </row>
    <row r="301" spans="1:10">
      <c r="A301" s="2" t="s">
        <v>475</v>
      </c>
      <c r="B301" s="2" t="str" cm="1">
        <f t="array" ref="B3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1"/>
      <c r="I301"/>
      <c r="J301"/>
    </row>
    <row r="302" spans="1:10">
      <c r="A302" s="2" t="s">
        <v>467</v>
      </c>
      <c r="B302" s="2" t="str" cm="1">
        <f t="array" ref="B3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2"/>
      <c r="I302"/>
      <c r="J302"/>
    </row>
    <row r="303" spans="1:10">
      <c r="A303" s="2" t="s">
        <v>468</v>
      </c>
      <c r="B303" s="2" t="str" cm="1">
        <f t="array" ref="B3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3"/>
      <c r="I303"/>
      <c r="J303"/>
    </row>
    <row r="304" spans="1:10">
      <c r="A304" s="2" t="s">
        <v>437</v>
      </c>
      <c r="B304" s="2" t="str" cm="1">
        <f t="array" ref="B3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4"/>
      <c r="I304"/>
      <c r="J304"/>
    </row>
    <row r="305" spans="1:10">
      <c r="A305" s="2" t="s">
        <v>393</v>
      </c>
      <c r="B305" s="2" t="str" cm="1">
        <f t="array" ref="B3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5"/>
      <c r="I305"/>
      <c r="J305"/>
    </row>
    <row r="306" spans="1:10">
      <c r="A306" s="2" t="s">
        <v>392</v>
      </c>
      <c r="B306" s="2" t="str" cm="1">
        <f t="array" ref="B3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06"/>
      <c r="I306"/>
      <c r="J306"/>
    </row>
    <row r="307" spans="1:10">
      <c r="A307" s="2" t="s">
        <v>385</v>
      </c>
      <c r="B307" s="2" t="str" cm="1">
        <f t="array" ref="B3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07"/>
      <c r="I307"/>
      <c r="J307"/>
    </row>
    <row r="308" spans="1:10">
      <c r="A308" s="2" t="s">
        <v>415</v>
      </c>
      <c r="B308" s="2" t="str" cm="1">
        <f t="array" ref="B3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8"/>
      <c r="I308"/>
      <c r="J308"/>
    </row>
    <row r="309" spans="1:10">
      <c r="A309" s="2" t="s">
        <v>420</v>
      </c>
      <c r="B309" s="2" t="str" cm="1">
        <f t="array" ref="B3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9"/>
      <c r="I309"/>
      <c r="J309"/>
    </row>
    <row r="310" spans="1:10">
      <c r="A310" s="2" t="s">
        <v>438</v>
      </c>
      <c r="B310" s="2" t="str" cm="1">
        <f t="array" ref="B3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310"/>
      <c r="I310"/>
      <c r="J310"/>
    </row>
    <row r="311" spans="1:10">
      <c r="A311" s="2" t="s">
        <v>445</v>
      </c>
      <c r="B311" s="2" t="str" cm="1">
        <f t="array" ref="B3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11"/>
      <c r="I311"/>
      <c r="J311"/>
    </row>
    <row r="312" spans="1:10">
      <c r="A312" s="2" t="s">
        <v>436</v>
      </c>
      <c r="B312" s="2" t="str" cm="1">
        <f t="array" ref="B3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12"/>
      <c r="I312"/>
      <c r="J312"/>
    </row>
    <row r="313" spans="1:10">
      <c r="A313" s="2" t="s">
        <v>651</v>
      </c>
      <c r="B313" s="2" t="str" cm="1">
        <f t="array" ref="B3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3"/>
      <c r="I313"/>
      <c r="J313"/>
    </row>
    <row r="314" spans="1:10">
      <c r="A314" s="2" t="s">
        <v>533</v>
      </c>
      <c r="B314" s="2" t="str" cm="1">
        <f t="array" ref="B3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4"/>
      <c r="I314"/>
      <c r="J314"/>
    </row>
    <row r="315" spans="1:10">
      <c r="A315" s="2" t="s">
        <v>644</v>
      </c>
      <c r="B315" s="2" t="str" cm="1">
        <f t="array" ref="B3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5"/>
      <c r="I315"/>
      <c r="J315"/>
    </row>
    <row r="316" spans="1:10">
      <c r="A316" s="2" t="s">
        <v>643</v>
      </c>
      <c r="B316" s="2" t="str" cm="1">
        <f t="array" ref="B3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6"/>
      <c r="I316"/>
      <c r="J316"/>
    </row>
    <row r="317" spans="1:10">
      <c r="A317" s="2" t="s">
        <v>645</v>
      </c>
      <c r="B317" s="2" t="str" cm="1">
        <f t="array" ref="B3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7"/>
      <c r="I317"/>
      <c r="J317"/>
    </row>
    <row r="318" spans="1:10">
      <c r="A318" s="2" t="s">
        <v>552</v>
      </c>
      <c r="B318" s="2" t="str" cm="1">
        <f t="array" ref="B3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8"/>
      <c r="I318"/>
      <c r="J318"/>
    </row>
    <row r="319" spans="1:10">
      <c r="A319" s="2" t="s">
        <v>553</v>
      </c>
      <c r="B319" s="2" t="str" cm="1">
        <f t="array" ref="B3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9"/>
      <c r="I319"/>
      <c r="J319"/>
    </row>
    <row r="320" spans="1:10">
      <c r="A320" s="2" t="s">
        <v>554</v>
      </c>
      <c r="B320" s="2" t="str" cm="1">
        <f t="array" ref="B3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0"/>
      <c r="I320"/>
      <c r="J320"/>
    </row>
    <row r="321" spans="1:10">
      <c r="A321" s="2" t="s">
        <v>564</v>
      </c>
      <c r="B321" s="2" t="str" cm="1">
        <f t="array" ref="B3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1"/>
      <c r="I321"/>
      <c r="J321"/>
    </row>
    <row r="322" spans="1:10">
      <c r="A322" s="2" t="s">
        <v>649</v>
      </c>
      <c r="B322" s="2" t="str" cm="1">
        <f t="array" ref="B3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2"/>
      <c r="I322"/>
      <c r="J322"/>
    </row>
    <row r="323" spans="1:10">
      <c r="A323" s="2" t="s">
        <v>648</v>
      </c>
      <c r="B323" s="2" t="str" cm="1">
        <f t="array" ref="B3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3"/>
      <c r="I323"/>
      <c r="J323"/>
    </row>
    <row r="324" spans="1:10">
      <c r="A324" s="2" t="s">
        <v>577</v>
      </c>
      <c r="B324" s="2" t="str" cm="1">
        <f t="array" ref="B3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4"/>
      <c r="I324"/>
      <c r="J324"/>
    </row>
    <row r="325" spans="1:10">
      <c r="A325" s="2" t="s">
        <v>670</v>
      </c>
      <c r="B325" s="2" t="str" cm="1">
        <f t="array" ref="B3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5"/>
      <c r="I325"/>
      <c r="J325"/>
    </row>
    <row r="326" spans="1:10">
      <c r="A326" s="2" t="s">
        <v>588</v>
      </c>
      <c r="B326" s="2" t="str" cm="1">
        <f t="array" ref="B3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6"/>
      <c r="I326"/>
      <c r="J326"/>
    </row>
    <row r="327" spans="1:10">
      <c r="A327" s="2" t="s">
        <v>534</v>
      </c>
      <c r="B327" s="2" t="str" cm="1">
        <f t="array" ref="B3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7"/>
      <c r="I327"/>
      <c r="J327"/>
    </row>
    <row r="328" spans="1:10">
      <c r="A328" s="2" t="s">
        <v>535</v>
      </c>
      <c r="B328" s="2" t="str" cm="1">
        <f t="array" ref="B3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8"/>
      <c r="I328"/>
      <c r="J328"/>
    </row>
    <row r="329" spans="1:10">
      <c r="A329" s="2" t="s">
        <v>568</v>
      </c>
      <c r="B329" s="2" t="str" cm="1">
        <f t="array" ref="B3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9"/>
      <c r="I329"/>
      <c r="J329"/>
    </row>
    <row r="330" spans="1:10">
      <c r="A330" s="2" t="s">
        <v>565</v>
      </c>
      <c r="B330" s="2" t="str" cm="1">
        <f t="array" ref="B3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0"/>
      <c r="I330"/>
      <c r="J330"/>
    </row>
    <row r="331" spans="1:10">
      <c r="A331" s="2" t="s">
        <v>566</v>
      </c>
      <c r="B331" s="2" t="str" cm="1">
        <f t="array" ref="B3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1"/>
      <c r="I331"/>
      <c r="J331"/>
    </row>
    <row r="332" spans="1:10">
      <c r="A332" s="2" t="s">
        <v>586</v>
      </c>
      <c r="B332" s="2" t="str" cm="1">
        <f t="array" ref="B3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32"/>
      <c r="I332"/>
      <c r="J332"/>
    </row>
    <row r="333" spans="1:10">
      <c r="A333" s="2" t="s">
        <v>585</v>
      </c>
      <c r="B333" s="2" t="str" cm="1">
        <f t="array" ref="B3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33"/>
      <c r="I333"/>
      <c r="J333"/>
    </row>
    <row r="334" spans="1:10">
      <c r="A334" s="2" t="s">
        <v>587</v>
      </c>
      <c r="B334" s="2" t="str" cm="1">
        <f t="array" ref="B3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34"/>
      <c r="I334"/>
      <c r="J334"/>
    </row>
    <row r="335" spans="1:10">
      <c r="A335" s="2" t="s">
        <v>563</v>
      </c>
      <c r="B335" s="2" t="str" cm="1">
        <f t="array" ref="B3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5"/>
      <c r="I335"/>
      <c r="J335"/>
    </row>
    <row r="336" spans="1:10">
      <c r="A336" s="2" t="s">
        <v>555</v>
      </c>
      <c r="B336" s="2" t="str" cm="1">
        <f t="array" ref="B3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6"/>
      <c r="I336"/>
      <c r="J336"/>
    </row>
    <row r="337" spans="1:10">
      <c r="A337" s="2" t="s">
        <v>567</v>
      </c>
      <c r="B337" s="2" t="str" cm="1">
        <f t="array" ref="B3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7"/>
      <c r="I337"/>
      <c r="J337"/>
    </row>
    <row r="338" spans="1:10">
      <c r="A338" s="2" t="s">
        <v>536</v>
      </c>
      <c r="B338" s="2" t="str" cm="1">
        <f t="array" ref="B3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8"/>
      <c r="I338"/>
      <c r="J338"/>
    </row>
    <row r="339" spans="1:10">
      <c r="A339" s="2" t="s">
        <v>551</v>
      </c>
      <c r="B339" s="2" t="str" cm="1">
        <f t="array" ref="B3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9"/>
      <c r="I339"/>
      <c r="J339"/>
    </row>
    <row r="340" spans="1:10">
      <c r="A340" s="2" t="s">
        <v>548</v>
      </c>
      <c r="B340" s="2" t="str" cm="1">
        <f t="array" ref="B3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0"/>
      <c r="I340"/>
      <c r="J340"/>
    </row>
    <row r="341" spans="1:10">
      <c r="A341" s="2" t="s">
        <v>545</v>
      </c>
      <c r="B341" s="2" t="str" cm="1">
        <f t="array" ref="B3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1"/>
      <c r="I341"/>
      <c r="J341"/>
    </row>
    <row r="342" spans="1:10">
      <c r="A342" s="2" t="s">
        <v>546</v>
      </c>
      <c r="B342" s="2" t="str" cm="1">
        <f t="array" ref="B3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2"/>
      <c r="I342"/>
      <c r="J342"/>
    </row>
    <row r="343" spans="1:10">
      <c r="A343" s="2" t="s">
        <v>547</v>
      </c>
      <c r="B343" s="2" t="str" cm="1">
        <f t="array" ref="B3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43"/>
      <c r="I343"/>
      <c r="J343"/>
    </row>
    <row r="344" spans="1:10">
      <c r="A344" s="2" t="s">
        <v>579</v>
      </c>
      <c r="B344" s="2" t="str" cm="1">
        <f t="array" ref="B3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4"/>
      <c r="I344"/>
      <c r="J344"/>
    </row>
    <row r="345" spans="1:10">
      <c r="A345" s="2" t="s">
        <v>580</v>
      </c>
      <c r="B345" s="2" t="str" cm="1">
        <f t="array" ref="B3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5"/>
      <c r="I345"/>
      <c r="J345"/>
    </row>
    <row r="346" spans="1:10">
      <c r="A346" s="2" t="s">
        <v>569</v>
      </c>
      <c r="B346" s="2" t="str" cm="1">
        <f t="array" ref="B3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6"/>
      <c r="I346"/>
      <c r="J346"/>
    </row>
    <row r="347" spans="1:10">
      <c r="A347" s="2" t="s">
        <v>570</v>
      </c>
      <c r="B347" s="2" t="str" cm="1">
        <f t="array" ref="B3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7"/>
      <c r="I347"/>
      <c r="J347"/>
    </row>
    <row r="348" spans="1:10">
      <c r="A348" s="2" t="s">
        <v>571</v>
      </c>
      <c r="B348" s="2" t="str" cm="1">
        <f t="array" ref="B3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8"/>
      <c r="I348"/>
      <c r="J348"/>
    </row>
    <row r="349" spans="1:10">
      <c r="A349" s="2" t="s">
        <v>642</v>
      </c>
      <c r="B349" s="2" t="str" cm="1">
        <f t="array" ref="B3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9"/>
      <c r="I349"/>
      <c r="J349"/>
    </row>
    <row r="350" spans="1:10">
      <c r="A350" s="2" t="s">
        <v>641</v>
      </c>
      <c r="B350" s="2" t="str" cm="1">
        <f t="array" ref="B3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0"/>
      <c r="I350"/>
      <c r="J350"/>
    </row>
    <row r="351" spans="1:10">
      <c r="A351" s="2" t="s">
        <v>572</v>
      </c>
      <c r="B351" s="2" t="str" cm="1">
        <f t="array" ref="B3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1"/>
      <c r="I351"/>
      <c r="J351"/>
    </row>
    <row r="352" spans="1:10">
      <c r="A352" s="2" t="s">
        <v>573</v>
      </c>
      <c r="B352" s="2" t="str" cm="1">
        <f t="array" ref="B3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2"/>
      <c r="I352"/>
      <c r="J352"/>
    </row>
    <row r="353" spans="1:10">
      <c r="A353" s="2" t="s">
        <v>549</v>
      </c>
      <c r="B353" s="2" t="str" cm="1">
        <f t="array" ref="B3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3"/>
      <c r="I353"/>
      <c r="J353"/>
    </row>
    <row r="354" spans="1:10">
      <c r="A354" s="2" t="s">
        <v>582</v>
      </c>
      <c r="B354" s="2" t="str" cm="1">
        <f t="array" ref="B3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4"/>
      <c r="I354"/>
      <c r="J354"/>
    </row>
    <row r="355" spans="1:10">
      <c r="A355" s="2" t="s">
        <v>542</v>
      </c>
      <c r="B355" s="2" t="str" cm="1">
        <f t="array" ref="B3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5"/>
      <c r="I355"/>
      <c r="J355"/>
    </row>
    <row r="356" spans="1:10">
      <c r="A356" s="2" t="s">
        <v>581</v>
      </c>
      <c r="B356" s="2" t="str" cm="1">
        <f t="array" ref="B3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6"/>
      <c r="I356"/>
      <c r="J356"/>
    </row>
    <row r="357" spans="1:10">
      <c r="A357" s="2" t="s">
        <v>541</v>
      </c>
      <c r="B357" s="2" t="str" cm="1">
        <f t="array" ref="B3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7"/>
      <c r="I357"/>
      <c r="J357"/>
    </row>
    <row r="358" spans="1:10">
      <c r="A358" s="2" t="s">
        <v>537</v>
      </c>
      <c r="B358" s="2" t="str" cm="1">
        <f t="array" ref="B3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8"/>
      <c r="I358"/>
      <c r="J358"/>
    </row>
    <row r="359" spans="1:10">
      <c r="A359" s="2" t="s">
        <v>538</v>
      </c>
      <c r="B359" s="2" t="str" cm="1">
        <f t="array" ref="B3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9"/>
      <c r="I359"/>
      <c r="J359"/>
    </row>
    <row r="360" spans="1:10">
      <c r="A360" s="2" t="s">
        <v>539</v>
      </c>
      <c r="B360" s="2" t="str" cm="1">
        <f t="array" ref="B3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0"/>
      <c r="I360"/>
      <c r="J360"/>
    </row>
    <row r="361" spans="1:10">
      <c r="A361" s="2" t="s">
        <v>543</v>
      </c>
      <c r="B361" s="2" t="str" cm="1">
        <f t="array" ref="B3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1"/>
      <c r="I361"/>
      <c r="J361"/>
    </row>
    <row r="362" spans="1:10">
      <c r="A362" s="2" t="s">
        <v>540</v>
      </c>
      <c r="B362" s="2" t="str" cm="1">
        <f t="array" ref="B3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2"/>
      <c r="I362"/>
      <c r="J362"/>
    </row>
    <row r="363" spans="1:10">
      <c r="A363" s="2" t="s">
        <v>646</v>
      </c>
      <c r="B363" s="2" t="str" cm="1">
        <f t="array" ref="B3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3"/>
      <c r="I363"/>
      <c r="J363"/>
    </row>
    <row r="364" spans="1:10">
      <c r="A364" s="2" t="s">
        <v>557</v>
      </c>
      <c r="B364" s="2" t="str" cm="1">
        <f t="array" ref="B3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4"/>
      <c r="I364"/>
      <c r="J364"/>
    </row>
    <row r="365" spans="1:10">
      <c r="A365" s="2" t="s">
        <v>556</v>
      </c>
      <c r="B365" s="2" t="str" cm="1">
        <f t="array" ref="B3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5"/>
      <c r="I365"/>
      <c r="J365"/>
    </row>
    <row r="366" spans="1:10">
      <c r="A366" s="2" t="s">
        <v>550</v>
      </c>
      <c r="B366" s="2" t="str" cm="1">
        <f t="array" ref="B3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6"/>
      <c r="I366"/>
      <c r="J366"/>
    </row>
    <row r="367" spans="1:10">
      <c r="A367" s="2" t="s">
        <v>544</v>
      </c>
      <c r="B367" s="2" t="str" cm="1">
        <f t="array" ref="B3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7"/>
      <c r="I367"/>
      <c r="J367"/>
    </row>
    <row r="368" spans="1:10">
      <c r="A368" s="2" t="s">
        <v>574</v>
      </c>
      <c r="B368" s="2" t="str" cm="1">
        <f t="array" ref="B3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8"/>
      <c r="I368"/>
      <c r="J368"/>
    </row>
    <row r="369" spans="1:10">
      <c r="A369" s="2" t="s">
        <v>668</v>
      </c>
      <c r="B369" s="2" t="str" cm="1">
        <f t="array" ref="B3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9"/>
      <c r="I369"/>
      <c r="J369"/>
    </row>
    <row r="370" spans="1:10">
      <c r="A370" s="2" t="s">
        <v>671</v>
      </c>
      <c r="B370" s="2" t="str" cm="1">
        <f t="array" ref="B3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0"/>
      <c r="I370"/>
      <c r="J370"/>
    </row>
    <row r="371" spans="1:10">
      <c r="A371" s="2" t="s">
        <v>669</v>
      </c>
      <c r="B371" s="2" t="str" cm="1">
        <f t="array" ref="B3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1"/>
      <c r="I371"/>
      <c r="J371"/>
    </row>
    <row r="372" spans="1:10">
      <c r="A372" s="2" t="s">
        <v>575</v>
      </c>
      <c r="B372" s="2" t="str" cm="1">
        <f t="array" ref="B3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2"/>
      <c r="I372"/>
      <c r="J372"/>
    </row>
    <row r="373" spans="1:10">
      <c r="A373" s="2" t="s">
        <v>647</v>
      </c>
      <c r="B373" s="2" t="str" cm="1">
        <f t="array" ref="B3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3"/>
      <c r="I373"/>
      <c r="J373"/>
    </row>
    <row r="374" spans="1:10">
      <c r="A374" s="2" t="s">
        <v>589</v>
      </c>
      <c r="B374" s="2" t="str" cm="1">
        <f t="array" ref="B3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4"/>
      <c r="I374"/>
      <c r="J374"/>
    </row>
    <row r="375" spans="1:10">
      <c r="A375" s="2" t="s">
        <v>558</v>
      </c>
      <c r="B375" s="2" t="str" cm="1">
        <f t="array" ref="B3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75"/>
      <c r="I375"/>
      <c r="J375"/>
    </row>
    <row r="376" spans="1:10">
      <c r="A376" s="2" t="s">
        <v>559</v>
      </c>
      <c r="B376" s="2" t="str" cm="1">
        <f t="array" ref="B3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6"/>
      <c r="I376"/>
      <c r="J376"/>
    </row>
    <row r="377" spans="1:10">
      <c r="A377" s="2" t="s">
        <v>561</v>
      </c>
      <c r="B377" s="2" t="str" cm="1">
        <f t="array" ref="B3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7"/>
      <c r="I377"/>
      <c r="J377"/>
    </row>
    <row r="378" spans="1:10">
      <c r="A378" s="2" t="s">
        <v>583</v>
      </c>
      <c r="B378" s="2" t="str" cm="1">
        <f t="array" ref="B3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8"/>
      <c r="I378"/>
      <c r="J378"/>
    </row>
    <row r="379" spans="1:10">
      <c r="A379" s="2" t="s">
        <v>560</v>
      </c>
      <c r="B379" s="2" t="str" cm="1">
        <f t="array" ref="B3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9"/>
      <c r="I379"/>
      <c r="J379"/>
    </row>
    <row r="380" spans="1:10">
      <c r="A380" s="2" t="s">
        <v>650</v>
      </c>
      <c r="B380" s="2" t="str" cm="1">
        <f t="array" ref="B3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0"/>
      <c r="I380"/>
      <c r="J380"/>
    </row>
    <row r="381" spans="1:10">
      <c r="A381" s="2" t="s">
        <v>576</v>
      </c>
      <c r="B381" s="2" t="str" cm="1">
        <f t="array" ref="B3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1"/>
      <c r="I381"/>
      <c r="J381"/>
    </row>
    <row r="382" spans="1:10">
      <c r="A382" s="2" t="s">
        <v>590</v>
      </c>
      <c r="B382" s="2" t="str" cm="1">
        <f t="array" ref="B3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82"/>
      <c r="I382"/>
      <c r="J382"/>
    </row>
    <row r="383" spans="1:10">
      <c r="A383" s="2" t="s">
        <v>562</v>
      </c>
      <c r="B383" s="2" t="str" cm="1">
        <f t="array" ref="B3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3"/>
      <c r="I383"/>
      <c r="J383"/>
    </row>
    <row r="384" spans="1:10">
      <c r="A384" s="2" t="s">
        <v>584</v>
      </c>
      <c r="B384" s="2" t="str" cm="1">
        <f t="array" ref="B3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4"/>
      <c r="I384"/>
      <c r="J384"/>
    </row>
    <row r="385" spans="1:10">
      <c r="A385" s="2" t="s">
        <v>578</v>
      </c>
      <c r="B385" s="2" t="str" cm="1">
        <f t="array" ref="B3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5"/>
      <c r="I385"/>
      <c r="J385"/>
    </row>
    <row r="386" spans="1:10">
      <c r="A386" s="2" t="s">
        <v>597</v>
      </c>
      <c r="B386" s="2" t="str" cm="1">
        <f t="array" ref="B3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6"/>
      <c r="I386"/>
      <c r="J386"/>
    </row>
    <row r="387" spans="1:10">
      <c r="A387" s="2" t="s">
        <v>596</v>
      </c>
      <c r="B387" s="2" t="str" cm="1">
        <f t="array" ref="B3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87"/>
      <c r="I387"/>
      <c r="J387"/>
    </row>
    <row r="388" spans="1:10">
      <c r="A388" s="2" t="s">
        <v>598</v>
      </c>
      <c r="B388" s="2" t="str" cm="1">
        <f t="array" ref="B3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8"/>
      <c r="I388"/>
      <c r="J388"/>
    </row>
    <row r="389" spans="1:10">
      <c r="A389" s="2" t="s">
        <v>751</v>
      </c>
      <c r="B389" s="2" t="str" cm="1">
        <f t="array" ref="B3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9"/>
      <c r="I389"/>
      <c r="J389"/>
    </row>
    <row r="390" spans="1:10">
      <c r="A390" s="2" t="s">
        <v>752</v>
      </c>
      <c r="B390" s="2" t="str" cm="1">
        <f t="array" ref="B3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0"/>
      <c r="I390"/>
      <c r="J390"/>
    </row>
    <row r="391" spans="1:10">
      <c r="A391" s="2" t="s">
        <v>910</v>
      </c>
      <c r="B391" s="2" t="str" cm="1">
        <f t="array" ref="B3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1"/>
      <c r="I391"/>
      <c r="J391"/>
    </row>
    <row r="392" spans="1:10">
      <c r="A392" s="2" t="s">
        <v>893</v>
      </c>
      <c r="B392" s="2" t="str" cm="1">
        <f t="array" ref="B3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2"/>
      <c r="I392"/>
      <c r="J392"/>
    </row>
    <row r="393" spans="1:10">
      <c r="A393" s="2" t="s">
        <v>894</v>
      </c>
      <c r="B393" s="2" t="str" cm="1">
        <f t="array" ref="B3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3"/>
      <c r="I393"/>
      <c r="J393"/>
    </row>
    <row r="394" spans="1:10">
      <c r="A394" s="2" t="s">
        <v>895</v>
      </c>
      <c r="B394" s="2" t="str" cm="1">
        <f t="array" ref="B3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4"/>
      <c r="I394"/>
      <c r="J394"/>
    </row>
    <row r="395" spans="1:10">
      <c r="A395" s="2" t="s">
        <v>896</v>
      </c>
      <c r="B395" s="2" t="str" cm="1">
        <f t="array" ref="B3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5"/>
      <c r="I395"/>
      <c r="J395"/>
    </row>
    <row r="396" spans="1:10">
      <c r="A396" s="2" t="s">
        <v>897</v>
      </c>
      <c r="B396" s="2" t="str" cm="1">
        <f t="array" ref="B3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6"/>
      <c r="I396"/>
      <c r="J396"/>
    </row>
    <row r="397" spans="1:10">
      <c r="A397" s="2" t="s">
        <v>898</v>
      </c>
      <c r="B397" s="2" t="str" cm="1">
        <f t="array" ref="B3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7"/>
      <c r="I397"/>
      <c r="J397"/>
    </row>
    <row r="398" spans="1:10">
      <c r="A398" s="2" t="s">
        <v>899</v>
      </c>
      <c r="B398" s="2" t="str" cm="1">
        <f t="array" ref="B3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8"/>
      <c r="I398"/>
      <c r="J398"/>
    </row>
    <row r="399" spans="1:10">
      <c r="A399" s="2" t="s">
        <v>900</v>
      </c>
      <c r="B399" s="2" t="str" cm="1">
        <f t="array" ref="B3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9"/>
      <c r="I399"/>
      <c r="J399"/>
    </row>
    <row r="400" spans="1:10">
      <c r="A400" s="2" t="s">
        <v>901</v>
      </c>
      <c r="B400" s="2" t="str" cm="1">
        <f t="array" ref="B4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0"/>
      <c r="I400"/>
      <c r="J400"/>
    </row>
    <row r="401" spans="1:10">
      <c r="A401" s="2" t="s">
        <v>902</v>
      </c>
      <c r="B401" s="2" t="str" cm="1">
        <f t="array" ref="B4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1"/>
      <c r="I401"/>
      <c r="J401"/>
    </row>
    <row r="402" spans="1:10">
      <c r="A402" s="2" t="s">
        <v>903</v>
      </c>
      <c r="B402" s="2" t="str" cm="1">
        <f t="array" ref="B4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2"/>
      <c r="I402"/>
      <c r="J402"/>
    </row>
    <row r="403" spans="1:10">
      <c r="A403" s="2" t="s">
        <v>904</v>
      </c>
      <c r="B403" s="2" t="str" cm="1">
        <f t="array" ref="B4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3"/>
      <c r="I403"/>
      <c r="J403"/>
    </row>
    <row r="404" spans="1:10">
      <c r="A404" s="2" t="s">
        <v>905</v>
      </c>
      <c r="B404" s="2" t="str" cm="1">
        <f t="array" ref="B4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4"/>
      <c r="I404"/>
      <c r="J404"/>
    </row>
    <row r="405" spans="1:10">
      <c r="A405" s="2" t="s">
        <v>906</v>
      </c>
      <c r="B405" s="2" t="str" cm="1">
        <f t="array" ref="B4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5"/>
      <c r="I405"/>
      <c r="J405"/>
    </row>
    <row r="406" spans="1:10">
      <c r="A406" s="2" t="s">
        <v>373</v>
      </c>
      <c r="B406" s="2" t="str" cm="1">
        <f t="array" ref="B4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6"/>
      <c r="I406"/>
      <c r="J406"/>
    </row>
    <row r="407" spans="1:10">
      <c r="A407" s="2" t="s">
        <v>367</v>
      </c>
      <c r="B407" s="2" t="str" cm="1">
        <f t="array" ref="B4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7"/>
      <c r="I407"/>
      <c r="J407"/>
    </row>
    <row r="408" spans="1:10">
      <c r="A408" s="2" t="s">
        <v>324</v>
      </c>
      <c r="B408" s="2" t="str" cm="1">
        <f t="array" ref="B4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8"/>
      <c r="I408"/>
      <c r="J408"/>
    </row>
    <row r="409" spans="1:10">
      <c r="A409" s="2" t="s">
        <v>370</v>
      </c>
      <c r="B409" s="2" t="str" cm="1">
        <f t="array" ref="B4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9"/>
      <c r="I409"/>
      <c r="J409"/>
    </row>
    <row r="410" spans="1:10">
      <c r="A410" s="2" t="s">
        <v>340</v>
      </c>
      <c r="B410" s="2" t="str" cm="1">
        <f t="array" ref="B4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0"/>
      <c r="I410"/>
      <c r="J410"/>
    </row>
    <row r="411" spans="1:10">
      <c r="A411" s="2" t="s">
        <v>333</v>
      </c>
      <c r="B411" s="2" t="str" cm="1">
        <f t="array" ref="B4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1"/>
      <c r="I411"/>
      <c r="J411"/>
    </row>
    <row r="412" spans="1:10">
      <c r="A412" s="2" t="s">
        <v>369</v>
      </c>
      <c r="B412" s="2" t="str" cm="1">
        <f t="array" ref="B4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2"/>
      <c r="I412"/>
      <c r="J412"/>
    </row>
    <row r="413" spans="1:10">
      <c r="A413" s="2" t="s">
        <v>368</v>
      </c>
      <c r="B413" s="2" t="str" cm="1">
        <f t="array" ref="B4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3"/>
      <c r="I413"/>
      <c r="J413"/>
    </row>
    <row r="414" spans="1:10">
      <c r="A414" s="2" t="s">
        <v>366</v>
      </c>
      <c r="B414" s="2" t="str" cm="1">
        <f t="array" ref="B4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4"/>
      <c r="I414"/>
      <c r="J414"/>
    </row>
    <row r="415" spans="1:10">
      <c r="A415" s="2" t="s">
        <v>343</v>
      </c>
      <c r="B415" s="2" t="str" cm="1">
        <f t="array" ref="B4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5"/>
      <c r="I415"/>
      <c r="J415"/>
    </row>
    <row r="416" spans="1:10">
      <c r="A416" s="2" t="s">
        <v>339</v>
      </c>
      <c r="B416" s="2" t="str" cm="1">
        <f t="array" ref="B4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6"/>
      <c r="I416"/>
      <c r="J416"/>
    </row>
    <row r="417" spans="1:10">
      <c r="A417" s="2" t="s">
        <v>329</v>
      </c>
      <c r="B417" s="2" t="str" cm="1">
        <f t="array" ref="B4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7"/>
      <c r="I417"/>
      <c r="J417"/>
    </row>
    <row r="418" spans="1:10">
      <c r="A418" s="2" t="s">
        <v>350</v>
      </c>
      <c r="B418" s="2" t="str" cm="1">
        <f t="array" ref="B4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8"/>
      <c r="I418"/>
      <c r="J418"/>
    </row>
    <row r="419" spans="1:10">
      <c r="A419" s="2" t="s">
        <v>358</v>
      </c>
      <c r="B419" s="2" t="str" cm="1">
        <f t="array" ref="B4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9"/>
      <c r="I419"/>
      <c r="J419"/>
    </row>
    <row r="420" spans="1:10">
      <c r="A420" s="2" t="s">
        <v>374</v>
      </c>
      <c r="B420" s="2" t="str" cm="1">
        <f t="array" ref="B4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0"/>
      <c r="I420"/>
      <c r="J420"/>
    </row>
    <row r="421" spans="1:10">
      <c r="A421" s="2" t="s">
        <v>328</v>
      </c>
      <c r="B421" s="2" t="str" cm="1">
        <f t="array" ref="B4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1"/>
      <c r="I421"/>
      <c r="J421"/>
    </row>
    <row r="422" spans="1:10">
      <c r="A422" s="2" t="s">
        <v>334</v>
      </c>
      <c r="B422" s="2" t="str" cm="1">
        <f t="array" ref="B4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2"/>
      <c r="I422"/>
      <c r="J422"/>
    </row>
    <row r="423" spans="1:10">
      <c r="A423" s="2" t="s">
        <v>357</v>
      </c>
      <c r="B423" s="2" t="str" cm="1">
        <f t="array" ref="B4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3"/>
      <c r="I423"/>
      <c r="J423"/>
    </row>
    <row r="424" spans="1:10">
      <c r="A424" s="2" t="s">
        <v>331</v>
      </c>
      <c r="B424" s="2" t="str" cm="1">
        <f t="array" ref="B4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4"/>
      <c r="I424"/>
      <c r="J424"/>
    </row>
    <row r="425" spans="1:10">
      <c r="A425" s="2" t="s">
        <v>363</v>
      </c>
      <c r="B425" s="2" t="str" cm="1">
        <f t="array" ref="B4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5"/>
      <c r="I425"/>
      <c r="J425"/>
    </row>
    <row r="426" spans="1:10">
      <c r="A426" s="2" t="s">
        <v>372</v>
      </c>
      <c r="B426" s="2" t="str" cm="1">
        <f t="array" ref="B4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6"/>
      <c r="I426"/>
      <c r="J426"/>
    </row>
    <row r="427" spans="1:10">
      <c r="A427" s="2" t="s">
        <v>360</v>
      </c>
      <c r="B427" s="2" t="str" cm="1">
        <f t="array" ref="B4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7"/>
      <c r="I427"/>
      <c r="J427"/>
    </row>
    <row r="428" spans="1:10">
      <c r="A428" s="2" t="s">
        <v>354</v>
      </c>
      <c r="B428" s="2" t="str" cm="1">
        <f t="array" ref="B4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8"/>
      <c r="I428"/>
      <c r="J428"/>
    </row>
    <row r="429" spans="1:10">
      <c r="A429" s="2" t="s">
        <v>342</v>
      </c>
      <c r="B429" s="2" t="str" cm="1">
        <f t="array" ref="B4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9"/>
      <c r="I429"/>
      <c r="J429"/>
    </row>
    <row r="430" spans="1:10">
      <c r="A430" s="2" t="s">
        <v>754</v>
      </c>
      <c r="B430" s="2" t="str" cm="1">
        <f t="array" ref="B4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0"/>
      <c r="I430"/>
      <c r="J430"/>
    </row>
    <row r="431" spans="1:10">
      <c r="A431" s="2" t="s">
        <v>753</v>
      </c>
      <c r="B431" s="2" t="str" cm="1">
        <f t="array" ref="B4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1"/>
      <c r="I431"/>
      <c r="J431"/>
    </row>
    <row r="432" spans="1:10">
      <c r="A432" s="2" t="s">
        <v>349</v>
      </c>
      <c r="B432" s="2" t="str" cm="1">
        <f t="array" ref="B4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2"/>
      <c r="I432"/>
      <c r="J432"/>
    </row>
    <row r="433" spans="1:10">
      <c r="A433" s="2" t="s">
        <v>336</v>
      </c>
      <c r="B433" s="2" t="str" cm="1">
        <f t="array" ref="B4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3"/>
      <c r="I433"/>
      <c r="J433"/>
    </row>
    <row r="434" spans="1:10">
      <c r="A434" s="2" t="s">
        <v>365</v>
      </c>
      <c r="B434" s="2" t="str" cm="1">
        <f t="array" ref="B4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4"/>
      <c r="I434"/>
      <c r="J434"/>
    </row>
    <row r="435" spans="1:10">
      <c r="A435" s="2" t="s">
        <v>338</v>
      </c>
      <c r="B435" s="2" t="str" cm="1">
        <f t="array" ref="B4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5"/>
      <c r="I435"/>
      <c r="J435"/>
    </row>
    <row r="436" spans="1:10">
      <c r="A436" s="2" t="s">
        <v>353</v>
      </c>
      <c r="B436" s="2" t="str" cm="1">
        <f t="array" ref="B4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6"/>
      <c r="I436"/>
      <c r="J436"/>
    </row>
    <row r="437" spans="1:10">
      <c r="A437" s="2" t="s">
        <v>332</v>
      </c>
      <c r="B437" s="2" t="str" cm="1">
        <f t="array" ref="B4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7"/>
      <c r="I437"/>
      <c r="J437"/>
    </row>
    <row r="438" spans="1:10">
      <c r="A438" s="2" t="s">
        <v>330</v>
      </c>
      <c r="B438" s="2" t="str" cm="1">
        <f t="array" ref="B4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8"/>
      <c r="I438"/>
      <c r="J438"/>
    </row>
    <row r="439" spans="1:10">
      <c r="A439" s="2" t="s">
        <v>345</v>
      </c>
      <c r="B439" s="2" t="str" cm="1">
        <f t="array" ref="B4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9"/>
      <c r="I439"/>
      <c r="J439"/>
    </row>
    <row r="440" spans="1:10">
      <c r="A440" s="2" t="s">
        <v>341</v>
      </c>
      <c r="B440" s="2" t="str" cm="1">
        <f t="array" ref="B4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0"/>
      <c r="I440"/>
      <c r="J440"/>
    </row>
    <row r="441" spans="1:10">
      <c r="A441" s="2" t="s">
        <v>351</v>
      </c>
      <c r="B441" s="2" t="str" cm="1">
        <f t="array" ref="B4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1"/>
      <c r="I441"/>
      <c r="J441"/>
    </row>
    <row r="442" spans="1:10">
      <c r="A442" s="2" t="s">
        <v>361</v>
      </c>
      <c r="B442" s="2" t="str" cm="1">
        <f t="array" ref="B4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2"/>
      <c r="I442"/>
      <c r="J442"/>
    </row>
    <row r="443" spans="1:10">
      <c r="A443" s="2" t="s">
        <v>364</v>
      </c>
      <c r="B443" s="2" t="str" cm="1">
        <f t="array" ref="B4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3"/>
      <c r="I443"/>
      <c r="J443"/>
    </row>
    <row r="444" spans="1:10">
      <c r="A444" s="2" t="s">
        <v>355</v>
      </c>
      <c r="B444" s="2" t="str" cm="1">
        <f t="array" ref="B4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4"/>
      <c r="I444"/>
      <c r="J444"/>
    </row>
    <row r="445" spans="1:10">
      <c r="A445" s="2" t="s">
        <v>352</v>
      </c>
      <c r="B445" s="2" t="str" cm="1">
        <f t="array" ref="B4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5"/>
      <c r="I445"/>
      <c r="J445"/>
    </row>
    <row r="446" spans="1:10">
      <c r="A446" s="2" t="s">
        <v>371</v>
      </c>
      <c r="B446" s="2" t="str" cm="1">
        <f t="array" ref="B4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6"/>
      <c r="I446"/>
      <c r="J446"/>
    </row>
    <row r="447" spans="1:10">
      <c r="A447" s="2" t="s">
        <v>337</v>
      </c>
      <c r="B447" s="2" t="str" cm="1">
        <f t="array" ref="B4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7"/>
      <c r="I447"/>
      <c r="J447"/>
    </row>
    <row r="448" spans="1:10">
      <c r="A448" s="2" t="s">
        <v>348</v>
      </c>
      <c r="B448" s="2" t="str" cm="1">
        <f t="array" ref="B4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8"/>
      <c r="I448"/>
      <c r="J448"/>
    </row>
    <row r="449" spans="1:10">
      <c r="A449" s="2" t="s">
        <v>344</v>
      </c>
      <c r="B449" s="2" t="str" cm="1">
        <f t="array" ref="B4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9"/>
      <c r="I449"/>
      <c r="J449"/>
    </row>
    <row r="450" spans="1:10">
      <c r="A450" s="2" t="s">
        <v>376</v>
      </c>
      <c r="B450" s="2" t="str" cm="1">
        <f t="array" ref="B4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0"/>
      <c r="I450"/>
      <c r="J450"/>
    </row>
    <row r="451" spans="1:10">
      <c r="A451" s="2" t="s">
        <v>377</v>
      </c>
      <c r="B451" s="2" t="str" cm="1">
        <f t="array" ref="B4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1"/>
      <c r="I451"/>
      <c r="J451"/>
    </row>
    <row r="452" spans="1:10">
      <c r="A452" s="2" t="s">
        <v>346</v>
      </c>
      <c r="B452" s="2" t="str" cm="1">
        <f t="array" ref="B4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2"/>
      <c r="I452"/>
      <c r="J452"/>
    </row>
    <row r="453" spans="1:10">
      <c r="A453" s="2" t="s">
        <v>375</v>
      </c>
      <c r="B453" s="2" t="str" cm="1">
        <f t="array" ref="B4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3"/>
      <c r="I453"/>
      <c r="J453"/>
    </row>
    <row r="454" spans="1:10">
      <c r="A454" s="2" t="s">
        <v>347</v>
      </c>
      <c r="B454" s="2" t="str" cm="1">
        <f t="array" ref="B4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4"/>
      <c r="I454"/>
      <c r="J454"/>
    </row>
    <row r="455" spans="1:10">
      <c r="A455" s="2" t="s">
        <v>359</v>
      </c>
      <c r="B455" s="2" t="str" cm="1">
        <f t="array" ref="B4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5"/>
      <c r="I455"/>
      <c r="J455"/>
    </row>
    <row r="456" spans="1:10">
      <c r="A456" s="2" t="s">
        <v>327</v>
      </c>
      <c r="B456" s="2" t="str" cm="1">
        <f t="array" ref="B4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6"/>
      <c r="I456"/>
      <c r="J456"/>
    </row>
    <row r="457" spans="1:10">
      <c r="A457" s="2" t="s">
        <v>362</v>
      </c>
      <c r="B457" s="2" t="str" cm="1">
        <f t="array" ref="B4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7"/>
      <c r="I457"/>
      <c r="J457"/>
    </row>
    <row r="458" spans="1:10">
      <c r="A458" s="2" t="s">
        <v>335</v>
      </c>
      <c r="B458" s="2" t="str" cm="1">
        <f t="array" ref="B4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8"/>
      <c r="I458"/>
      <c r="J458"/>
    </row>
    <row r="459" spans="1:10">
      <c r="A459" s="2" t="s">
        <v>356</v>
      </c>
      <c r="B459" s="2" t="str" cm="1">
        <f t="array" ref="B4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9"/>
      <c r="I459"/>
      <c r="J459"/>
    </row>
    <row r="460" spans="1:10">
      <c r="A460" s="2" t="s">
        <v>767</v>
      </c>
      <c r="B460" s="2" t="str" cm="1">
        <f t="array" ref="B4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0"/>
      <c r="I460"/>
      <c r="J460"/>
    </row>
    <row r="461" spans="1:10">
      <c r="A461" s="2" t="s">
        <v>769</v>
      </c>
      <c r="B461" s="2" t="str" cm="1">
        <f t="array" ref="B4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1"/>
      <c r="I461"/>
      <c r="J461"/>
    </row>
    <row r="462" spans="1:10">
      <c r="A462" s="2" t="s">
        <v>768</v>
      </c>
      <c r="B462" s="2" t="str" cm="1">
        <f t="array" ref="B4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2"/>
      <c r="I462"/>
      <c r="J462"/>
    </row>
    <row r="463" spans="1:10">
      <c r="A463" s="2" t="s">
        <v>764</v>
      </c>
      <c r="B463" s="2" t="str" cm="1">
        <f t="array" ref="B4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3"/>
      <c r="I463"/>
      <c r="J463"/>
    </row>
    <row r="464" spans="1:10">
      <c r="A464" s="2" t="s">
        <v>766</v>
      </c>
      <c r="B464" s="2" t="str" cm="1">
        <f t="array" ref="B4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4"/>
      <c r="I464"/>
      <c r="J464"/>
    </row>
    <row r="465" spans="1:10">
      <c r="A465" s="2" t="s">
        <v>765</v>
      </c>
      <c r="B465" s="2" t="str" cm="1">
        <f t="array" ref="B4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5"/>
      <c r="I465"/>
      <c r="J465"/>
    </row>
    <row r="466" spans="1:10">
      <c r="A466" s="2" t="s">
        <v>770</v>
      </c>
      <c r="B466" s="2" t="str" cm="1">
        <f t="array" ref="B4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6"/>
      <c r="I466"/>
      <c r="J466"/>
    </row>
    <row r="467" spans="1:10">
      <c r="A467" s="2" t="s">
        <v>772</v>
      </c>
      <c r="B467" s="2" t="str" cm="1">
        <f t="array" ref="B4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7"/>
      <c r="I467"/>
      <c r="J467"/>
    </row>
    <row r="468" spans="1:10">
      <c r="A468" s="2" t="s">
        <v>771</v>
      </c>
      <c r="B468" s="2" t="str" cm="1">
        <f t="array" ref="B4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8"/>
      <c r="I468"/>
      <c r="J468"/>
    </row>
    <row r="469" spans="1:10">
      <c r="A469" s="2" t="s">
        <v>773</v>
      </c>
      <c r="B469" s="2" t="str" cm="1">
        <f t="array" ref="B4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9"/>
      <c r="I469"/>
      <c r="J469"/>
    </row>
    <row r="470" spans="1:10">
      <c r="A470" s="2" t="s">
        <v>774</v>
      </c>
      <c r="B470" s="2" t="str" cm="1">
        <f t="array" ref="B4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0"/>
      <c r="I470"/>
      <c r="J470"/>
    </row>
    <row r="471" spans="1:10">
      <c r="A471" s="2" t="s">
        <v>779</v>
      </c>
      <c r="B471" s="2" t="str" cm="1">
        <f t="array" ref="B4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1"/>
      <c r="I471"/>
      <c r="J471"/>
    </row>
    <row r="472" spans="1:10">
      <c r="A472" s="2" t="s">
        <v>781</v>
      </c>
      <c r="B472" s="2" t="str" cm="1">
        <f t="array" ref="B4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2"/>
      <c r="I472"/>
      <c r="J472"/>
    </row>
    <row r="473" spans="1:10">
      <c r="A473" s="2" t="s">
        <v>780</v>
      </c>
      <c r="B473" s="2" t="str" cm="1">
        <f t="array" ref="B4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3"/>
      <c r="I473"/>
      <c r="J473"/>
    </row>
    <row r="474" spans="1:10">
      <c r="A474" s="2" t="s">
        <v>782</v>
      </c>
      <c r="B474" s="2" t="str" cm="1">
        <f t="array" ref="B4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4"/>
      <c r="I474"/>
      <c r="J474"/>
    </row>
    <row r="475" spans="1:10">
      <c r="A475" s="2" t="s">
        <v>784</v>
      </c>
      <c r="B475" s="2" t="str" cm="1">
        <f t="array" ref="B4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5"/>
      <c r="I475"/>
      <c r="J475"/>
    </row>
    <row r="476" spans="1:10">
      <c r="A476" s="2" t="s">
        <v>783</v>
      </c>
      <c r="B476" s="2" t="str" cm="1">
        <f t="array" ref="B4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6"/>
      <c r="I476"/>
      <c r="J476"/>
    </row>
    <row r="477" spans="1:10">
      <c r="A477" s="2" t="s">
        <v>776</v>
      </c>
      <c r="B477" s="2" t="str" cm="1">
        <f t="array" ref="B4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7"/>
      <c r="I477"/>
      <c r="J477"/>
    </row>
    <row r="478" spans="1:10">
      <c r="A478" s="2" t="s">
        <v>775</v>
      </c>
      <c r="B478" s="2" t="str" cm="1">
        <f t="array" ref="B4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8"/>
      <c r="I478"/>
      <c r="J478"/>
    </row>
    <row r="479" spans="1:10">
      <c r="A479" s="2" t="s">
        <v>778</v>
      </c>
      <c r="B479" s="2" t="str" cm="1">
        <f t="array" ref="B4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9"/>
      <c r="I479"/>
      <c r="J479"/>
    </row>
    <row r="480" spans="1:10">
      <c r="A480" s="2" t="s">
        <v>777</v>
      </c>
      <c r="B480" s="2" t="str" cm="1">
        <f t="array" ref="B4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0"/>
      <c r="I480"/>
      <c r="J480"/>
    </row>
    <row r="481" spans="1:10">
      <c r="A481" s="2" t="s">
        <v>788</v>
      </c>
      <c r="B481" s="2" t="str" cm="1">
        <f t="array" ref="B4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1"/>
      <c r="I481"/>
      <c r="J481"/>
    </row>
    <row r="482" spans="1:10">
      <c r="A482" s="2" t="s">
        <v>790</v>
      </c>
      <c r="B482" s="2" t="str" cm="1">
        <f t="array" ref="B4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2"/>
      <c r="I482"/>
      <c r="J482"/>
    </row>
    <row r="483" spans="1:10">
      <c r="A483" s="2" t="s">
        <v>789</v>
      </c>
      <c r="B483" s="2" t="str" cm="1">
        <f t="array" ref="B4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3"/>
      <c r="I483"/>
      <c r="J483"/>
    </row>
    <row r="484" spans="1:10">
      <c r="A484" s="2" t="s">
        <v>799</v>
      </c>
      <c r="B484" s="2" t="str" cm="1">
        <f t="array" ref="B4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4"/>
      <c r="I484"/>
      <c r="J484"/>
    </row>
    <row r="485" spans="1:10">
      <c r="A485" s="2" t="s">
        <v>791</v>
      </c>
      <c r="B485" s="2" t="str" cm="1">
        <f t="array" ref="B4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5"/>
      <c r="I485"/>
      <c r="J485"/>
    </row>
    <row r="486" spans="1:10">
      <c r="A486" s="2" t="s">
        <v>801</v>
      </c>
      <c r="B486" s="2" t="str" cm="1">
        <f t="array" ref="B4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6"/>
      <c r="I486"/>
      <c r="J486"/>
    </row>
    <row r="487" spans="1:10">
      <c r="A487" s="2" t="s">
        <v>802</v>
      </c>
      <c r="B487" s="2" t="str" cm="1">
        <f t="array" ref="B4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7"/>
      <c r="I487"/>
      <c r="J487"/>
    </row>
    <row r="488" spans="1:10">
      <c r="A488" s="2" t="s">
        <v>804</v>
      </c>
      <c r="B488" s="2" t="str" cm="1">
        <f t="array" ref="B4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8"/>
      <c r="I488"/>
      <c r="J488"/>
    </row>
    <row r="489" spans="1:10">
      <c r="A489" s="2" t="s">
        <v>803</v>
      </c>
      <c r="B489" s="2" t="str" cm="1">
        <f t="array" ref="B4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9"/>
      <c r="I489"/>
      <c r="J489"/>
    </row>
    <row r="490" spans="1:10">
      <c r="A490" s="2" t="s">
        <v>792</v>
      </c>
      <c r="B490" s="2" t="str" cm="1">
        <f t="array" ref="B4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0"/>
      <c r="I490"/>
      <c r="J490"/>
    </row>
    <row r="491" spans="1:10">
      <c r="A491" s="2" t="s">
        <v>794</v>
      </c>
      <c r="B491" s="2" t="str" cm="1">
        <f t="array" ref="B4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1"/>
      <c r="I491"/>
      <c r="J491"/>
    </row>
    <row r="492" spans="1:10">
      <c r="A492" s="2" t="s">
        <v>793</v>
      </c>
      <c r="B492" s="2" t="str" cm="1">
        <f t="array" ref="B4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2"/>
      <c r="I492"/>
      <c r="J492"/>
    </row>
    <row r="493" spans="1:10">
      <c r="A493" s="2" t="s">
        <v>785</v>
      </c>
      <c r="B493" s="2" t="str" cm="1">
        <f t="array" ref="B4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3"/>
      <c r="I493"/>
      <c r="J493"/>
    </row>
    <row r="494" spans="1:10">
      <c r="A494" s="2" t="s">
        <v>787</v>
      </c>
      <c r="B494" s="2" t="str" cm="1">
        <f t="array" ref="B4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4"/>
      <c r="I494"/>
      <c r="J494"/>
    </row>
    <row r="495" spans="1:10">
      <c r="A495" s="2" t="s">
        <v>786</v>
      </c>
      <c r="B495" s="2" t="str" cm="1">
        <f t="array" ref="B4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5"/>
      <c r="I495"/>
      <c r="J495"/>
    </row>
    <row r="496" spans="1:10">
      <c r="A496" s="2" t="s">
        <v>796</v>
      </c>
      <c r="B496" s="2" t="str" cm="1">
        <f t="array" ref="B4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6"/>
      <c r="I496"/>
      <c r="J496"/>
    </row>
    <row r="497" spans="1:10">
      <c r="A497" s="2" t="s">
        <v>795</v>
      </c>
      <c r="B497" s="2" t="str" cm="1">
        <f t="array" ref="B4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7"/>
      <c r="I497"/>
      <c r="J497"/>
    </row>
    <row r="498" spans="1:10">
      <c r="A498" s="2" t="s">
        <v>800</v>
      </c>
      <c r="B498" s="2" t="str" cm="1">
        <f t="array" ref="B4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8"/>
      <c r="I498"/>
      <c r="J498"/>
    </row>
    <row r="499" spans="1:10">
      <c r="A499" s="2" t="s">
        <v>797</v>
      </c>
      <c r="B499" s="2" t="str" cm="1">
        <f t="array" ref="B4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9"/>
      <c r="I499"/>
      <c r="J499"/>
    </row>
    <row r="500" spans="1:10">
      <c r="A500" s="2" t="s">
        <v>798</v>
      </c>
      <c r="B500" s="2" t="str" cm="1">
        <f t="array" ref="B5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0"/>
      <c r="I500"/>
      <c r="J500"/>
    </row>
    <row r="501" spans="1:10">
      <c r="A501" s="2" t="s">
        <v>816</v>
      </c>
      <c r="B501" s="2" t="str" cm="1">
        <f t="array" ref="B5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1"/>
      <c r="I501"/>
      <c r="J501"/>
    </row>
    <row r="502" spans="1:10">
      <c r="A502" s="2" t="s">
        <v>815</v>
      </c>
      <c r="B502" s="2" t="str" cm="1">
        <f t="array" ref="B5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2"/>
      <c r="I502"/>
      <c r="J502"/>
    </row>
    <row r="503" spans="1:10">
      <c r="A503" s="2" t="s">
        <v>820</v>
      </c>
      <c r="B503" s="2" t="str" cm="1">
        <f t="array" ref="B5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3"/>
      <c r="I503"/>
      <c r="J503"/>
    </row>
    <row r="504" spans="1:10">
      <c r="A504" s="2" t="s">
        <v>817</v>
      </c>
      <c r="B504" s="2" t="str" cm="1">
        <f t="array" ref="B5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4"/>
      <c r="I504"/>
      <c r="J504"/>
    </row>
    <row r="505" spans="1:10">
      <c r="A505" s="2" t="s">
        <v>809</v>
      </c>
      <c r="B505" s="2" t="str" cm="1">
        <f t="array" ref="B5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5"/>
      <c r="I505"/>
      <c r="J505"/>
    </row>
    <row r="506" spans="1:10">
      <c r="A506" s="2" t="s">
        <v>805</v>
      </c>
      <c r="B506" s="2" t="str" cm="1">
        <f t="array" ref="B5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6"/>
      <c r="I506"/>
      <c r="J506"/>
    </row>
    <row r="507" spans="1:10">
      <c r="A507" s="2" t="s">
        <v>808</v>
      </c>
      <c r="B507" s="2" t="str" cm="1">
        <f t="array" ref="B5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7"/>
      <c r="I507"/>
      <c r="J507"/>
    </row>
    <row r="508" spans="1:10">
      <c r="A508" s="2" t="s">
        <v>819</v>
      </c>
      <c r="B508" s="2" t="str" cm="1">
        <f t="array" ref="B5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8"/>
      <c r="I508"/>
      <c r="J508"/>
    </row>
    <row r="509" spans="1:10">
      <c r="A509" s="2" t="s">
        <v>818</v>
      </c>
      <c r="B509" s="2" t="str" cm="1">
        <f t="array" ref="B5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9"/>
      <c r="I509"/>
      <c r="J509"/>
    </row>
    <row r="510" spans="1:10">
      <c r="A510" s="2" t="s">
        <v>806</v>
      </c>
      <c r="B510" s="2" t="str" cm="1">
        <f t="array" ref="B5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0"/>
      <c r="I510"/>
      <c r="J510"/>
    </row>
    <row r="511" spans="1:10">
      <c r="A511" s="2" t="s">
        <v>810</v>
      </c>
      <c r="B511" s="2" t="str" cm="1">
        <f t="array" ref="B5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1"/>
      <c r="I511"/>
      <c r="J511"/>
    </row>
    <row r="512" spans="1:10">
      <c r="A512" s="2" t="s">
        <v>812</v>
      </c>
      <c r="B512" s="2" t="str" cm="1">
        <f t="array" ref="B5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2"/>
      <c r="I512"/>
      <c r="J512"/>
    </row>
    <row r="513" spans="1:10">
      <c r="A513" s="2" t="s">
        <v>811</v>
      </c>
      <c r="B513" s="2" t="str" cm="1">
        <f t="array" ref="B5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3"/>
      <c r="I513"/>
      <c r="J513"/>
    </row>
    <row r="514" spans="1:10">
      <c r="A514" s="2" t="s">
        <v>807</v>
      </c>
      <c r="B514" s="2" t="str" cm="1">
        <f t="array" ref="B5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4"/>
      <c r="I514"/>
      <c r="J514"/>
    </row>
    <row r="515" spans="1:10">
      <c r="A515" s="2" t="s">
        <v>814</v>
      </c>
      <c r="B515" s="2" t="str" cm="1">
        <f t="array" ref="B5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5"/>
      <c r="I515"/>
      <c r="J515"/>
    </row>
    <row r="516" spans="1:10">
      <c r="A516" s="2" t="s">
        <v>813</v>
      </c>
      <c r="B516" s="2" t="str" cm="1">
        <f t="array" ref="B5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6"/>
      <c r="I516"/>
      <c r="J516"/>
    </row>
    <row r="517" spans="1:10">
      <c r="A517" s="2" t="s">
        <v>821</v>
      </c>
      <c r="B517" s="2" t="str" cm="1">
        <f t="array" ref="B5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7"/>
      <c r="I517"/>
      <c r="J517"/>
    </row>
    <row r="518" spans="1:10">
      <c r="A518" s="2" t="s">
        <v>825</v>
      </c>
      <c r="B518" s="2" t="str" cm="1">
        <f t="array" ref="B5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8"/>
      <c r="I518"/>
      <c r="J518"/>
    </row>
    <row r="519" spans="1:10">
      <c r="A519" s="2" t="s">
        <v>826</v>
      </c>
      <c r="B519" s="2" t="str" cm="1">
        <f t="array" ref="B5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9"/>
      <c r="I519"/>
      <c r="J519"/>
    </row>
    <row r="520" spans="1:10">
      <c r="A520" s="2" t="s">
        <v>823</v>
      </c>
      <c r="B520" s="2" t="str" cm="1">
        <f t="array" ref="B5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0"/>
      <c r="I520"/>
      <c r="J520"/>
    </row>
    <row r="521" spans="1:10">
      <c r="A521" s="2" t="s">
        <v>824</v>
      </c>
      <c r="B521" s="2" t="str" cm="1">
        <f t="array" ref="B5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1"/>
      <c r="I521"/>
      <c r="J521"/>
    </row>
    <row r="522" spans="1:10">
      <c r="A522" s="2" t="s">
        <v>822</v>
      </c>
      <c r="B522" s="2" t="str" cm="1">
        <f t="array" ref="B5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2"/>
      <c r="I522"/>
      <c r="J522"/>
    </row>
    <row r="523" spans="1:10">
      <c r="A523" s="2" t="s">
        <v>827</v>
      </c>
      <c r="B523" s="2" t="str" cm="1">
        <f t="array" ref="B5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3"/>
      <c r="I523"/>
      <c r="J523"/>
    </row>
    <row r="524" spans="1:10">
      <c r="A524" s="2" t="s">
        <v>828</v>
      </c>
      <c r="B524" s="2" t="str" cm="1">
        <f t="array" ref="B5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4"/>
      <c r="I524"/>
      <c r="J524"/>
    </row>
    <row r="525" spans="1:10">
      <c r="A525" s="2" t="s">
        <v>830</v>
      </c>
      <c r="B525" s="2" t="str" cm="1">
        <f t="array" ref="B5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5"/>
      <c r="I525"/>
      <c r="J525"/>
    </row>
    <row r="526" spans="1:10">
      <c r="A526" s="2" t="s">
        <v>829</v>
      </c>
      <c r="B526" s="2" t="str" cm="1">
        <f t="array" ref="B5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6"/>
      <c r="I526"/>
      <c r="J526"/>
    </row>
    <row r="527" spans="1:10">
      <c r="A527" s="2" t="s">
        <v>831</v>
      </c>
      <c r="B527" s="2" t="str" cm="1">
        <f t="array" ref="B5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7"/>
      <c r="I527"/>
      <c r="J527"/>
    </row>
    <row r="528" spans="1:10">
      <c r="A528" s="2" t="s">
        <v>832</v>
      </c>
      <c r="B528" s="2" t="str" cm="1">
        <f t="array" ref="B5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8"/>
      <c r="I528"/>
      <c r="J528"/>
    </row>
    <row r="529" spans="1:10">
      <c r="A529" s="2" t="s">
        <v>833</v>
      </c>
      <c r="B529" s="2" t="str" cm="1">
        <f t="array" ref="B5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9"/>
      <c r="I529"/>
      <c r="J529"/>
    </row>
    <row r="530" spans="1:10">
      <c r="A530" s="2" t="s">
        <v>834</v>
      </c>
      <c r="B530" s="2" t="str" cm="1">
        <f t="array" ref="B5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0"/>
      <c r="I530"/>
      <c r="J530"/>
    </row>
    <row r="531" spans="1:10">
      <c r="A531" s="2" t="s">
        <v>755</v>
      </c>
      <c r="B531" s="2" t="str" cm="1">
        <f t="array" ref="B5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1"/>
      <c r="I531"/>
      <c r="J531"/>
    </row>
    <row r="532" spans="1:10">
      <c r="A532" s="2" t="s">
        <v>756</v>
      </c>
      <c r="B532" s="2" t="str" cm="1">
        <f t="array" ref="B5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2"/>
      <c r="I532"/>
      <c r="J532"/>
    </row>
    <row r="533" spans="1:10">
      <c r="A533" s="2" t="s">
        <v>757</v>
      </c>
      <c r="B533" s="2" t="str" cm="1">
        <f t="array" ref="B5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3"/>
      <c r="I533"/>
      <c r="J533"/>
    </row>
    <row r="534" spans="1:10">
      <c r="A534" s="2" t="s">
        <v>758</v>
      </c>
      <c r="B534" s="2" t="str" cm="1">
        <f t="array" ref="B5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4"/>
      <c r="I534"/>
      <c r="J534"/>
    </row>
    <row r="535" spans="1:10">
      <c r="A535" s="2" t="s">
        <v>761</v>
      </c>
      <c r="B535" s="2" t="str" cm="1">
        <f t="array" ref="B5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5"/>
      <c r="I535"/>
      <c r="J535"/>
    </row>
    <row r="536" spans="1:10">
      <c r="A536" s="2" t="s">
        <v>760</v>
      </c>
      <c r="B536" s="2" t="str" cm="1">
        <f t="array" ref="B5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6"/>
      <c r="I536"/>
      <c r="J536"/>
    </row>
    <row r="537" spans="1:10">
      <c r="A537" s="2" t="s">
        <v>763</v>
      </c>
      <c r="B537" s="2" t="str" cm="1">
        <f t="array" ref="B5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7"/>
      <c r="I537"/>
      <c r="J537"/>
    </row>
    <row r="538" spans="1:10">
      <c r="A538" s="2" t="s">
        <v>762</v>
      </c>
      <c r="B538" s="2" t="str" cm="1">
        <f t="array" ref="B5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8"/>
      <c r="I538"/>
      <c r="J538"/>
    </row>
    <row r="539" spans="1:10">
      <c r="A539" s="2" t="s">
        <v>836</v>
      </c>
      <c r="B539" s="2" t="str" cm="1">
        <f t="array" ref="B5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9"/>
      <c r="I539"/>
      <c r="J539"/>
    </row>
    <row r="540" spans="1:10">
      <c r="A540" s="2" t="s">
        <v>837</v>
      </c>
      <c r="B540" s="2" t="str" cm="1">
        <f t="array" ref="B5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0"/>
      <c r="I540"/>
      <c r="J540"/>
    </row>
    <row r="541" spans="1:10">
      <c r="A541" s="2" t="s">
        <v>835</v>
      </c>
      <c r="B541" s="2" t="str" cm="1">
        <f t="array" ref="B5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1"/>
      <c r="I541"/>
      <c r="J541"/>
    </row>
    <row r="542" spans="1:10">
      <c r="A542" s="2" t="s">
        <v>841</v>
      </c>
      <c r="B542" s="2" t="str" cm="1">
        <f t="array" ref="B5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2"/>
      <c r="I542"/>
      <c r="J542"/>
    </row>
    <row r="543" spans="1:10">
      <c r="A543" s="2" t="s">
        <v>839</v>
      </c>
      <c r="B543" s="2" t="str" cm="1">
        <f t="array" ref="B5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3"/>
      <c r="I543"/>
      <c r="J543"/>
    </row>
    <row r="544" spans="1:10">
      <c r="A544" s="2" t="s">
        <v>840</v>
      </c>
      <c r="B544" s="2" t="str" cm="1">
        <f t="array" ref="B5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4"/>
      <c r="I544"/>
      <c r="J544"/>
    </row>
    <row r="545" spans="1:10">
      <c r="A545" s="2" t="s">
        <v>838</v>
      </c>
      <c r="B545" s="2" t="str" cm="1">
        <f t="array" ref="B5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5"/>
      <c r="I545"/>
      <c r="J545"/>
    </row>
    <row r="546" spans="1:10">
      <c r="A546" s="2" t="s">
        <v>843</v>
      </c>
      <c r="B546" s="2" t="str" cm="1">
        <f t="array" ref="B5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6"/>
      <c r="I546"/>
      <c r="J546"/>
    </row>
    <row r="547" spans="1:10">
      <c r="A547" s="2" t="s">
        <v>844</v>
      </c>
      <c r="B547" s="2" t="str" cm="1">
        <f t="array" ref="B5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7"/>
      <c r="I547"/>
      <c r="J547"/>
    </row>
    <row r="548" spans="1:10">
      <c r="A548" s="2" t="s">
        <v>842</v>
      </c>
      <c r="B548" s="2" t="str" cm="1">
        <f t="array" ref="B5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8"/>
      <c r="I548"/>
      <c r="J548"/>
    </row>
    <row r="549" spans="1:10">
      <c r="A549" s="2" t="s">
        <v>849</v>
      </c>
      <c r="B549" s="2" t="str" cm="1">
        <f t="array" ref="B5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9"/>
      <c r="I549"/>
      <c r="J549"/>
    </row>
    <row r="550" spans="1:10">
      <c r="A550" s="2" t="s">
        <v>846</v>
      </c>
      <c r="B550" s="2" t="str" cm="1">
        <f t="array" ref="B5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0"/>
      <c r="I550"/>
      <c r="J550"/>
    </row>
    <row r="551" spans="1:10">
      <c r="A551" s="2" t="s">
        <v>847</v>
      </c>
      <c r="B551" s="2" t="str" cm="1">
        <f t="array" ref="B5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1"/>
      <c r="I551"/>
      <c r="J551"/>
    </row>
    <row r="552" spans="1:10">
      <c r="A552" s="2" t="s">
        <v>848</v>
      </c>
      <c r="B552" s="2" t="str" cm="1">
        <f t="array" ref="B5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2"/>
      <c r="I552"/>
      <c r="J552"/>
    </row>
    <row r="553" spans="1:10">
      <c r="A553" s="2" t="s">
        <v>845</v>
      </c>
      <c r="B553" s="2" t="str" cm="1">
        <f t="array" ref="B5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3"/>
      <c r="I553"/>
      <c r="J553"/>
    </row>
    <row r="554" spans="1:10">
      <c r="A554" s="2" t="s">
        <v>852</v>
      </c>
      <c r="B554" s="2" t="str" cm="1">
        <f t="array" ref="B5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4"/>
      <c r="I554"/>
      <c r="J554"/>
    </row>
    <row r="555" spans="1:10">
      <c r="A555" s="2" t="s">
        <v>853</v>
      </c>
      <c r="B555" s="2" t="str" cm="1">
        <f t="array" ref="B5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5"/>
      <c r="I555"/>
      <c r="J555"/>
    </row>
    <row r="556" spans="1:10">
      <c r="A556" s="2" t="s">
        <v>860</v>
      </c>
      <c r="B556" s="2" t="str" cm="1">
        <f t="array" ref="B5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6"/>
      <c r="I556"/>
      <c r="J556"/>
    </row>
    <row r="557" spans="1:10">
      <c r="A557" s="2" t="s">
        <v>862</v>
      </c>
      <c r="B557" s="2" t="str" cm="1">
        <f t="array" ref="B5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7"/>
      <c r="I557"/>
      <c r="J557"/>
    </row>
    <row r="558" spans="1:10">
      <c r="A558" s="2" t="s">
        <v>861</v>
      </c>
      <c r="B558" s="2" t="str" cm="1">
        <f t="array" ref="B5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8"/>
      <c r="I558"/>
      <c r="J558"/>
    </row>
    <row r="559" spans="1:10">
      <c r="A559" s="2" t="s">
        <v>850</v>
      </c>
      <c r="B559" s="2" t="str" cm="1">
        <f t="array" ref="B5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9"/>
      <c r="I559"/>
      <c r="J559"/>
    </row>
    <row r="560" spans="1:10">
      <c r="A560" s="2" t="s">
        <v>855</v>
      </c>
      <c r="B560" s="2" t="str" cm="1">
        <f t="array" ref="B5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0"/>
      <c r="I560"/>
      <c r="J560"/>
    </row>
    <row r="561" spans="1:10">
      <c r="A561" s="2" t="s">
        <v>851</v>
      </c>
      <c r="B561" s="2" t="str" cm="1">
        <f t="array" ref="B5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1"/>
      <c r="I561"/>
      <c r="J561"/>
    </row>
    <row r="562" spans="1:10">
      <c r="A562" s="2" t="s">
        <v>858</v>
      </c>
      <c r="B562" s="2" t="str" cm="1">
        <f t="array" ref="B5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2"/>
      <c r="I562"/>
      <c r="J562"/>
    </row>
    <row r="563" spans="1:10">
      <c r="A563" s="2" t="s">
        <v>859</v>
      </c>
      <c r="B563" s="2" t="str" cm="1">
        <f t="array" ref="B5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3"/>
      <c r="I563"/>
      <c r="J563"/>
    </row>
    <row r="564" spans="1:10">
      <c r="A564" s="2" t="s">
        <v>856</v>
      </c>
      <c r="B564" s="2" t="str" cm="1">
        <f t="array" ref="B5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4"/>
      <c r="I564"/>
      <c r="J564"/>
    </row>
    <row r="565" spans="1:10">
      <c r="A565" s="2" t="s">
        <v>857</v>
      </c>
      <c r="B565" s="2" t="str" cm="1">
        <f t="array" ref="B5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5"/>
      <c r="I565"/>
      <c r="J565"/>
    </row>
    <row r="566" spans="1:10">
      <c r="A566" s="2" t="s">
        <v>854</v>
      </c>
      <c r="B566" s="2" t="str" cm="1">
        <f t="array" ref="B5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6"/>
      <c r="I566"/>
      <c r="J566"/>
    </row>
    <row r="567" spans="1:10">
      <c r="A567" s="2" t="s">
        <v>865</v>
      </c>
      <c r="B567" s="2" t="str" cm="1">
        <f t="array" ref="B5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7"/>
      <c r="I567"/>
      <c r="J567"/>
    </row>
    <row r="568" spans="1:10">
      <c r="A568" s="2" t="s">
        <v>866</v>
      </c>
      <c r="B568" s="2" t="str" cm="1">
        <f t="array" ref="B5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8"/>
      <c r="I568"/>
      <c r="J568"/>
    </row>
    <row r="569" spans="1:10">
      <c r="A569" s="2" t="s">
        <v>873</v>
      </c>
      <c r="B569" s="2" t="str" cm="1">
        <f t="array" ref="B5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9"/>
      <c r="I569"/>
      <c r="J569"/>
    </row>
    <row r="570" spans="1:10">
      <c r="A570" s="2" t="s">
        <v>875</v>
      </c>
      <c r="B570" s="2" t="str" cm="1">
        <f t="array" ref="B5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0"/>
      <c r="I570"/>
      <c r="J570"/>
    </row>
    <row r="571" spans="1:10">
      <c r="A571" s="2" t="s">
        <v>874</v>
      </c>
      <c r="B571" s="2" t="str" cm="1">
        <f t="array" ref="B5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1"/>
      <c r="I571"/>
      <c r="J571"/>
    </row>
    <row r="572" spans="1:10">
      <c r="A572" s="2" t="s">
        <v>876</v>
      </c>
      <c r="B572" s="2" t="str" cm="1">
        <f t="array" ref="B5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2"/>
      <c r="I572"/>
      <c r="J572"/>
    </row>
    <row r="573" spans="1:10">
      <c r="A573" s="2" t="s">
        <v>863</v>
      </c>
      <c r="B573" s="2" t="str" cm="1">
        <f t="array" ref="B5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3"/>
      <c r="I573"/>
      <c r="J573"/>
    </row>
    <row r="574" spans="1:10">
      <c r="A574" s="2" t="s">
        <v>868</v>
      </c>
      <c r="B574" s="2" t="str" cm="1">
        <f t="array" ref="B5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4"/>
      <c r="I574"/>
      <c r="J574"/>
    </row>
    <row r="575" spans="1:10">
      <c r="A575" s="2" t="s">
        <v>864</v>
      </c>
      <c r="B575" s="2" t="str" cm="1">
        <f t="array" ref="B5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5"/>
      <c r="I575"/>
      <c r="J575"/>
    </row>
    <row r="576" spans="1:10">
      <c r="A576" s="2" t="s">
        <v>871</v>
      </c>
      <c r="B576" s="2" t="str" cm="1">
        <f t="array" ref="B5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6"/>
      <c r="I576"/>
      <c r="J576"/>
    </row>
    <row r="577" spans="1:10">
      <c r="A577" s="2" t="s">
        <v>872</v>
      </c>
      <c r="B577" s="2" t="str" cm="1">
        <f t="array" ref="B5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7"/>
      <c r="I577"/>
      <c r="J577"/>
    </row>
    <row r="578" spans="1:10">
      <c r="A578" s="2" t="s">
        <v>869</v>
      </c>
      <c r="B578" s="2" t="str" cm="1">
        <f t="array" ref="B5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8"/>
      <c r="I578"/>
      <c r="J578"/>
    </row>
    <row r="579" spans="1:10">
      <c r="A579" s="2" t="s">
        <v>870</v>
      </c>
      <c r="B579" s="2" t="str" cm="1">
        <f t="array" ref="B5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9"/>
      <c r="I579"/>
      <c r="J579"/>
    </row>
    <row r="580" spans="1:10">
      <c r="A580" s="2" t="s">
        <v>877</v>
      </c>
      <c r="B580" s="2" t="str" cm="1">
        <f t="array" ref="B5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0"/>
      <c r="I580"/>
      <c r="J580"/>
    </row>
    <row r="581" spans="1:10">
      <c r="A581" s="2" t="s">
        <v>867</v>
      </c>
      <c r="B581" s="2" t="str" cm="1">
        <f t="array" ref="B5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1"/>
      <c r="I581"/>
      <c r="J581"/>
    </row>
    <row r="582" spans="1:10">
      <c r="A582" s="2" t="s">
        <v>880</v>
      </c>
      <c r="B582" s="2" t="str" cm="1">
        <f t="array" ref="B5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2"/>
      <c r="I582"/>
      <c r="J582"/>
    </row>
    <row r="583" spans="1:10">
      <c r="A583" s="2" t="s">
        <v>881</v>
      </c>
      <c r="B583" s="2" t="str" cm="1">
        <f t="array" ref="B5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3"/>
      <c r="I583"/>
      <c r="J583"/>
    </row>
    <row r="584" spans="1:10">
      <c r="A584" s="2" t="s">
        <v>888</v>
      </c>
      <c r="B584" s="2" t="str" cm="1">
        <f t="array" ref="B5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4"/>
      <c r="I584"/>
      <c r="J584"/>
    </row>
    <row r="585" spans="1:10">
      <c r="A585" s="2" t="s">
        <v>890</v>
      </c>
      <c r="B585" s="2" t="str" cm="1">
        <f t="array" ref="B5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5"/>
      <c r="I585"/>
      <c r="J585"/>
    </row>
    <row r="586" spans="1:10">
      <c r="A586" s="2" t="s">
        <v>889</v>
      </c>
      <c r="B586" s="2" t="str" cm="1">
        <f t="array" ref="B5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6"/>
      <c r="I586"/>
      <c r="J586"/>
    </row>
    <row r="587" spans="1:10">
      <c r="A587" s="2" t="s">
        <v>891</v>
      </c>
      <c r="B587" s="2" t="str" cm="1">
        <f t="array" ref="B5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7"/>
      <c r="I587"/>
      <c r="J587"/>
    </row>
    <row r="588" spans="1:10">
      <c r="A588" s="2" t="s">
        <v>878</v>
      </c>
      <c r="B588" s="2" t="str" cm="1">
        <f t="array" ref="B5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8"/>
      <c r="I588"/>
      <c r="J588"/>
    </row>
    <row r="589" spans="1:10">
      <c r="A589" s="2" t="s">
        <v>883</v>
      </c>
      <c r="B589" s="2" t="str" cm="1">
        <f t="array" ref="B5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9"/>
      <c r="I589"/>
      <c r="J589"/>
    </row>
    <row r="590" spans="1:10">
      <c r="A590" s="2" t="s">
        <v>879</v>
      </c>
      <c r="B590" s="2" t="str" cm="1">
        <f t="array" ref="B5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0"/>
      <c r="I590"/>
      <c r="J590"/>
    </row>
    <row r="591" spans="1:10">
      <c r="A591" s="2" t="s">
        <v>886</v>
      </c>
      <c r="B591" s="2" t="str" cm="1">
        <f t="array" ref="B5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1"/>
      <c r="I591"/>
      <c r="J591"/>
    </row>
    <row r="592" spans="1:10">
      <c r="A592" s="2" t="s">
        <v>887</v>
      </c>
      <c r="B592" s="2" t="str" cm="1">
        <f t="array" ref="B5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2"/>
      <c r="I592"/>
      <c r="J592"/>
    </row>
    <row r="593" spans="1:10">
      <c r="A593" s="2" t="s">
        <v>884</v>
      </c>
      <c r="B593" s="2" t="str" cm="1">
        <f t="array" ref="B5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3"/>
      <c r="I593"/>
      <c r="J593"/>
    </row>
    <row r="594" spans="1:10">
      <c r="A594" s="2" t="s">
        <v>885</v>
      </c>
      <c r="B594" s="2" t="str" cm="1">
        <f t="array" ref="B5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4"/>
      <c r="I594"/>
      <c r="J594"/>
    </row>
    <row r="595" spans="1:10">
      <c r="A595" s="2" t="s">
        <v>892</v>
      </c>
      <c r="B595" s="2" t="str" cm="1">
        <f t="array" ref="B5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5"/>
      <c r="I595"/>
      <c r="J595"/>
    </row>
    <row r="596" spans="1:10">
      <c r="A596" s="2" t="s">
        <v>882</v>
      </c>
      <c r="B596" s="2" t="str" cm="1">
        <f t="array" ref="B5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6"/>
      <c r="I596"/>
      <c r="J596"/>
    </row>
    <row r="597" spans="1:10">
      <c r="A597" s="2" t="s">
        <v>907</v>
      </c>
      <c r="B597" s="2" t="str" cm="1">
        <f t="array" ref="B5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97"/>
      <c r="I597"/>
      <c r="J597"/>
    </row>
    <row r="598" spans="1:10">
      <c r="A598" s="2" t="s">
        <v>908</v>
      </c>
      <c r="B598" s="2" t="str" cm="1">
        <f t="array" ref="B5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98"/>
      <c r="I598"/>
      <c r="J598"/>
    </row>
    <row r="599" spans="1:10">
      <c r="A599" s="2" t="s">
        <v>613</v>
      </c>
      <c r="B599" s="2" t="str" cm="1">
        <f t="array" ref="B5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9"/>
      <c r="I599"/>
      <c r="J599"/>
    </row>
    <row r="600" spans="1:10">
      <c r="A600" s="2" t="s">
        <v>63</v>
      </c>
      <c r="B600" s="2" t="str" cm="1">
        <f t="array" ref="B6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0"/>
      <c r="I600"/>
      <c r="J600"/>
    </row>
    <row r="601" spans="1:10">
      <c r="A601" s="2" t="s">
        <v>34</v>
      </c>
      <c r="B601" s="2" t="str" cm="1">
        <f t="array" ref="B6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1"/>
      <c r="I601"/>
      <c r="J601"/>
    </row>
    <row r="602" spans="1:10">
      <c r="A602" s="2" t="s">
        <v>56</v>
      </c>
      <c r="B602" s="2" t="str" cm="1">
        <f t="array" ref="B6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2"/>
      <c r="I602"/>
      <c r="J602"/>
    </row>
    <row r="603" spans="1:10">
      <c r="A603" s="2" t="s">
        <v>51</v>
      </c>
      <c r="B603" s="2" t="str" cm="1">
        <f t="array" ref="B6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3"/>
      <c r="I603"/>
      <c r="J603"/>
    </row>
    <row r="604" spans="1:10">
      <c r="A604" s="2" t="s">
        <v>38</v>
      </c>
      <c r="B604" s="2" t="str" cm="1">
        <f t="array" ref="B6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4"/>
      <c r="I604"/>
      <c r="J604"/>
    </row>
    <row r="605" spans="1:10">
      <c r="A605" s="2" t="s">
        <v>46</v>
      </c>
      <c r="B605" s="2" t="str" cm="1">
        <f t="array" ref="B6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5"/>
      <c r="I605"/>
      <c r="J605"/>
    </row>
    <row r="606" spans="1:10">
      <c r="A606" s="2" t="s">
        <v>65</v>
      </c>
      <c r="B606" s="2" t="str" cm="1">
        <f t="array" ref="B6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6"/>
      <c r="I606"/>
      <c r="J606"/>
    </row>
    <row r="607" spans="1:10">
      <c r="A607" s="2" t="s">
        <v>66</v>
      </c>
      <c r="B607" s="2" t="str" cm="1">
        <f t="array" ref="B6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7"/>
      <c r="I607"/>
      <c r="J607"/>
    </row>
    <row r="608" spans="1:10">
      <c r="A608" s="2" t="s">
        <v>612</v>
      </c>
      <c r="B608" s="2" t="str" cm="1">
        <f t="array" ref="B6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8"/>
      <c r="I608"/>
      <c r="J608"/>
    </row>
    <row r="609" spans="1:10">
      <c r="A609" s="2" t="s">
        <v>48</v>
      </c>
      <c r="B609" s="2" t="str" cm="1">
        <f t="array" ref="B6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9"/>
      <c r="I609"/>
      <c r="J609"/>
    </row>
    <row r="610" spans="1:10">
      <c r="A610" s="2" t="s">
        <v>71</v>
      </c>
      <c r="B610" s="2" t="str" cm="1">
        <f t="array" ref="B6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0"/>
      <c r="I610"/>
      <c r="J610"/>
    </row>
    <row r="611" spans="1:10">
      <c r="A611" s="2" t="s">
        <v>57</v>
      </c>
      <c r="B611" s="2" t="str" cm="1">
        <f t="array" ref="B6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1"/>
      <c r="I611"/>
      <c r="J611"/>
    </row>
    <row r="612" spans="1:10">
      <c r="A612" s="2" t="s">
        <v>61</v>
      </c>
      <c r="B612" s="2" t="str" cm="1">
        <f t="array" ref="B6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2"/>
      <c r="I612"/>
      <c r="J612"/>
    </row>
    <row r="613" spans="1:10">
      <c r="A613" s="2" t="s">
        <v>59</v>
      </c>
      <c r="B613" s="2" t="str" cm="1">
        <f t="array" ref="B6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3"/>
      <c r="I613"/>
      <c r="J613"/>
    </row>
    <row r="614" spans="1:10">
      <c r="A614" s="2" t="s">
        <v>614</v>
      </c>
      <c r="B614" s="2" t="str" cm="1">
        <f t="array" ref="B6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4"/>
      <c r="I614"/>
      <c r="J614"/>
    </row>
    <row r="615" spans="1:10">
      <c r="A615" s="2" t="s">
        <v>70</v>
      </c>
      <c r="B615" s="2" t="str" cm="1">
        <f t="array" ref="B6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5"/>
      <c r="I615"/>
      <c r="J615"/>
    </row>
    <row r="616" spans="1:10">
      <c r="A616" s="2" t="s">
        <v>666</v>
      </c>
      <c r="B616" s="2" t="str" cm="1">
        <f t="array" ref="B6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6"/>
      <c r="I616"/>
      <c r="J616"/>
    </row>
    <row r="617" spans="1:10">
      <c r="A617" s="2" t="s">
        <v>55</v>
      </c>
      <c r="B617" s="2" t="str" cm="1">
        <f t="array" ref="B6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7"/>
      <c r="I617"/>
      <c r="J617"/>
    </row>
    <row r="618" spans="1:10">
      <c r="A618" s="2" t="s">
        <v>49</v>
      </c>
      <c r="B618" s="2" t="str" cm="1">
        <f t="array" ref="B6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8"/>
      <c r="I618"/>
      <c r="J618"/>
    </row>
    <row r="619" spans="1:10">
      <c r="A619" s="2" t="s">
        <v>36</v>
      </c>
      <c r="B619" s="2" t="str" cm="1">
        <f t="array" ref="B6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9"/>
      <c r="I619"/>
      <c r="J619"/>
    </row>
    <row r="620" spans="1:10">
      <c r="A620" s="2" t="s">
        <v>42</v>
      </c>
      <c r="B620" s="2" t="str" cm="1">
        <f t="array" ref="B6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0"/>
      <c r="I620"/>
      <c r="J620"/>
    </row>
    <row r="621" spans="1:10">
      <c r="A621" s="2" t="s">
        <v>43</v>
      </c>
      <c r="B621" s="2" t="str" cm="1">
        <f t="array" ref="B6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1"/>
      <c r="I621"/>
      <c r="J621"/>
    </row>
    <row r="622" spans="1:10">
      <c r="A622" s="2" t="s">
        <v>53</v>
      </c>
      <c r="B622" s="2" t="str" cm="1">
        <f t="array" ref="B6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2"/>
      <c r="I622"/>
      <c r="J622"/>
    </row>
    <row r="623" spans="1:10">
      <c r="A623" s="2" t="s">
        <v>58</v>
      </c>
      <c r="B623" s="2" t="str" cm="1">
        <f t="array" ref="B6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3"/>
      <c r="I623"/>
      <c r="J623"/>
    </row>
    <row r="624" spans="1:10">
      <c r="A624" s="2" t="s">
        <v>67</v>
      </c>
      <c r="B624" s="2" t="str" cm="1">
        <f t="array" ref="B6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4"/>
      <c r="I624"/>
      <c r="J624"/>
    </row>
    <row r="625" spans="1:10">
      <c r="A625" s="2" t="s">
        <v>72</v>
      </c>
      <c r="B625" s="2" t="str" cm="1">
        <f t="array" ref="B6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5"/>
      <c r="I625"/>
      <c r="J625"/>
    </row>
    <row r="626" spans="1:10">
      <c r="A626" s="2" t="s">
        <v>611</v>
      </c>
      <c r="B626" s="2" t="str" cm="1">
        <f t="array" ref="B6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6"/>
      <c r="I626"/>
      <c r="J626"/>
    </row>
    <row r="627" spans="1:10">
      <c r="A627" s="2" t="s">
        <v>610</v>
      </c>
      <c r="B627" s="2" t="str" cm="1">
        <f t="array" ref="B6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7"/>
      <c r="I627"/>
      <c r="J627"/>
    </row>
    <row r="628" spans="1:10">
      <c r="A628" s="2" t="s">
        <v>50</v>
      </c>
      <c r="B628" s="2" t="str" cm="1">
        <f t="array" ref="B6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8"/>
      <c r="I628"/>
      <c r="J628"/>
    </row>
    <row r="629" spans="1:10">
      <c r="A629" s="2" t="s">
        <v>44</v>
      </c>
      <c r="B629" s="2" t="str" cm="1">
        <f t="array" ref="B6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9"/>
      <c r="I629"/>
      <c r="J629"/>
    </row>
    <row r="630" spans="1:10">
      <c r="A630" s="2" t="s">
        <v>45</v>
      </c>
      <c r="B630" s="2" t="str" cm="1">
        <f t="array" ref="B6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0"/>
      <c r="I630"/>
      <c r="J630"/>
    </row>
    <row r="631" spans="1:10">
      <c r="A631" s="2" t="s">
        <v>62</v>
      </c>
      <c r="B631" s="2" t="str" cm="1">
        <f t="array" ref="B6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1"/>
      <c r="I631"/>
      <c r="J631"/>
    </row>
    <row r="632" spans="1:10">
      <c r="A632" s="2" t="s">
        <v>39</v>
      </c>
      <c r="B632" s="2" t="str" cm="1">
        <f t="array" ref="B6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2"/>
      <c r="I632"/>
      <c r="J632"/>
    </row>
    <row r="633" spans="1:10">
      <c r="A633" s="2" t="s">
        <v>60</v>
      </c>
      <c r="B633" s="2" t="str" cm="1">
        <f t="array" ref="B6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3"/>
      <c r="I633"/>
      <c r="J633"/>
    </row>
    <row r="634" spans="1:10">
      <c r="A634" s="2" t="s">
        <v>40</v>
      </c>
      <c r="B634" s="2" t="str" cm="1">
        <f t="array" ref="B6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4"/>
      <c r="I634"/>
      <c r="J634"/>
    </row>
    <row r="635" spans="1:10">
      <c r="A635" s="2" t="s">
        <v>64</v>
      </c>
      <c r="B635" s="2" t="str" cm="1">
        <f t="array" ref="B6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5"/>
      <c r="I635"/>
      <c r="J635"/>
    </row>
    <row r="636" spans="1:10">
      <c r="A636" s="2" t="s">
        <v>667</v>
      </c>
      <c r="B636" s="2" t="str" cm="1">
        <f t="array" ref="B6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6"/>
      <c r="I636"/>
      <c r="J636"/>
    </row>
    <row r="637" spans="1:10">
      <c r="A637" s="2" t="s">
        <v>68</v>
      </c>
      <c r="B637" s="2" t="str" cm="1">
        <f t="array" ref="B6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7"/>
      <c r="I637"/>
      <c r="J637"/>
    </row>
    <row r="638" spans="1:10">
      <c r="A638" s="2" t="s">
        <v>54</v>
      </c>
      <c r="B638" s="2" t="str" cm="1">
        <f t="array" ref="B6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8"/>
      <c r="I638"/>
      <c r="J638"/>
    </row>
    <row r="639" spans="1:10">
      <c r="A639" s="2" t="s">
        <v>47</v>
      </c>
      <c r="B639" s="2" t="str" cm="1">
        <f t="array" ref="B6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9"/>
      <c r="I639"/>
      <c r="J639"/>
    </row>
    <row r="640" spans="1:10">
      <c r="A640" s="2" t="s">
        <v>37</v>
      </c>
      <c r="B640" s="2" t="str" cm="1">
        <f t="array" ref="B6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0"/>
      <c r="I640"/>
      <c r="J640"/>
    </row>
    <row r="641" spans="1:10">
      <c r="A641" s="2" t="s">
        <v>41</v>
      </c>
      <c r="B641" s="2" t="str" cm="1">
        <f t="array" ref="B6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1"/>
      <c r="I641"/>
      <c r="J641"/>
    </row>
    <row r="642" spans="1:10">
      <c r="A642" s="2" t="s">
        <v>69</v>
      </c>
      <c r="B642" s="2" t="str" cm="1">
        <f t="array" ref="B6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2"/>
      <c r="I642"/>
      <c r="J642"/>
    </row>
    <row r="643" spans="1:10">
      <c r="A643" s="2" t="s">
        <v>52</v>
      </c>
      <c r="B643" s="2" t="str" cm="1">
        <f t="array" ref="B6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3"/>
      <c r="I643"/>
      <c r="J643"/>
    </row>
    <row r="644" spans="1:10">
      <c r="A644" s="2" t="s">
        <v>85</v>
      </c>
      <c r="B644" s="2" t="str" cm="1">
        <f t="array" ref="B6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4"/>
      <c r="I644"/>
      <c r="J644"/>
    </row>
    <row r="645" spans="1:10">
      <c r="A645" s="2" t="s">
        <v>84</v>
      </c>
      <c r="B645" s="2" t="str" cm="1">
        <f t="array" ref="B6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5"/>
      <c r="I645"/>
      <c r="J645"/>
    </row>
    <row r="646" spans="1:10">
      <c r="A646" s="2" t="s">
        <v>73</v>
      </c>
      <c r="B646" s="2" t="str" cm="1">
        <f t="array" ref="B6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6"/>
      <c r="I646"/>
      <c r="J646"/>
    </row>
    <row r="647" spans="1:10">
      <c r="A647" s="2" t="s">
        <v>75</v>
      </c>
      <c r="B647" s="2" t="str" cm="1">
        <f t="array" ref="B6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7"/>
      <c r="I647"/>
      <c r="J647"/>
    </row>
    <row r="648" spans="1:10">
      <c r="A648" s="2" t="s">
        <v>76</v>
      </c>
      <c r="B648" s="2" t="str" cm="1">
        <f t="array" ref="B6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8"/>
      <c r="I648"/>
      <c r="J648"/>
    </row>
    <row r="649" spans="1:10">
      <c r="A649" s="2" t="s">
        <v>77</v>
      </c>
      <c r="B649" s="2" t="str" cm="1">
        <f t="array" ref="B6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9"/>
      <c r="I649"/>
      <c r="J649"/>
    </row>
    <row r="650" spans="1:10">
      <c r="A650" s="2" t="s">
        <v>86</v>
      </c>
      <c r="B650" s="2" t="str" cm="1">
        <f t="array" ref="B6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0"/>
      <c r="I650"/>
      <c r="J650"/>
    </row>
    <row r="651" spans="1:10">
      <c r="A651" s="2" t="s">
        <v>80</v>
      </c>
      <c r="B651" s="2" t="str" cm="1">
        <f t="array" ref="B6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1"/>
      <c r="I651"/>
      <c r="J651"/>
    </row>
    <row r="652" spans="1:10">
      <c r="A652" s="2" t="s">
        <v>79</v>
      </c>
      <c r="B652" s="2" t="str" cm="1">
        <f t="array" ref="B6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2"/>
      <c r="I652"/>
      <c r="J652"/>
    </row>
    <row r="653" spans="1:10">
      <c r="A653" s="2" t="s">
        <v>81</v>
      </c>
      <c r="B653" s="2" t="str" cm="1">
        <f t="array" ref="B6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3"/>
      <c r="I653"/>
      <c r="J653"/>
    </row>
    <row r="654" spans="1:10">
      <c r="A654" s="2" t="s">
        <v>619</v>
      </c>
      <c r="B654" s="2" t="str" cm="1">
        <f t="array" ref="B6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4"/>
      <c r="I654"/>
      <c r="J654"/>
    </row>
    <row r="655" spans="1:10">
      <c r="A655" s="2" t="s">
        <v>82</v>
      </c>
      <c r="B655" s="2" t="str" cm="1">
        <f t="array" ref="B6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5"/>
      <c r="I655"/>
      <c r="J655"/>
    </row>
    <row r="656" spans="1:10">
      <c r="A656" s="2" t="s">
        <v>83</v>
      </c>
      <c r="B656" s="2" t="str" cm="1">
        <f t="array" ref="B6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6"/>
      <c r="I656"/>
      <c r="J656"/>
    </row>
    <row r="657" spans="1:10">
      <c r="A657" s="2" t="s">
        <v>78</v>
      </c>
      <c r="B657" s="2" t="str" cm="1">
        <f t="array" ref="B6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7"/>
      <c r="I657"/>
      <c r="J657"/>
    </row>
    <row r="658" spans="1:10">
      <c r="A658" s="2" t="s">
        <v>618</v>
      </c>
      <c r="B658" s="2" t="str" cm="1">
        <f t="array" ref="B6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8"/>
      <c r="I658"/>
      <c r="J658"/>
    </row>
    <row r="659" spans="1:10">
      <c r="A659" s="2" t="s">
        <v>87</v>
      </c>
      <c r="B659" s="2" t="str" cm="1">
        <f t="array" ref="B6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9"/>
      <c r="I659"/>
      <c r="J659"/>
    </row>
    <row r="660" spans="1:10">
      <c r="A660" s="2" t="s">
        <v>615</v>
      </c>
      <c r="B660" s="2" t="str" cm="1">
        <f t="array" ref="B6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0"/>
      <c r="I660"/>
      <c r="J660"/>
    </row>
    <row r="661" spans="1:10">
      <c r="A661" s="2" t="s">
        <v>617</v>
      </c>
      <c r="B661" s="2" t="str" cm="1">
        <f t="array" ref="B6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1"/>
      <c r="I661"/>
      <c r="J661"/>
    </row>
    <row r="662" spans="1:10">
      <c r="A662" s="2" t="s">
        <v>616</v>
      </c>
      <c r="B662" s="2" t="str" cm="1">
        <f t="array" ref="B6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2"/>
      <c r="I662"/>
      <c r="J662"/>
    </row>
    <row r="663" spans="1:10">
      <c r="A663" s="2" t="s">
        <v>88</v>
      </c>
      <c r="B663" s="2" t="str" cm="1">
        <f t="array" ref="B6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3"/>
      <c r="I663"/>
      <c r="J663"/>
    </row>
    <row r="664" spans="1:10">
      <c r="A664" s="2" t="s">
        <v>89</v>
      </c>
      <c r="B664" s="2" t="str" cm="1">
        <f t="array" ref="B6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4"/>
      <c r="I664"/>
      <c r="J664"/>
    </row>
    <row r="665" spans="1:10">
      <c r="A665" s="2" t="s">
        <v>595</v>
      </c>
      <c r="B665" s="2" t="str" cm="1">
        <f t="array" ref="B6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5"/>
      <c r="I665"/>
      <c r="J665"/>
    </row>
    <row r="666" spans="1:10">
      <c r="A666" s="2" t="s">
        <v>30</v>
      </c>
      <c r="B666" s="2" t="str" cm="1">
        <f t="array" ref="B6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6"/>
      <c r="I666"/>
      <c r="J666"/>
    </row>
    <row r="667" spans="1:10">
      <c r="A667" s="2" t="s">
        <v>26</v>
      </c>
      <c r="B667" s="2" t="str" cm="1">
        <f t="array" ref="B6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7"/>
      <c r="I667"/>
      <c r="J667"/>
    </row>
    <row r="668" spans="1:10">
      <c r="A668" s="2" t="s">
        <v>31</v>
      </c>
      <c r="B668" s="2" t="str" cm="1">
        <f t="array" ref="B6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8"/>
      <c r="I668"/>
      <c r="J668"/>
    </row>
    <row r="669" spans="1:10">
      <c r="A669" s="2" t="s">
        <v>22</v>
      </c>
      <c r="B669" s="2" t="str" cm="1">
        <f t="array" ref="B6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9"/>
      <c r="I669"/>
      <c r="J669"/>
    </row>
    <row r="670" spans="1:10">
      <c r="A670" s="2" t="s">
        <v>28</v>
      </c>
      <c r="B670" s="2" t="str" cm="1">
        <f t="array" ref="B6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0"/>
      <c r="I670"/>
      <c r="J670"/>
    </row>
    <row r="671" spans="1:10">
      <c r="A671" s="2" t="s">
        <v>25</v>
      </c>
      <c r="B671" s="2" t="str" cm="1">
        <f t="array" ref="B6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1"/>
      <c r="I671"/>
      <c r="J671"/>
    </row>
    <row r="672" spans="1:10">
      <c r="A672" s="2" t="s">
        <v>29</v>
      </c>
      <c r="B672" s="2" t="str" cm="1">
        <f t="array" ref="B6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2"/>
      <c r="I672"/>
      <c r="J672"/>
    </row>
    <row r="673" spans="1:10">
      <c r="A673" s="2" t="s">
        <v>27</v>
      </c>
      <c r="B673" s="2" t="str" cm="1">
        <f t="array" ref="B6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3"/>
      <c r="I673"/>
      <c r="J673"/>
    </row>
    <row r="674" spans="1:10">
      <c r="A674" s="2" t="s">
        <v>594</v>
      </c>
      <c r="B674" s="2" t="str" cm="1">
        <f t="array" ref="B6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4"/>
      <c r="I674"/>
      <c r="J674"/>
    </row>
    <row r="675" spans="1:10">
      <c r="A675" s="2" t="s">
        <v>592</v>
      </c>
      <c r="B675" s="2" t="str" cm="1">
        <f t="array" ref="B6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5"/>
      <c r="I675"/>
      <c r="J675"/>
    </row>
    <row r="676" spans="1:10">
      <c r="A676" s="2" t="s">
        <v>591</v>
      </c>
      <c r="B676" s="2" t="str" cm="1">
        <f t="array" ref="B6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6"/>
      <c r="I676"/>
      <c r="J676"/>
    </row>
    <row r="677" spans="1:10">
      <c r="A677" s="2" t="s">
        <v>593</v>
      </c>
      <c r="B677" s="2" t="str" cm="1">
        <f t="array" ref="B6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7"/>
      <c r="I677"/>
      <c r="J677"/>
    </row>
    <row r="678" spans="1:10">
      <c r="A678" s="2" t="s">
        <v>179</v>
      </c>
      <c r="B678" s="2" t="str" cm="1">
        <f t="array" ref="B6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78"/>
      <c r="I678"/>
      <c r="J678"/>
    </row>
    <row r="679" spans="1:10">
      <c r="A679" s="2" t="s">
        <v>142</v>
      </c>
      <c r="B679" s="2" t="str" cm="1">
        <f t="array" ref="B6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79"/>
      <c r="I679"/>
      <c r="J679"/>
    </row>
    <row r="680" spans="1:10">
      <c r="A680" s="2" t="s">
        <v>161</v>
      </c>
      <c r="B680" s="2" t="str" cm="1">
        <f t="array" ref="B6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80"/>
      <c r="I680"/>
      <c r="J680"/>
    </row>
    <row r="681" spans="1:10">
      <c r="A681" s="2" t="s">
        <v>191</v>
      </c>
      <c r="B681" s="2" t="str" cm="1">
        <f t="array" ref="B6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81"/>
      <c r="I681"/>
      <c r="J681"/>
    </row>
    <row r="682" spans="1:10">
      <c r="A682" s="2" t="s">
        <v>104</v>
      </c>
      <c r="B682" s="2" t="str" cm="1">
        <f t="array" ref="B6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2"/>
      <c r="I682"/>
      <c r="J682"/>
    </row>
    <row r="683" spans="1:10">
      <c r="A683" s="2" t="s">
        <v>159</v>
      </c>
      <c r="B683" s="2" t="str" cm="1">
        <f t="array" ref="B6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83"/>
      <c r="I683"/>
      <c r="J683"/>
    </row>
    <row r="684" spans="1:10">
      <c r="A684" s="2" t="s">
        <v>192</v>
      </c>
      <c r="B684" s="2" t="str" cm="1">
        <f t="array" ref="B6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4"/>
      <c r="I684"/>
      <c r="J684"/>
    </row>
    <row r="685" spans="1:10">
      <c r="A685" s="2" t="s">
        <v>157</v>
      </c>
      <c r="B685" s="2" t="str" cm="1">
        <f t="array" ref="B6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85"/>
      <c r="I685"/>
      <c r="J685"/>
    </row>
    <row r="686" spans="1:10">
      <c r="A686" s="2" t="s">
        <v>132</v>
      </c>
      <c r="B686" s="2" t="str" cm="1">
        <f t="array" ref="B6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6"/>
      <c r="I686"/>
      <c r="J686"/>
    </row>
    <row r="687" spans="1:10">
      <c r="A687" s="2" t="s">
        <v>128</v>
      </c>
      <c r="B687" s="2" t="str" cm="1">
        <f t="array" ref="B6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87"/>
      <c r="I687"/>
      <c r="J687"/>
    </row>
    <row r="688" spans="1:10">
      <c r="A688" s="2" t="s">
        <v>158</v>
      </c>
      <c r="B688" s="2" t="str" cm="1">
        <f t="array" ref="B6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88"/>
      <c r="I688"/>
      <c r="J688"/>
    </row>
    <row r="689" spans="1:10">
      <c r="A689" s="2" t="s">
        <v>153</v>
      </c>
      <c r="B689" s="2" t="str" cm="1">
        <f t="array" ref="B6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89"/>
      <c r="I689"/>
      <c r="J689"/>
    </row>
    <row r="690" spans="1:10">
      <c r="A690" s="2" t="s">
        <v>100</v>
      </c>
      <c r="B690" s="2" t="str" cm="1">
        <f t="array" ref="B6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0"/>
      <c r="I690"/>
      <c r="J690"/>
    </row>
    <row r="691" spans="1:10">
      <c r="A691" s="2" t="s">
        <v>187</v>
      </c>
      <c r="B691" s="2" t="str" cm="1">
        <f t="array" ref="B6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91"/>
      <c r="I691"/>
      <c r="J691"/>
    </row>
    <row r="692" spans="1:10">
      <c r="A692" s="2" t="s">
        <v>96</v>
      </c>
      <c r="B692" s="2" t="str" cm="1">
        <f t="array" ref="B6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92"/>
      <c r="I692"/>
      <c r="J692"/>
    </row>
    <row r="693" spans="1:10">
      <c r="A693" s="2" t="s">
        <v>90</v>
      </c>
      <c r="B693" s="2" t="str" cm="1">
        <f t="array" ref="B6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93"/>
      <c r="I693"/>
      <c r="J693"/>
    </row>
    <row r="694" spans="1:10">
      <c r="A694" s="2" t="s">
        <v>193</v>
      </c>
      <c r="B694" s="2" t="str" cm="1">
        <f t="array" ref="B6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4"/>
      <c r="I694"/>
      <c r="J694"/>
    </row>
    <row r="695" spans="1:10">
      <c r="A695" s="2" t="s">
        <v>145</v>
      </c>
      <c r="B695" s="2" t="str" cm="1">
        <f t="array" ref="B6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5"/>
      <c r="I695"/>
      <c r="J695"/>
    </row>
    <row r="696" spans="1:10">
      <c r="A696" s="2" t="s">
        <v>133</v>
      </c>
      <c r="B696" s="2" t="str" cm="1">
        <f t="array" ref="B6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6"/>
      <c r="I696"/>
      <c r="J696"/>
    </row>
    <row r="697" spans="1:10">
      <c r="A697" s="2" t="s">
        <v>148</v>
      </c>
      <c r="B697" s="2" t="str" cm="1">
        <f t="array" ref="B6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97"/>
      <c r="I697"/>
      <c r="J697"/>
    </row>
    <row r="698" spans="1:10">
      <c r="A698" s="2" t="s">
        <v>115</v>
      </c>
      <c r="B698" s="2" t="str" cm="1">
        <f t="array" ref="B6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98"/>
      <c r="I698"/>
      <c r="J698"/>
    </row>
    <row r="699" spans="1:10">
      <c r="A699" s="2" t="s">
        <v>194</v>
      </c>
      <c r="B699" s="2" t="str" cm="1">
        <f t="array" ref="B6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699"/>
      <c r="I699"/>
      <c r="J699"/>
    </row>
    <row r="700" spans="1:10">
      <c r="A700" s="2" t="s">
        <v>172</v>
      </c>
      <c r="B700" s="2" t="str" cm="1">
        <f t="array" ref="B7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0"/>
      <c r="I700"/>
      <c r="J700"/>
    </row>
    <row r="701" spans="1:10">
      <c r="A701" s="2" t="s">
        <v>195</v>
      </c>
      <c r="B701" s="2" t="str" cm="1">
        <f t="array" ref="B7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1"/>
      <c r="I701"/>
      <c r="J701"/>
    </row>
    <row r="702" spans="1:10">
      <c r="A702" s="2" t="s">
        <v>183</v>
      </c>
      <c r="B702" s="2" t="str" cm="1">
        <f t="array" ref="B7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2"/>
      <c r="I702"/>
      <c r="J702"/>
    </row>
    <row r="703" spans="1:10">
      <c r="A703" s="2" t="s">
        <v>102</v>
      </c>
      <c r="B703" s="2" t="str" cm="1">
        <f t="array" ref="B7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3"/>
      <c r="I703"/>
      <c r="J703"/>
    </row>
    <row r="704" spans="1:10">
      <c r="A704" s="2" t="s">
        <v>185</v>
      </c>
      <c r="B704" s="2" t="str" cm="1">
        <f t="array" ref="B7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4"/>
      <c r="I704"/>
      <c r="J704"/>
    </row>
    <row r="705" spans="1:10">
      <c r="A705" s="2" t="s">
        <v>181</v>
      </c>
      <c r="B705" s="2" t="str" cm="1">
        <f t="array" ref="B7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5"/>
      <c r="I705"/>
      <c r="J705"/>
    </row>
    <row r="706" spans="1:10">
      <c r="A706" s="2" t="s">
        <v>116</v>
      </c>
      <c r="B706" s="2" t="str" cm="1">
        <f t="array" ref="B7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6"/>
      <c r="I706"/>
      <c r="J706"/>
    </row>
    <row r="707" spans="1:10">
      <c r="A707" s="2" t="s">
        <v>151</v>
      </c>
      <c r="B707" s="2" t="str" cm="1">
        <f t="array" ref="B7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7"/>
      <c r="I707"/>
      <c r="J707"/>
    </row>
    <row r="708" spans="1:10">
      <c r="A708" s="2" t="s">
        <v>164</v>
      </c>
      <c r="B708" s="2" t="str" cm="1">
        <f t="array" ref="B7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08"/>
      <c r="I708"/>
      <c r="J708"/>
    </row>
    <row r="709" spans="1:10">
      <c r="A709" s="2" t="s">
        <v>105</v>
      </c>
      <c r="B709" s="2" t="str" cm="1">
        <f t="array" ref="B7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9"/>
      <c r="I709"/>
      <c r="J709"/>
    </row>
    <row r="710" spans="1:10">
      <c r="A710" s="2" t="s">
        <v>106</v>
      </c>
      <c r="B710" s="2" t="str" cm="1">
        <f t="array" ref="B7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0"/>
      <c r="I710"/>
      <c r="J710"/>
    </row>
    <row r="711" spans="1:10">
      <c r="A711" s="2" t="s">
        <v>121</v>
      </c>
      <c r="B711" s="2" t="str" cm="1">
        <f t="array" ref="B7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1"/>
      <c r="I711"/>
      <c r="J711"/>
    </row>
    <row r="712" spans="1:10">
      <c r="A712" s="2" t="s">
        <v>155</v>
      </c>
      <c r="B712" s="2" t="str" cm="1">
        <f t="array" ref="B7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12"/>
      <c r="I712"/>
      <c r="J712"/>
    </row>
    <row r="713" spans="1:10">
      <c r="A713" s="2" t="s">
        <v>117</v>
      </c>
      <c r="B713" s="2" t="str" cm="1">
        <f t="array" ref="B7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13"/>
      <c r="I713"/>
      <c r="J713"/>
    </row>
    <row r="714" spans="1:10">
      <c r="A714" s="2" t="s">
        <v>154</v>
      </c>
      <c r="B714" s="2" t="str" cm="1">
        <f t="array" ref="B7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14"/>
      <c r="I714"/>
      <c r="J714"/>
    </row>
    <row r="715" spans="1:10">
      <c r="A715" s="2" t="s">
        <v>137</v>
      </c>
      <c r="B715" s="2" t="str" cm="1">
        <f t="array" ref="B7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5"/>
      <c r="I715"/>
      <c r="J715"/>
    </row>
    <row r="716" spans="1:10">
      <c r="A716" s="2" t="s">
        <v>111</v>
      </c>
      <c r="B716" s="2" t="str" cm="1">
        <f t="array" ref="B7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6"/>
      <c r="I716"/>
      <c r="J716"/>
    </row>
    <row r="717" spans="1:10">
      <c r="A717" s="2" t="s">
        <v>136</v>
      </c>
      <c r="B717" s="2" t="str" cm="1">
        <f t="array" ref="B7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17"/>
      <c r="I717"/>
      <c r="J717"/>
    </row>
    <row r="718" spans="1:10">
      <c r="A718" s="2" t="s">
        <v>144</v>
      </c>
      <c r="B718" s="2" t="str" cm="1">
        <f t="array" ref="B7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18"/>
      <c r="I718"/>
      <c r="J718"/>
    </row>
    <row r="719" spans="1:10">
      <c r="A719" s="2" t="s">
        <v>178</v>
      </c>
      <c r="B719" s="2" t="str" cm="1">
        <f t="array" ref="B7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19"/>
      <c r="I719"/>
      <c r="J719"/>
    </row>
    <row r="720" spans="1:10">
      <c r="A720" s="2" t="s">
        <v>184</v>
      </c>
      <c r="B720" s="2" t="str" cm="1">
        <f t="array" ref="B7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20"/>
      <c r="I720"/>
      <c r="J720"/>
    </row>
    <row r="721" spans="1:10">
      <c r="A721" s="2" t="s">
        <v>95</v>
      </c>
      <c r="B721" s="2" t="str" cm="1">
        <f t="array" ref="B7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21"/>
      <c r="I721"/>
      <c r="J721"/>
    </row>
    <row r="722" spans="1:10">
      <c r="A722" s="2" t="s">
        <v>171</v>
      </c>
      <c r="B722" s="2" t="str" cm="1">
        <f t="array" ref="B7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22"/>
      <c r="I722"/>
      <c r="J722"/>
    </row>
    <row r="723" spans="1:10">
      <c r="A723" s="2" t="s">
        <v>170</v>
      </c>
      <c r="B723" s="2" t="str" cm="1">
        <f t="array" ref="B7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23"/>
      <c r="I723"/>
      <c r="J723"/>
    </row>
    <row r="724" spans="1:10">
      <c r="A724" s="2" t="s">
        <v>149</v>
      </c>
      <c r="B724" s="2" t="str" cm="1">
        <f t="array" ref="B7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24"/>
      <c r="I724"/>
      <c r="J724"/>
    </row>
    <row r="725" spans="1:10">
      <c r="A725" s="2" t="s">
        <v>150</v>
      </c>
      <c r="B725" s="2" t="str" cm="1">
        <f t="array" ref="B7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25"/>
      <c r="I725"/>
      <c r="J725"/>
    </row>
    <row r="726" spans="1:10">
      <c r="A726" s="2" t="s">
        <v>146</v>
      </c>
      <c r="B726" s="2" t="str" cm="1">
        <f t="array" ref="B7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26"/>
      <c r="I726"/>
      <c r="J726"/>
    </row>
    <row r="727" spans="1:10">
      <c r="A727" s="2" t="s">
        <v>189</v>
      </c>
      <c r="B727" s="2" t="str" cm="1">
        <f t="array" ref="B7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27"/>
      <c r="I727"/>
      <c r="J727"/>
    </row>
    <row r="728" spans="1:10">
      <c r="A728" s="2" t="s">
        <v>175</v>
      </c>
      <c r="B728" s="2" t="str" cm="1">
        <f t="array" ref="B7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28"/>
      <c r="I728"/>
      <c r="J728"/>
    </row>
    <row r="729" spans="1:10">
      <c r="A729" s="2" t="s">
        <v>176</v>
      </c>
      <c r="B729" s="2" t="str" cm="1">
        <f t="array" ref="B7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29"/>
      <c r="I729"/>
      <c r="J729"/>
    </row>
    <row r="730" spans="1:10">
      <c r="A730" s="2" t="s">
        <v>177</v>
      </c>
      <c r="B730" s="2" t="str" cm="1">
        <f t="array" ref="B7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30"/>
      <c r="I730"/>
      <c r="J730"/>
    </row>
    <row r="731" spans="1:10">
      <c r="A731" s="2" t="s">
        <v>103</v>
      </c>
      <c r="B731" s="2" t="str" cm="1">
        <f t="array" ref="B7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1"/>
      <c r="I731"/>
      <c r="J731"/>
    </row>
    <row r="732" spans="1:10">
      <c r="A732" s="2" t="s">
        <v>122</v>
      </c>
      <c r="B732" s="2" t="str" cm="1">
        <f t="array" ref="B7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32"/>
      <c r="I732"/>
      <c r="J732"/>
    </row>
    <row r="733" spans="1:10">
      <c r="A733" s="2" t="s">
        <v>622</v>
      </c>
      <c r="B733" s="2" t="str" cm="1">
        <f t="array" ref="B7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33"/>
      <c r="I733"/>
      <c r="J733"/>
    </row>
    <row r="734" spans="1:10">
      <c r="A734" s="2" t="s">
        <v>623</v>
      </c>
      <c r="B734" s="2" t="str" cm="1">
        <f t="array" ref="B7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34"/>
      <c r="I734"/>
      <c r="J734"/>
    </row>
    <row r="735" spans="1:10">
      <c r="A735" s="2" t="s">
        <v>624</v>
      </c>
      <c r="B735" s="2" t="str" cm="1">
        <f t="array" ref="B7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35"/>
      <c r="I735"/>
      <c r="J735"/>
    </row>
    <row r="736" spans="1:10">
      <c r="A736" s="2" t="s">
        <v>621</v>
      </c>
      <c r="B736" s="2" t="str" cm="1">
        <f t="array" ref="B7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6"/>
      <c r="I736"/>
      <c r="J736"/>
    </row>
    <row r="737" spans="1:10">
      <c r="A737" s="2" t="s">
        <v>625</v>
      </c>
      <c r="B737" s="2" t="str" cm="1">
        <f t="array" ref="B7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7"/>
      <c r="I737"/>
      <c r="J737"/>
    </row>
    <row r="738" spans="1:10">
      <c r="A738" s="2" t="s">
        <v>166</v>
      </c>
      <c r="B738" s="2" t="str" cm="1">
        <f t="array" ref="B7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38"/>
      <c r="I738"/>
      <c r="J738"/>
    </row>
    <row r="739" spans="1:10">
      <c r="A739" s="2" t="s">
        <v>165</v>
      </c>
      <c r="B739" s="2" t="str" cm="1">
        <f t="array" ref="B7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39"/>
      <c r="I739"/>
      <c r="J739"/>
    </row>
    <row r="740" spans="1:10">
      <c r="A740" s="2" t="s">
        <v>169</v>
      </c>
      <c r="B740" s="2" t="str" cm="1">
        <f t="array" ref="B7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40"/>
      <c r="I740"/>
      <c r="J740"/>
    </row>
    <row r="741" spans="1:10">
      <c r="A741" s="2" t="s">
        <v>163</v>
      </c>
      <c r="B741" s="2" t="str" cm="1">
        <f t="array" ref="B7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41"/>
      <c r="I741"/>
      <c r="J741"/>
    </row>
    <row r="742" spans="1:10">
      <c r="A742" s="2" t="s">
        <v>126</v>
      </c>
      <c r="B742" s="2" t="str" cm="1">
        <f t="array" ref="B7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2"/>
      <c r="I742"/>
      <c r="J742"/>
    </row>
    <row r="743" spans="1:10">
      <c r="A743" s="2" t="s">
        <v>109</v>
      </c>
      <c r="B743" s="2" t="str" cm="1">
        <f t="array" ref="B7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3"/>
      <c r="I743"/>
      <c r="J743"/>
    </row>
    <row r="744" spans="1:10">
      <c r="A744" s="2" t="s">
        <v>130</v>
      </c>
      <c r="B744" s="2" t="str" cm="1">
        <f t="array" ref="B7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4"/>
      <c r="I744"/>
      <c r="J744"/>
    </row>
    <row r="745" spans="1:10">
      <c r="A745" s="2" t="s">
        <v>140</v>
      </c>
      <c r="B745" s="2" t="str" cm="1">
        <f t="array" ref="B7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45"/>
      <c r="I745"/>
      <c r="J745"/>
    </row>
    <row r="746" spans="1:10">
      <c r="A746" s="2" t="s">
        <v>156</v>
      </c>
      <c r="B746" s="2" t="str" cm="1">
        <f t="array" ref="B7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46"/>
      <c r="I746"/>
      <c r="J746"/>
    </row>
    <row r="747" spans="1:10">
      <c r="A747" s="2" t="s">
        <v>101</v>
      </c>
      <c r="B747" s="2" t="str" cm="1">
        <f t="array" ref="B7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7"/>
      <c r="I747"/>
      <c r="J747"/>
    </row>
    <row r="748" spans="1:10">
      <c r="A748" s="2" t="s">
        <v>138</v>
      </c>
      <c r="B748" s="2" t="str" cm="1">
        <f t="array" ref="B7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8"/>
      <c r="I748"/>
      <c r="J748"/>
    </row>
    <row r="749" spans="1:10">
      <c r="A749" s="2" t="s">
        <v>186</v>
      </c>
      <c r="B749" s="2" t="str" cm="1">
        <f t="array" ref="B7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49"/>
      <c r="I749"/>
      <c r="J749"/>
    </row>
    <row r="750" spans="1:10">
      <c r="A750" s="2" t="s">
        <v>182</v>
      </c>
      <c r="B750" s="2" t="str" cm="1">
        <f t="array" ref="B7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50"/>
      <c r="I750"/>
      <c r="J750"/>
    </row>
    <row r="751" spans="1:10">
      <c r="A751" s="2" t="s">
        <v>123</v>
      </c>
      <c r="B751" s="2" t="str" cm="1">
        <f t="array" ref="B7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51"/>
      <c r="I751"/>
      <c r="J751"/>
    </row>
    <row r="752" spans="1:10">
      <c r="A752" s="2" t="s">
        <v>113</v>
      </c>
      <c r="B752" s="2" t="str" cm="1">
        <f t="array" ref="B7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2"/>
      <c r="I752"/>
      <c r="J752"/>
    </row>
    <row r="753" spans="1:10">
      <c r="A753" s="2" t="s">
        <v>174</v>
      </c>
      <c r="B753" s="2" t="str" cm="1">
        <f t="array" ref="B7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53"/>
      <c r="I753"/>
      <c r="J753"/>
    </row>
    <row r="754" spans="1:10">
      <c r="A754" s="2" t="s">
        <v>120</v>
      </c>
      <c r="B754" s="2" t="str" cm="1">
        <f t="array" ref="B7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54"/>
      <c r="I754"/>
      <c r="J754"/>
    </row>
    <row r="755" spans="1:10">
      <c r="A755" s="2" t="s">
        <v>173</v>
      </c>
      <c r="B755" s="2" t="str" cm="1">
        <f t="array" ref="B7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55"/>
      <c r="I755"/>
      <c r="J755"/>
    </row>
    <row r="756" spans="1:10">
      <c r="A756" s="2" t="s">
        <v>162</v>
      </c>
      <c r="B756" s="2" t="str" cm="1">
        <f t="array" ref="B7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6"/>
      <c r="I756"/>
      <c r="J756"/>
    </row>
    <row r="757" spans="1:10">
      <c r="A757" s="2" t="s">
        <v>131</v>
      </c>
      <c r="B757" s="2" t="str" cm="1">
        <f t="array" ref="B7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7"/>
      <c r="I757"/>
      <c r="J757"/>
    </row>
    <row r="758" spans="1:10">
      <c r="A758" s="2" t="s">
        <v>134</v>
      </c>
      <c r="B758" s="2" t="str" cm="1">
        <f t="array" ref="B7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58"/>
      <c r="I758"/>
      <c r="J758"/>
    </row>
    <row r="759" spans="1:10">
      <c r="A759" s="2" t="s">
        <v>119</v>
      </c>
      <c r="B759" s="2" t="str" cm="1">
        <f t="array" ref="B7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59"/>
      <c r="I759"/>
      <c r="J759"/>
    </row>
    <row r="760" spans="1:10">
      <c r="A760" s="2" t="s">
        <v>168</v>
      </c>
      <c r="B760" s="2" t="str" cm="1">
        <f t="array" ref="B7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60"/>
      <c r="I760"/>
      <c r="J760"/>
    </row>
    <row r="761" spans="1:10">
      <c r="A761" s="2" t="s">
        <v>141</v>
      </c>
      <c r="B761" s="2" t="str" cm="1">
        <f t="array" ref="B7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61"/>
      <c r="I761"/>
      <c r="J761"/>
    </row>
    <row r="762" spans="1:10">
      <c r="A762" s="2" t="s">
        <v>180</v>
      </c>
      <c r="B762" s="2" t="str" cm="1">
        <f t="array" ref="B7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62"/>
      <c r="I762"/>
      <c r="J762"/>
    </row>
    <row r="763" spans="1:10">
      <c r="A763" s="2" t="s">
        <v>135</v>
      </c>
      <c r="B763" s="2" t="str" cm="1">
        <f t="array" ref="B7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63"/>
      <c r="I763"/>
      <c r="J763"/>
    </row>
    <row r="764" spans="1:10">
      <c r="A764" s="2" t="s">
        <v>620</v>
      </c>
      <c r="B764" s="2" t="str" cm="1">
        <f t="array" ref="B7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64"/>
      <c r="I764"/>
      <c r="J764"/>
    </row>
    <row r="765" spans="1:10">
      <c r="A765" s="2" t="s">
        <v>98</v>
      </c>
      <c r="B765" s="2" t="str" cm="1">
        <f t="array" ref="B7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5"/>
      <c r="I765"/>
      <c r="J765"/>
    </row>
    <row r="766" spans="1:10">
      <c r="A766" s="2" t="s">
        <v>124</v>
      </c>
      <c r="B766" s="2" t="str" cm="1">
        <f t="array" ref="B7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66"/>
      <c r="I766"/>
      <c r="J766"/>
    </row>
    <row r="767" spans="1:10">
      <c r="A767" s="2" t="s">
        <v>99</v>
      </c>
      <c r="B767" s="2" t="str" cm="1">
        <f t="array" ref="B7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67"/>
      <c r="I767"/>
      <c r="J767"/>
    </row>
    <row r="768" spans="1:10">
      <c r="A768" s="2" t="s">
        <v>92</v>
      </c>
      <c r="B768" s="2" t="str" cm="1">
        <f t="array" ref="B7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8"/>
      <c r="I768"/>
      <c r="J768"/>
    </row>
    <row r="769" spans="1:10">
      <c r="A769" s="2" t="s">
        <v>97</v>
      </c>
      <c r="B769" s="2" t="str" cm="1">
        <f t="array" ref="B7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9"/>
      <c r="I769"/>
      <c r="J769"/>
    </row>
    <row r="770" spans="1:10">
      <c r="A770" s="2" t="s">
        <v>152</v>
      </c>
      <c r="B770" s="2" t="str" cm="1">
        <f t="array" ref="B7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0"/>
      <c r="I770"/>
      <c r="J770"/>
    </row>
    <row r="771" spans="1:10">
      <c r="A771" s="2" t="s">
        <v>107</v>
      </c>
      <c r="B771" s="2" t="str" cm="1">
        <f t="array" ref="B7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1"/>
      <c r="I771"/>
      <c r="J771"/>
    </row>
    <row r="772" spans="1:10">
      <c r="A772" s="2" t="s">
        <v>108</v>
      </c>
      <c r="B772" s="2" t="str" cm="1">
        <f t="array" ref="B7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2"/>
      <c r="I772"/>
      <c r="J772"/>
    </row>
    <row r="773" spans="1:10">
      <c r="A773" s="2" t="s">
        <v>127</v>
      </c>
      <c r="B773" s="2" t="str" cm="1">
        <f t="array" ref="B7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3"/>
      <c r="I773"/>
      <c r="J773"/>
    </row>
    <row r="774" spans="1:10">
      <c r="A774" s="2" t="s">
        <v>112</v>
      </c>
      <c r="B774" s="2" t="str" cm="1">
        <f t="array" ref="B7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4"/>
      <c r="I774"/>
      <c r="J774"/>
    </row>
    <row r="775" spans="1:10">
      <c r="A775" s="2" t="s">
        <v>118</v>
      </c>
      <c r="B775" s="2" t="str" cm="1">
        <f t="array" ref="B7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5"/>
      <c r="I775"/>
      <c r="J775"/>
    </row>
    <row r="776" spans="1:10">
      <c r="A776" s="2" t="s">
        <v>114</v>
      </c>
      <c r="B776" s="2" t="str" cm="1">
        <f t="array" ref="B7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6"/>
      <c r="I776"/>
      <c r="J776"/>
    </row>
    <row r="777" spans="1:10">
      <c r="A777" s="2" t="s">
        <v>143</v>
      </c>
      <c r="B777" s="2" t="str" cm="1">
        <f t="array" ref="B7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7"/>
      <c r="I777"/>
      <c r="J777"/>
    </row>
    <row r="778" spans="1:10">
      <c r="A778" s="2" t="s">
        <v>160</v>
      </c>
      <c r="B778" s="2" t="str" cm="1">
        <f t="array" ref="B7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78"/>
      <c r="I778"/>
      <c r="J778"/>
    </row>
    <row r="779" spans="1:10">
      <c r="A779" s="2" t="s">
        <v>94</v>
      </c>
      <c r="B779" s="2" t="str" cm="1">
        <f t="array" ref="B7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9"/>
      <c r="I779"/>
      <c r="J779"/>
    </row>
    <row r="780" spans="1:10">
      <c r="A780" s="2" t="s">
        <v>91</v>
      </c>
      <c r="B780" s="2" t="str" cm="1">
        <f t="array" ref="B7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0"/>
      <c r="I780"/>
      <c r="J780"/>
    </row>
    <row r="781" spans="1:10">
      <c r="A781" s="2" t="s">
        <v>93</v>
      </c>
      <c r="B781" s="2" t="str" cm="1">
        <f t="array" ref="B7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1"/>
      <c r="I781"/>
      <c r="J781"/>
    </row>
    <row r="782" spans="1:10">
      <c r="A782" s="2" t="s">
        <v>110</v>
      </c>
      <c r="B782" s="2" t="str" cm="1">
        <f t="array" ref="B7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82"/>
      <c r="I782"/>
      <c r="J782"/>
    </row>
    <row r="783" spans="1:10">
      <c r="A783" s="2" t="s">
        <v>129</v>
      </c>
      <c r="B783" s="2" t="str" cm="1">
        <f t="array" ref="B7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3"/>
      <c r="I783"/>
      <c r="J783"/>
    </row>
    <row r="784" spans="1:10">
      <c r="A784" s="2" t="s">
        <v>190</v>
      </c>
      <c r="B784" s="2" t="str" cm="1">
        <f t="array" ref="B7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84"/>
      <c r="I784"/>
      <c r="J784"/>
    </row>
    <row r="785" spans="1:10">
      <c r="A785" s="2" t="s">
        <v>139</v>
      </c>
      <c r="B785" s="2" t="str" cm="1">
        <f t="array" ref="B7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85"/>
      <c r="I785"/>
      <c r="J785"/>
    </row>
    <row r="786" spans="1:10">
      <c r="A786" s="2" t="s">
        <v>147</v>
      </c>
      <c r="B786" s="2" t="str" cm="1">
        <f t="array" ref="B7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6"/>
      <c r="I786"/>
      <c r="J786"/>
    </row>
    <row r="787" spans="1:10">
      <c r="A787" s="2" t="s">
        <v>188</v>
      </c>
      <c r="B787" s="2" t="str" cm="1">
        <f t="array" ref="B7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87"/>
      <c r="I787"/>
      <c r="J787"/>
    </row>
    <row r="788" spans="1:10">
      <c r="A788" s="2" t="s">
        <v>125</v>
      </c>
      <c r="B788" s="2" t="str" cm="1">
        <f t="array" ref="B7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88"/>
      <c r="I788"/>
      <c r="J788"/>
    </row>
    <row r="789" spans="1:10">
      <c r="A789" s="2" t="s">
        <v>167</v>
      </c>
      <c r="B789" s="2" t="str" cm="1">
        <f t="array" ref="B7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89"/>
      <c r="I789"/>
      <c r="J789"/>
    </row>
    <row r="790" spans="1:10">
      <c r="A790" s="2" t="s">
        <v>1790</v>
      </c>
      <c r="B790" s="2" t="str" cm="1">
        <f t="array" ref="B7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</row>
    <row r="791" spans="1:10">
      <c r="A791" s="2" t="s">
        <v>1793</v>
      </c>
      <c r="B791" s="2" t="str" cm="1">
        <f t="array" ref="B7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</row>
    <row r="792" spans="1:10">
      <c r="A792" s="2" t="s">
        <v>531</v>
      </c>
      <c r="B792" s="2" t="str" cm="1">
        <f t="array" ref="B7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</row>
    <row r="793" spans="1:10">
      <c r="A793" s="2" t="s">
        <v>2892</v>
      </c>
      <c r="B793" s="2" t="str" cm="1">
        <f t="array" ref="B7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</row>
  </sheetData>
  <dataValidations disablePrompts="1" count="1">
    <dataValidation type="list" allowBlank="1" showInputMessage="1" showErrorMessage="1" sqref="E790:I1048576" xr:uid="{45F09F36-899B-45BF-8B19-97A6D56DE1E3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topLeftCell="F1" workbookViewId="0">
      <selection activeCell="K2" sqref="K2:K25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  <c r="K1" t="s">
        <v>987</v>
      </c>
      <c r="M1" s="25" t="s">
        <v>2298</v>
      </c>
      <c r="N1" s="25" t="s">
        <v>2299</v>
      </c>
    </row>
    <row r="2" spans="1:14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  <c r="K2" s="23" t="s">
        <v>941</v>
      </c>
      <c r="M2" s="26" t="s">
        <v>2052</v>
      </c>
      <c r="N2" s="26" t="s">
        <v>1800</v>
      </c>
    </row>
    <row r="3" spans="1:14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  <c r="K3" s="23" t="s">
        <v>944</v>
      </c>
      <c r="M3" s="26" t="s">
        <v>2064</v>
      </c>
      <c r="N3" s="26" t="s">
        <v>1812</v>
      </c>
    </row>
    <row r="4" spans="1:14">
      <c r="A4" s="17" t="s">
        <v>922</v>
      </c>
      <c r="E4" t="s">
        <v>994</v>
      </c>
      <c r="G4" t="s">
        <v>995</v>
      </c>
      <c r="I4" t="s">
        <v>74</v>
      </c>
      <c r="K4" s="23" t="s">
        <v>945</v>
      </c>
      <c r="M4" s="26" t="s">
        <v>2055</v>
      </c>
      <c r="N4" s="26" t="s">
        <v>1803</v>
      </c>
    </row>
    <row r="5" spans="1:14">
      <c r="A5" s="18" t="s">
        <v>926</v>
      </c>
      <c r="E5" t="s">
        <v>1006</v>
      </c>
      <c r="G5" t="s">
        <v>1007</v>
      </c>
      <c r="I5" t="s">
        <v>19</v>
      </c>
      <c r="K5" s="23" t="s">
        <v>947</v>
      </c>
      <c r="M5" s="26" t="s">
        <v>2111</v>
      </c>
      <c r="N5" s="26" t="s">
        <v>1859</v>
      </c>
    </row>
    <row r="6" spans="1:14">
      <c r="A6" s="17" t="s">
        <v>921</v>
      </c>
      <c r="E6" t="s">
        <v>1004</v>
      </c>
      <c r="G6" t="s">
        <v>1005</v>
      </c>
      <c r="K6" s="23" t="s">
        <v>949</v>
      </c>
      <c r="M6" s="26" t="s">
        <v>2060</v>
      </c>
      <c r="N6" s="26" t="s">
        <v>1808</v>
      </c>
    </row>
    <row r="7" spans="1:14">
      <c r="A7" s="18" t="s">
        <v>919</v>
      </c>
      <c r="E7" t="s">
        <v>996</v>
      </c>
      <c r="G7" t="s">
        <v>997</v>
      </c>
      <c r="K7" s="23" t="s">
        <v>951</v>
      </c>
      <c r="M7" s="26" t="s">
        <v>2050</v>
      </c>
      <c r="N7" s="26" t="s">
        <v>1798</v>
      </c>
    </row>
    <row r="8" spans="1:14">
      <c r="A8" s="17" t="s">
        <v>912</v>
      </c>
      <c r="E8" t="s">
        <v>1008</v>
      </c>
      <c r="G8" t="s">
        <v>1009</v>
      </c>
      <c r="K8" s="24" t="s">
        <v>953</v>
      </c>
      <c r="M8" s="26" t="s">
        <v>2057</v>
      </c>
      <c r="N8" s="26" t="s">
        <v>1805</v>
      </c>
    </row>
    <row r="9" spans="1:14">
      <c r="A9" s="18" t="s">
        <v>918</v>
      </c>
      <c r="E9" t="s">
        <v>990</v>
      </c>
      <c r="G9" t="s">
        <v>991</v>
      </c>
      <c r="K9" s="24" t="s">
        <v>955</v>
      </c>
      <c r="M9" s="26" t="s">
        <v>2054</v>
      </c>
      <c r="N9" s="26" t="s">
        <v>1802</v>
      </c>
    </row>
    <row r="10" spans="1:14">
      <c r="A10" s="17" t="s">
        <v>917</v>
      </c>
      <c r="E10" t="s">
        <v>1012</v>
      </c>
      <c r="G10" t="s">
        <v>1013</v>
      </c>
      <c r="K10" s="24" t="s">
        <v>957</v>
      </c>
      <c r="M10" s="26" t="s">
        <v>2058</v>
      </c>
      <c r="N10" s="26" t="s">
        <v>1806</v>
      </c>
    </row>
    <row r="11" spans="1:14">
      <c r="A11" s="18" t="s">
        <v>915</v>
      </c>
      <c r="E11" t="s">
        <v>1014</v>
      </c>
      <c r="G11" t="s">
        <v>1015</v>
      </c>
      <c r="K11" s="24" t="s">
        <v>959</v>
      </c>
      <c r="M11" s="26" t="s">
        <v>2053</v>
      </c>
      <c r="N11" s="26" t="s">
        <v>1801</v>
      </c>
    </row>
    <row r="12" spans="1:14">
      <c r="A12" s="17" t="s">
        <v>923</v>
      </c>
      <c r="E12" t="s">
        <v>1002</v>
      </c>
      <c r="G12" t="s">
        <v>1003</v>
      </c>
      <c r="K12" s="23" t="s">
        <v>961</v>
      </c>
      <c r="M12" s="26" t="s">
        <v>2059</v>
      </c>
      <c r="N12" s="26" t="s">
        <v>1807</v>
      </c>
    </row>
    <row r="13" spans="1:14">
      <c r="A13" s="18" t="s">
        <v>924</v>
      </c>
      <c r="E13" t="s">
        <v>1010</v>
      </c>
      <c r="G13" t="s">
        <v>1011</v>
      </c>
      <c r="K13" s="23" t="s">
        <v>963</v>
      </c>
      <c r="M13" s="26" t="s">
        <v>2056</v>
      </c>
      <c r="N13" s="26" t="s">
        <v>1804</v>
      </c>
    </row>
    <row r="14" spans="1:14">
      <c r="A14" s="17" t="s">
        <v>927</v>
      </c>
      <c r="E14" t="s">
        <v>998</v>
      </c>
      <c r="G14" t="s">
        <v>999</v>
      </c>
      <c r="K14" s="23" t="s">
        <v>967</v>
      </c>
      <c r="M14" s="26" t="s">
        <v>2063</v>
      </c>
      <c r="N14" s="26" t="s">
        <v>1811</v>
      </c>
    </row>
    <row r="15" spans="1:14">
      <c r="A15" s="18" t="s">
        <v>920</v>
      </c>
      <c r="E15" t="s">
        <v>992</v>
      </c>
      <c r="G15" t="s">
        <v>993</v>
      </c>
      <c r="K15" s="24" t="s">
        <v>979</v>
      </c>
      <c r="M15" s="26" t="s">
        <v>2062</v>
      </c>
      <c r="N15" s="26" t="s">
        <v>1810</v>
      </c>
    </row>
    <row r="16" spans="1:14">
      <c r="A16" s="17" t="s">
        <v>914</v>
      </c>
      <c r="E16" t="s">
        <v>1016</v>
      </c>
      <c r="G16" t="s">
        <v>1017</v>
      </c>
      <c r="K16" s="23" t="s">
        <v>980</v>
      </c>
      <c r="M16" s="26" t="s">
        <v>2061</v>
      </c>
      <c r="N16" s="26" t="s">
        <v>1809</v>
      </c>
    </row>
    <row r="17" spans="1:14">
      <c r="A17" s="18" t="s">
        <v>913</v>
      </c>
      <c r="K17" s="23" t="s">
        <v>981</v>
      </c>
      <c r="M17" s="26" t="s">
        <v>2065</v>
      </c>
      <c r="N17" s="26" t="s">
        <v>1813</v>
      </c>
    </row>
    <row r="18" spans="1:14">
      <c r="K18" s="24" t="s">
        <v>982</v>
      </c>
      <c r="M18" s="26" t="s">
        <v>2081</v>
      </c>
      <c r="N18" s="26" t="s">
        <v>1829</v>
      </c>
    </row>
    <row r="19" spans="1:14">
      <c r="K19" s="24" t="s">
        <v>970</v>
      </c>
      <c r="M19" s="26" t="s">
        <v>2072</v>
      </c>
      <c r="N19" s="26" t="s">
        <v>1820</v>
      </c>
    </row>
    <row r="20" spans="1:14">
      <c r="K20" s="24" t="s">
        <v>973</v>
      </c>
      <c r="M20" s="26" t="s">
        <v>2068</v>
      </c>
      <c r="N20" s="26" t="s">
        <v>1816</v>
      </c>
    </row>
    <row r="21" spans="1:14">
      <c r="K21" s="24" t="s">
        <v>978</v>
      </c>
      <c r="M21" s="26" t="s">
        <v>2067</v>
      </c>
      <c r="N21" s="26" t="s">
        <v>1815</v>
      </c>
    </row>
    <row r="22" spans="1:14">
      <c r="K22" s="24" t="s">
        <v>974</v>
      </c>
      <c r="M22" s="26" t="s">
        <v>2085</v>
      </c>
      <c r="N22" s="26" t="s">
        <v>1833</v>
      </c>
    </row>
    <row r="23" spans="1:14">
      <c r="K23" s="24" t="s">
        <v>976</v>
      </c>
      <c r="M23" s="26" t="s">
        <v>2069</v>
      </c>
      <c r="N23" s="26" t="s">
        <v>1817</v>
      </c>
    </row>
    <row r="24" spans="1:14">
      <c r="K24" s="24" t="s">
        <v>965</v>
      </c>
      <c r="M24" s="26" t="s">
        <v>2086</v>
      </c>
      <c r="N24" s="26" t="s">
        <v>1834</v>
      </c>
    </row>
    <row r="25" spans="1:14">
      <c r="K25" s="24" t="s">
        <v>2887</v>
      </c>
      <c r="M25" s="26" t="s">
        <v>2074</v>
      </c>
      <c r="N25" s="26" t="s">
        <v>1822</v>
      </c>
    </row>
    <row r="26" spans="1:14">
      <c r="M26" s="26" t="s">
        <v>2076</v>
      </c>
      <c r="N26" s="26" t="s">
        <v>1824</v>
      </c>
    </row>
    <row r="27" spans="1:14">
      <c r="M27" s="26" t="s">
        <v>2082</v>
      </c>
      <c r="N27" s="26" t="s">
        <v>1830</v>
      </c>
    </row>
    <row r="28" spans="1:14">
      <c r="M28" s="26" t="s">
        <v>2078</v>
      </c>
      <c r="N28" s="26" t="s">
        <v>1826</v>
      </c>
    </row>
    <row r="29" spans="1:14">
      <c r="M29" s="26" t="s">
        <v>2066</v>
      </c>
      <c r="N29" s="26" t="s">
        <v>1814</v>
      </c>
    </row>
    <row r="30" spans="1:14">
      <c r="M30" s="26" t="s">
        <v>2084</v>
      </c>
      <c r="N30" s="26" t="s">
        <v>1832</v>
      </c>
    </row>
    <row r="31" spans="1:14">
      <c r="M31" s="26" t="s">
        <v>2083</v>
      </c>
      <c r="N31" s="26" t="s">
        <v>1831</v>
      </c>
    </row>
    <row r="32" spans="1:14">
      <c r="M32" s="26" t="s">
        <v>2080</v>
      </c>
      <c r="N32" s="26" t="s">
        <v>1828</v>
      </c>
    </row>
    <row r="33" spans="13:14">
      <c r="M33" s="26" t="s">
        <v>2155</v>
      </c>
      <c r="N33" s="26" t="s">
        <v>1902</v>
      </c>
    </row>
    <row r="34" spans="13:14">
      <c r="M34" s="26" t="s">
        <v>2077</v>
      </c>
      <c r="N34" s="26" t="s">
        <v>1825</v>
      </c>
    </row>
    <row r="35" spans="13:14">
      <c r="M35" s="26" t="s">
        <v>2071</v>
      </c>
      <c r="N35" s="26" t="s">
        <v>1819</v>
      </c>
    </row>
    <row r="36" spans="13:14">
      <c r="M36" s="26" t="s">
        <v>2070</v>
      </c>
      <c r="N36" s="26" t="s">
        <v>1818</v>
      </c>
    </row>
    <row r="37" spans="13:14">
      <c r="M37" s="26" t="s">
        <v>2073</v>
      </c>
      <c r="N37" s="26" t="s">
        <v>1821</v>
      </c>
    </row>
    <row r="38" spans="13:14">
      <c r="M38" s="26" t="s">
        <v>2166</v>
      </c>
      <c r="N38" s="26" t="s">
        <v>1913</v>
      </c>
    </row>
    <row r="39" spans="13:14">
      <c r="M39" s="26" t="s">
        <v>2096</v>
      </c>
      <c r="N39" s="26" t="s">
        <v>1844</v>
      </c>
    </row>
    <row r="40" spans="13:14">
      <c r="M40" s="26" t="s">
        <v>2087</v>
      </c>
      <c r="N40" s="26" t="s">
        <v>1835</v>
      </c>
    </row>
    <row r="41" spans="13:14">
      <c r="M41" s="26" t="s">
        <v>2101</v>
      </c>
      <c r="N41" s="26" t="s">
        <v>1849</v>
      </c>
    </row>
    <row r="42" spans="13:14">
      <c r="M42" s="26" t="s">
        <v>2079</v>
      </c>
      <c r="N42" s="26" t="s">
        <v>1827</v>
      </c>
    </row>
    <row r="43" spans="13:14">
      <c r="M43" s="26" t="s">
        <v>2173</v>
      </c>
      <c r="N43" s="26" t="s">
        <v>1920</v>
      </c>
    </row>
    <row r="44" spans="13:14">
      <c r="M44" s="26" t="s">
        <v>2090</v>
      </c>
      <c r="N44" s="26" t="s">
        <v>1838</v>
      </c>
    </row>
    <row r="45" spans="13:14">
      <c r="M45" s="26" t="s">
        <v>2263</v>
      </c>
      <c r="N45" s="26" t="s">
        <v>2011</v>
      </c>
    </row>
    <row r="46" spans="13:14">
      <c r="M46" s="26" t="s">
        <v>2095</v>
      </c>
      <c r="N46" s="26" t="s">
        <v>1843</v>
      </c>
    </row>
    <row r="47" spans="13:14">
      <c r="M47" s="26" t="s">
        <v>2097</v>
      </c>
      <c r="N47" s="26" t="s">
        <v>1845</v>
      </c>
    </row>
    <row r="48" spans="13:14">
      <c r="M48" s="26" t="s">
        <v>2103</v>
      </c>
      <c r="N48" s="26" t="s">
        <v>1851</v>
      </c>
    </row>
    <row r="49" spans="13:14">
      <c r="M49" s="26" t="s">
        <v>2088</v>
      </c>
      <c r="N49" s="26" t="s">
        <v>1836</v>
      </c>
    </row>
    <row r="50" spans="13:14">
      <c r="M50" s="26" t="s">
        <v>2098</v>
      </c>
      <c r="N50" s="26" t="s">
        <v>1846</v>
      </c>
    </row>
    <row r="51" spans="13:14">
      <c r="M51" s="26" t="s">
        <v>2168</v>
      </c>
      <c r="N51" s="26" t="s">
        <v>1915</v>
      </c>
    </row>
    <row r="52" spans="13:14">
      <c r="M52" s="26" t="s">
        <v>2094</v>
      </c>
      <c r="N52" s="26" t="s">
        <v>1842</v>
      </c>
    </row>
    <row r="53" spans="13:14">
      <c r="M53" s="26" t="s">
        <v>2099</v>
      </c>
      <c r="N53" s="26" t="s">
        <v>1847</v>
      </c>
    </row>
    <row r="54" spans="13:14">
      <c r="M54" s="26" t="s">
        <v>2147</v>
      </c>
      <c r="N54" s="26" t="s">
        <v>1894</v>
      </c>
    </row>
    <row r="55" spans="13:14">
      <c r="M55" s="26" t="s">
        <v>2100</v>
      </c>
      <c r="N55" s="26" t="s">
        <v>1848</v>
      </c>
    </row>
    <row r="56" spans="13:14">
      <c r="M56" s="26" t="s">
        <v>2102</v>
      </c>
      <c r="N56" s="26" t="s">
        <v>1850</v>
      </c>
    </row>
    <row r="57" spans="13:14">
      <c r="M57" s="26" t="s">
        <v>2104</v>
      </c>
      <c r="N57" s="26" t="s">
        <v>1852</v>
      </c>
    </row>
    <row r="58" spans="13:14">
      <c r="M58" s="26" t="s">
        <v>2105</v>
      </c>
      <c r="N58" s="26" t="s">
        <v>1853</v>
      </c>
    </row>
    <row r="59" spans="13:14">
      <c r="M59" s="26" t="s">
        <v>2089</v>
      </c>
      <c r="N59" s="26" t="s">
        <v>1837</v>
      </c>
    </row>
    <row r="60" spans="13:14">
      <c r="M60" s="26" t="s">
        <v>2108</v>
      </c>
      <c r="N60" s="26" t="s">
        <v>1856</v>
      </c>
    </row>
    <row r="61" spans="13:14">
      <c r="M61" s="26" t="s">
        <v>2107</v>
      </c>
      <c r="N61" s="26" t="s">
        <v>1855</v>
      </c>
    </row>
    <row r="62" spans="13:14">
      <c r="M62" s="26" t="s">
        <v>2109</v>
      </c>
      <c r="N62" s="26" t="s">
        <v>1857</v>
      </c>
    </row>
    <row r="63" spans="13:14">
      <c r="M63" s="26" t="s">
        <v>2110</v>
      </c>
      <c r="N63" s="26" t="s">
        <v>1858</v>
      </c>
    </row>
    <row r="64" spans="13:14">
      <c r="M64" s="26" t="s">
        <v>2314</v>
      </c>
      <c r="N64" s="26" t="s">
        <v>2046</v>
      </c>
    </row>
    <row r="65" spans="13:14">
      <c r="M65" s="26" t="s">
        <v>2112</v>
      </c>
      <c r="N65" s="26" t="s">
        <v>1860</v>
      </c>
    </row>
    <row r="66" spans="13:14">
      <c r="M66" s="26" t="s">
        <v>2114</v>
      </c>
      <c r="N66" s="26" t="s">
        <v>1862</v>
      </c>
    </row>
    <row r="67" spans="13:14">
      <c r="M67" s="26" t="s">
        <v>2258</v>
      </c>
      <c r="N67" s="26" t="s">
        <v>2006</v>
      </c>
    </row>
    <row r="68" spans="13:14">
      <c r="M68" s="26" t="s">
        <v>2137</v>
      </c>
      <c r="N68" s="26" t="s">
        <v>1884</v>
      </c>
    </row>
    <row r="69" spans="13:14">
      <c r="M69" s="26" t="s">
        <v>2116</v>
      </c>
      <c r="N69" s="26" t="s">
        <v>1864</v>
      </c>
    </row>
    <row r="70" spans="13:14">
      <c r="M70" s="26" t="s">
        <v>2113</v>
      </c>
      <c r="N70" s="26" t="s">
        <v>1861</v>
      </c>
    </row>
    <row r="71" spans="13:14">
      <c r="M71" s="26" t="s">
        <v>2261</v>
      </c>
      <c r="N71" s="26" t="s">
        <v>2009</v>
      </c>
    </row>
    <row r="72" spans="13:14">
      <c r="M72" s="26" t="s">
        <v>2118</v>
      </c>
      <c r="N72" s="26" t="s">
        <v>1866</v>
      </c>
    </row>
    <row r="73" spans="13:14">
      <c r="M73" s="26" t="s">
        <v>2313</v>
      </c>
      <c r="N73" s="26" t="s">
        <v>2047</v>
      </c>
    </row>
    <row r="74" spans="13:14">
      <c r="M74" s="26" t="s">
        <v>2121</v>
      </c>
      <c r="N74" s="26" t="s">
        <v>1869</v>
      </c>
    </row>
    <row r="75" spans="13:14">
      <c r="M75" s="26" t="s">
        <v>2123</v>
      </c>
      <c r="N75" s="26" t="s">
        <v>1871</v>
      </c>
    </row>
    <row r="76" spans="13:14">
      <c r="M76" s="26" t="s">
        <v>2120</v>
      </c>
      <c r="N76" s="26" t="s">
        <v>1868</v>
      </c>
    </row>
    <row r="77" spans="13:14">
      <c r="M77" s="26" t="s">
        <v>2119</v>
      </c>
      <c r="N77" s="26" t="s">
        <v>1867</v>
      </c>
    </row>
    <row r="78" spans="13:14">
      <c r="M78" s="26" t="s">
        <v>2124</v>
      </c>
      <c r="N78" s="26" t="s">
        <v>1872</v>
      </c>
    </row>
    <row r="79" spans="13:14">
      <c r="M79" s="26" t="s">
        <v>2129</v>
      </c>
      <c r="N79" s="26" t="s">
        <v>1876</v>
      </c>
    </row>
    <row r="80" spans="13:14">
      <c r="M80" s="26" t="s">
        <v>2223</v>
      </c>
      <c r="N80" s="26" t="s">
        <v>1971</v>
      </c>
    </row>
    <row r="81" spans="13:14">
      <c r="M81" s="26" t="s">
        <v>2264</v>
      </c>
      <c r="N81" s="26" t="s">
        <v>2012</v>
      </c>
    </row>
    <row r="82" spans="13:14">
      <c r="M82" s="26" t="s">
        <v>2125</v>
      </c>
      <c r="N82" s="26" t="s">
        <v>2302</v>
      </c>
    </row>
    <row r="83" spans="13:14">
      <c r="M83" s="26" t="s">
        <v>2134</v>
      </c>
      <c r="N83" s="26" t="s">
        <v>1881</v>
      </c>
    </row>
    <row r="84" spans="13:14">
      <c r="M84" s="26" t="s">
        <v>2140</v>
      </c>
      <c r="N84" s="26" t="s">
        <v>1887</v>
      </c>
    </row>
    <row r="85" spans="13:14">
      <c r="M85" s="26" t="s">
        <v>2128</v>
      </c>
      <c r="N85" s="26" t="s">
        <v>1875</v>
      </c>
    </row>
    <row r="86" spans="13:14">
      <c r="M86" s="26" t="s">
        <v>2106</v>
      </c>
      <c r="N86" s="26" t="s">
        <v>1854</v>
      </c>
    </row>
    <row r="87" spans="13:14">
      <c r="M87" s="26" t="s">
        <v>2131</v>
      </c>
      <c r="N87" s="26" t="s">
        <v>1878</v>
      </c>
    </row>
    <row r="88" spans="13:14">
      <c r="M88" s="26" t="s">
        <v>2132</v>
      </c>
      <c r="N88" s="26" t="s">
        <v>1879</v>
      </c>
    </row>
    <row r="89" spans="13:14">
      <c r="M89" s="26" t="s">
        <v>2138</v>
      </c>
      <c r="N89" s="26" t="s">
        <v>1885</v>
      </c>
    </row>
    <row r="90" spans="13:14">
      <c r="M90" s="26" t="s">
        <v>2133</v>
      </c>
      <c r="N90" s="26" t="s">
        <v>1880</v>
      </c>
    </row>
    <row r="91" spans="13:14">
      <c r="M91" s="26" t="s">
        <v>2127</v>
      </c>
      <c r="N91" s="26" t="s">
        <v>1874</v>
      </c>
    </row>
    <row r="92" spans="13:14">
      <c r="M92" s="26" t="s">
        <v>2136</v>
      </c>
      <c r="N92" s="26" t="s">
        <v>1883</v>
      </c>
    </row>
    <row r="93" spans="13:14">
      <c r="M93" s="26" t="s">
        <v>2141</v>
      </c>
      <c r="N93" s="26" t="s">
        <v>1888</v>
      </c>
    </row>
    <row r="94" spans="13:14">
      <c r="M94" s="26" t="s">
        <v>2130</v>
      </c>
      <c r="N94" s="26" t="s">
        <v>1877</v>
      </c>
    </row>
    <row r="95" spans="13:14">
      <c r="M95" s="26" t="s">
        <v>2135</v>
      </c>
      <c r="N95" s="26" t="s">
        <v>1882</v>
      </c>
    </row>
    <row r="96" spans="13:14">
      <c r="M96" s="26" t="s">
        <v>2142</v>
      </c>
      <c r="N96" s="26" t="s">
        <v>1889</v>
      </c>
    </row>
    <row r="97" spans="13:14">
      <c r="M97" s="26" t="s">
        <v>2143</v>
      </c>
      <c r="N97" s="26" t="s">
        <v>1890</v>
      </c>
    </row>
    <row r="98" spans="13:14">
      <c r="M98" s="26" t="s">
        <v>2148</v>
      </c>
      <c r="N98" s="26" t="s">
        <v>1895</v>
      </c>
    </row>
    <row r="99" spans="13:14">
      <c r="M99" s="26" t="s">
        <v>2145</v>
      </c>
      <c r="N99" s="26" t="s">
        <v>1892</v>
      </c>
    </row>
    <row r="100" spans="13:14">
      <c r="M100" s="26" t="s">
        <v>2284</v>
      </c>
      <c r="N100" s="26" t="s">
        <v>2032</v>
      </c>
    </row>
    <row r="101" spans="13:14">
      <c r="M101" s="26" t="s">
        <v>2146</v>
      </c>
      <c r="N101" s="26" t="s">
        <v>1893</v>
      </c>
    </row>
    <row r="102" spans="13:14">
      <c r="M102" s="26" t="s">
        <v>2144</v>
      </c>
      <c r="N102" s="26" t="s">
        <v>1891</v>
      </c>
    </row>
    <row r="103" spans="13:14">
      <c r="M103" s="26" t="s">
        <v>2149</v>
      </c>
      <c r="N103" s="26" t="s">
        <v>1896</v>
      </c>
    </row>
    <row r="104" spans="13:14">
      <c r="M104" s="26" t="s">
        <v>2158</v>
      </c>
      <c r="N104" s="26" t="s">
        <v>1905</v>
      </c>
    </row>
    <row r="105" spans="13:14">
      <c r="M105" s="26" t="s">
        <v>2154</v>
      </c>
      <c r="N105" s="26" t="s">
        <v>1901</v>
      </c>
    </row>
    <row r="106" spans="13:14">
      <c r="M106" s="26" t="s">
        <v>2150</v>
      </c>
      <c r="N106" s="26" t="s">
        <v>1897</v>
      </c>
    </row>
    <row r="107" spans="13:14">
      <c r="M107" s="26" t="s">
        <v>2157</v>
      </c>
      <c r="N107" s="26" t="s">
        <v>1904</v>
      </c>
    </row>
    <row r="108" spans="13:14">
      <c r="M108" s="26" t="s">
        <v>2156</v>
      </c>
      <c r="N108" s="26" t="s">
        <v>1903</v>
      </c>
    </row>
    <row r="109" spans="13:14">
      <c r="M109" s="26" t="s">
        <v>2151</v>
      </c>
      <c r="N109" s="26" t="s">
        <v>1898</v>
      </c>
    </row>
    <row r="110" spans="13:14">
      <c r="M110" s="26" t="s">
        <v>2153</v>
      </c>
      <c r="N110" s="26" t="s">
        <v>1900</v>
      </c>
    </row>
    <row r="111" spans="13:14">
      <c r="M111" s="26" t="s">
        <v>2152</v>
      </c>
      <c r="N111" s="26" t="s">
        <v>1899</v>
      </c>
    </row>
    <row r="112" spans="13:14">
      <c r="M112" s="26" t="s">
        <v>2159</v>
      </c>
      <c r="N112" s="26" t="s">
        <v>1906</v>
      </c>
    </row>
    <row r="113" spans="13:14">
      <c r="M113" s="26" t="s">
        <v>2093</v>
      </c>
      <c r="N113" s="26" t="s">
        <v>1841</v>
      </c>
    </row>
    <row r="114" spans="13:14">
      <c r="M114" s="26" t="s">
        <v>2161</v>
      </c>
      <c r="N114" s="26" t="s">
        <v>1908</v>
      </c>
    </row>
    <row r="115" spans="13:14">
      <c r="M115" s="26" t="s">
        <v>2163</v>
      </c>
      <c r="N115" s="26" t="s">
        <v>1910</v>
      </c>
    </row>
    <row r="116" spans="13:14">
      <c r="M116" s="26" t="s">
        <v>2160</v>
      </c>
      <c r="N116" s="26" t="s">
        <v>1907</v>
      </c>
    </row>
    <row r="117" spans="13:14">
      <c r="M117" s="26" t="s">
        <v>2162</v>
      </c>
      <c r="N117" s="26" t="s">
        <v>1909</v>
      </c>
    </row>
    <row r="118" spans="13:14">
      <c r="M118" s="26" t="s">
        <v>2174</v>
      </c>
      <c r="N118" s="26" t="s">
        <v>1921</v>
      </c>
    </row>
    <row r="119" spans="13:14">
      <c r="M119" s="26" t="s">
        <v>2164</v>
      </c>
      <c r="N119" s="26" t="s">
        <v>1911</v>
      </c>
    </row>
    <row r="120" spans="13:14">
      <c r="M120" s="26" t="s">
        <v>2167</v>
      </c>
      <c r="N120" s="26" t="s">
        <v>1914</v>
      </c>
    </row>
    <row r="121" spans="13:14">
      <c r="M121" s="26" t="s">
        <v>2172</v>
      </c>
      <c r="N121" s="26" t="s">
        <v>1919</v>
      </c>
    </row>
    <row r="122" spans="13:14">
      <c r="M122" s="26" t="s">
        <v>2165</v>
      </c>
      <c r="N122" s="26" t="s">
        <v>1912</v>
      </c>
    </row>
    <row r="123" spans="13:14">
      <c r="M123" s="26" t="s">
        <v>2175</v>
      </c>
      <c r="N123" s="26" t="s">
        <v>1922</v>
      </c>
    </row>
    <row r="124" spans="13:14">
      <c r="M124" s="26" t="s">
        <v>2184</v>
      </c>
      <c r="N124" s="26" t="s">
        <v>1931</v>
      </c>
    </row>
    <row r="125" spans="13:14">
      <c r="M125" s="26" t="s">
        <v>2176</v>
      </c>
      <c r="N125" s="26" t="s">
        <v>1923</v>
      </c>
    </row>
    <row r="126" spans="13:14">
      <c r="M126" s="26" t="s">
        <v>2181</v>
      </c>
      <c r="N126" s="26" t="s">
        <v>1928</v>
      </c>
    </row>
    <row r="127" spans="13:14">
      <c r="M127" s="26" t="s">
        <v>2180</v>
      </c>
      <c r="N127" s="26" t="s">
        <v>1927</v>
      </c>
    </row>
    <row r="128" spans="13:14">
      <c r="M128" s="26" t="s">
        <v>2185</v>
      </c>
      <c r="N128" s="26" t="s">
        <v>1932</v>
      </c>
    </row>
    <row r="129" spans="13:14">
      <c r="M129" s="26" t="s">
        <v>2178</v>
      </c>
      <c r="N129" s="26" t="s">
        <v>1925</v>
      </c>
    </row>
    <row r="130" spans="13:14">
      <c r="M130" s="26" t="s">
        <v>2182</v>
      </c>
      <c r="N130" s="26" t="s">
        <v>1929</v>
      </c>
    </row>
    <row r="131" spans="13:14">
      <c r="M131" s="26" t="s">
        <v>2183</v>
      </c>
      <c r="N131" s="26" t="s">
        <v>1930</v>
      </c>
    </row>
    <row r="132" spans="13:14">
      <c r="M132" s="26" t="s">
        <v>2197</v>
      </c>
      <c r="N132" s="26" t="s">
        <v>1944</v>
      </c>
    </row>
    <row r="133" spans="13:14">
      <c r="M133" s="26" t="s">
        <v>2191</v>
      </c>
      <c r="N133" s="26" t="s">
        <v>1938</v>
      </c>
    </row>
    <row r="134" spans="13:14">
      <c r="M134" s="26" t="s">
        <v>2205</v>
      </c>
      <c r="N134" s="26" t="s">
        <v>1952</v>
      </c>
    </row>
    <row r="135" spans="13:14">
      <c r="M135" s="26" t="s">
        <v>2207</v>
      </c>
      <c r="N135" s="26" t="s">
        <v>1954</v>
      </c>
    </row>
    <row r="136" spans="13:14">
      <c r="M136" s="26" t="s">
        <v>2204</v>
      </c>
      <c r="N136" s="26" t="s">
        <v>1951</v>
      </c>
    </row>
    <row r="137" spans="13:14">
      <c r="M137" s="26" t="s">
        <v>2194</v>
      </c>
      <c r="N137" s="26" t="s">
        <v>1941</v>
      </c>
    </row>
    <row r="138" spans="13:14">
      <c r="M138" s="26" t="s">
        <v>2202</v>
      </c>
      <c r="N138" s="26" t="s">
        <v>1949</v>
      </c>
    </row>
    <row r="139" spans="13:14">
      <c r="M139" s="26" t="s">
        <v>2192</v>
      </c>
      <c r="N139" s="26" t="s">
        <v>1939</v>
      </c>
    </row>
    <row r="140" spans="13:14">
      <c r="M140" s="26" t="s">
        <v>2199</v>
      </c>
      <c r="N140" s="26" t="s">
        <v>1946</v>
      </c>
    </row>
    <row r="141" spans="13:14">
      <c r="M141" s="26" t="s">
        <v>2200</v>
      </c>
      <c r="N141" s="26" t="s">
        <v>1947</v>
      </c>
    </row>
    <row r="142" spans="13:14">
      <c r="M142" s="26" t="s">
        <v>2203</v>
      </c>
      <c r="N142" s="26" t="s">
        <v>1950</v>
      </c>
    </row>
    <row r="143" spans="13:14">
      <c r="M143" s="26" t="s">
        <v>2294</v>
      </c>
      <c r="N143" s="26" t="s">
        <v>2042</v>
      </c>
    </row>
    <row r="144" spans="13:14">
      <c r="M144" s="26" t="s">
        <v>2206</v>
      </c>
      <c r="N144" s="26" t="s">
        <v>1953</v>
      </c>
    </row>
    <row r="145" spans="13:14">
      <c r="M145" s="26" t="s">
        <v>2122</v>
      </c>
      <c r="N145" s="26" t="s">
        <v>1870</v>
      </c>
    </row>
    <row r="146" spans="13:14">
      <c r="M146" s="26" t="s">
        <v>2188</v>
      </c>
      <c r="N146" s="26" t="s">
        <v>1935</v>
      </c>
    </row>
    <row r="147" spans="13:14">
      <c r="M147" s="26" t="s">
        <v>2187</v>
      </c>
      <c r="N147" s="26" t="s">
        <v>1934</v>
      </c>
    </row>
    <row r="148" spans="13:14">
      <c r="M148" s="26" t="s">
        <v>2196</v>
      </c>
      <c r="N148" s="26" t="s">
        <v>1943</v>
      </c>
    </row>
    <row r="149" spans="13:14">
      <c r="M149" s="26" t="s">
        <v>2189</v>
      </c>
      <c r="N149" s="26" t="s">
        <v>1936</v>
      </c>
    </row>
    <row r="150" spans="13:14">
      <c r="M150" s="26" t="s">
        <v>2201</v>
      </c>
      <c r="N150" s="26" t="s">
        <v>1948</v>
      </c>
    </row>
    <row r="151" spans="13:14">
      <c r="M151" s="26" t="s">
        <v>2186</v>
      </c>
      <c r="N151" s="26" t="s">
        <v>1933</v>
      </c>
    </row>
    <row r="152" spans="13:14">
      <c r="M152" s="26" t="s">
        <v>2208</v>
      </c>
      <c r="N152" s="26" t="s">
        <v>1955</v>
      </c>
    </row>
    <row r="153" spans="13:14">
      <c r="M153" s="26" t="s">
        <v>2195</v>
      </c>
      <c r="N153" s="26" t="s">
        <v>1942</v>
      </c>
    </row>
    <row r="154" spans="13:14">
      <c r="M154" s="26" t="s">
        <v>1786</v>
      </c>
      <c r="N154" s="26" t="s">
        <v>1956</v>
      </c>
    </row>
    <row r="155" spans="13:14">
      <c r="M155" s="26" t="s">
        <v>2217</v>
      </c>
      <c r="N155" s="26" t="s">
        <v>1965</v>
      </c>
    </row>
    <row r="156" spans="13:14">
      <c r="M156" s="26" t="s">
        <v>2216</v>
      </c>
      <c r="N156" s="26" t="s">
        <v>1964</v>
      </c>
    </row>
    <row r="157" spans="13:14">
      <c r="M157" s="26" t="s">
        <v>2214</v>
      </c>
      <c r="N157" s="26" t="s">
        <v>1962</v>
      </c>
    </row>
    <row r="158" spans="13:14">
      <c r="M158" s="26" t="s">
        <v>2209</v>
      </c>
      <c r="N158" s="26" t="s">
        <v>1957</v>
      </c>
    </row>
    <row r="159" spans="13:14">
      <c r="M159" s="26" t="s">
        <v>2219</v>
      </c>
      <c r="N159" s="26" t="s">
        <v>1967</v>
      </c>
    </row>
    <row r="160" spans="13:14">
      <c r="M160" s="26" t="s">
        <v>2213</v>
      </c>
      <c r="N160" s="26" t="s">
        <v>1961</v>
      </c>
    </row>
    <row r="161" spans="13:14">
      <c r="M161" s="26" t="s">
        <v>2210</v>
      </c>
      <c r="N161" s="26" t="s">
        <v>1958</v>
      </c>
    </row>
    <row r="162" spans="13:14">
      <c r="M162" s="26" t="s">
        <v>2212</v>
      </c>
      <c r="N162" s="26" t="s">
        <v>1960</v>
      </c>
    </row>
    <row r="163" spans="13:14">
      <c r="M163" s="26" t="s">
        <v>2218</v>
      </c>
      <c r="N163" s="26" t="s">
        <v>1966</v>
      </c>
    </row>
    <row r="164" spans="13:14">
      <c r="M164" s="26" t="s">
        <v>2211</v>
      </c>
      <c r="N164" s="26" t="s">
        <v>1959</v>
      </c>
    </row>
    <row r="165" spans="13:14">
      <c r="M165" s="26" t="s">
        <v>2170</v>
      </c>
      <c r="N165" s="26" t="s">
        <v>1917</v>
      </c>
    </row>
    <row r="166" spans="13:14">
      <c r="M166" s="26" t="s">
        <v>2193</v>
      </c>
      <c r="N166" s="26" t="s">
        <v>1940</v>
      </c>
    </row>
    <row r="167" spans="13:14">
      <c r="M167" s="26" t="s">
        <v>2198</v>
      </c>
      <c r="N167" s="26" t="s">
        <v>1945</v>
      </c>
    </row>
    <row r="168" spans="13:14">
      <c r="M168" s="26" t="s">
        <v>2215</v>
      </c>
      <c r="N168" s="26" t="s">
        <v>1963</v>
      </c>
    </row>
    <row r="169" spans="13:14">
      <c r="M169" s="26" t="s">
        <v>2220</v>
      </c>
      <c r="N169" s="26" t="s">
        <v>1968</v>
      </c>
    </row>
    <row r="170" spans="13:14">
      <c r="M170" s="26" t="s">
        <v>2226</v>
      </c>
      <c r="N170" s="26" t="s">
        <v>1974</v>
      </c>
    </row>
    <row r="171" spans="13:14">
      <c r="M171" s="26" t="s">
        <v>2233</v>
      </c>
      <c r="N171" s="26" t="s">
        <v>1981</v>
      </c>
    </row>
    <row r="172" spans="13:14">
      <c r="M172" s="26" t="s">
        <v>2231</v>
      </c>
      <c r="N172" s="26" t="s">
        <v>1979</v>
      </c>
    </row>
    <row r="173" spans="13:14">
      <c r="M173" s="26" t="s">
        <v>2221</v>
      </c>
      <c r="N173" s="26" t="s">
        <v>1969</v>
      </c>
    </row>
    <row r="174" spans="13:14">
      <c r="M174" s="26" t="s">
        <v>2224</v>
      </c>
      <c r="N174" s="26" t="s">
        <v>1972</v>
      </c>
    </row>
    <row r="175" spans="13:14">
      <c r="M175" s="26" t="s">
        <v>2234</v>
      </c>
      <c r="N175" s="26" t="s">
        <v>1982</v>
      </c>
    </row>
    <row r="176" spans="13:14">
      <c r="M176" s="26" t="s">
        <v>2222</v>
      </c>
      <c r="N176" s="26" t="s">
        <v>1970</v>
      </c>
    </row>
    <row r="177" spans="13:14">
      <c r="M177" s="26" t="s">
        <v>2225</v>
      </c>
      <c r="N177" s="26" t="s">
        <v>1973</v>
      </c>
    </row>
    <row r="178" spans="13:14">
      <c r="M178" s="26" t="s">
        <v>2229</v>
      </c>
      <c r="N178" s="26" t="s">
        <v>1977</v>
      </c>
    </row>
    <row r="179" spans="13:14">
      <c r="M179" s="26" t="s">
        <v>2227</v>
      </c>
      <c r="N179" s="26" t="s">
        <v>1975</v>
      </c>
    </row>
    <row r="180" spans="13:14">
      <c r="M180" s="26" t="s">
        <v>2232</v>
      </c>
      <c r="N180" s="26" t="s">
        <v>1980</v>
      </c>
    </row>
    <row r="181" spans="13:14">
      <c r="M181" s="26" t="s">
        <v>2230</v>
      </c>
      <c r="N181" s="26" t="s">
        <v>1978</v>
      </c>
    </row>
    <row r="182" spans="13:14">
      <c r="M182" s="26" t="s">
        <v>2235</v>
      </c>
      <c r="N182" s="26" t="s">
        <v>1983</v>
      </c>
    </row>
    <row r="183" spans="13:14">
      <c r="M183" s="26" t="s">
        <v>2091</v>
      </c>
      <c r="N183" s="26" t="s">
        <v>1839</v>
      </c>
    </row>
    <row r="184" spans="13:14">
      <c r="M184" s="26" t="s">
        <v>2236</v>
      </c>
      <c r="N184" s="26" t="s">
        <v>1984</v>
      </c>
    </row>
    <row r="185" spans="13:14">
      <c r="M185" s="26" t="s">
        <v>2237</v>
      </c>
      <c r="N185" s="26" t="s">
        <v>1985</v>
      </c>
    </row>
    <row r="186" spans="13:14">
      <c r="M186" s="26" t="s">
        <v>2239</v>
      </c>
      <c r="N186" s="26" t="s">
        <v>1987</v>
      </c>
    </row>
    <row r="187" spans="13:14">
      <c r="M187" s="26" t="s">
        <v>2240</v>
      </c>
      <c r="N187" s="26" t="s">
        <v>1988</v>
      </c>
    </row>
    <row r="188" spans="13:14">
      <c r="M188" s="26" t="s">
        <v>2075</v>
      </c>
      <c r="N188" s="26" t="s">
        <v>1823</v>
      </c>
    </row>
    <row r="189" spans="13:14">
      <c r="M189" s="26" t="s">
        <v>2247</v>
      </c>
      <c r="N189" s="26" t="s">
        <v>1995</v>
      </c>
    </row>
    <row r="190" spans="13:14">
      <c r="M190" s="26" t="s">
        <v>2169</v>
      </c>
      <c r="N190" s="26" t="s">
        <v>1916</v>
      </c>
    </row>
    <row r="191" spans="13:14">
      <c r="M191" s="26" t="s">
        <v>2177</v>
      </c>
      <c r="N191" s="26" t="s">
        <v>1924</v>
      </c>
    </row>
    <row r="192" spans="13:14">
      <c r="M192" s="26" t="s">
        <v>2190</v>
      </c>
      <c r="N192" s="26" t="s">
        <v>1937</v>
      </c>
    </row>
    <row r="193" spans="13:14">
      <c r="M193" s="26" t="s">
        <v>2228</v>
      </c>
      <c r="N193" s="26" t="s">
        <v>1976</v>
      </c>
    </row>
    <row r="194" spans="13:14">
      <c r="M194" s="26" t="s">
        <v>2285</v>
      </c>
      <c r="N194" s="26" t="s">
        <v>2033</v>
      </c>
    </row>
    <row r="195" spans="13:14">
      <c r="M195" s="26" t="s">
        <v>2292</v>
      </c>
      <c r="N195" s="26" t="s">
        <v>2040</v>
      </c>
    </row>
    <row r="196" spans="13:14">
      <c r="M196" s="26" t="s">
        <v>2252</v>
      </c>
      <c r="N196" s="26" t="s">
        <v>2000</v>
      </c>
    </row>
    <row r="197" spans="13:14">
      <c r="M197" s="26" t="s">
        <v>2257</v>
      </c>
      <c r="N197" s="26" t="s">
        <v>2005</v>
      </c>
    </row>
    <row r="198" spans="13:14">
      <c r="M198" s="26" t="s">
        <v>2241</v>
      </c>
      <c r="N198" s="26" t="s">
        <v>1989</v>
      </c>
    </row>
    <row r="199" spans="13:14">
      <c r="M199" s="26" t="s">
        <v>2253</v>
      </c>
      <c r="N199" s="26" t="s">
        <v>2001</v>
      </c>
    </row>
    <row r="200" spans="13:14">
      <c r="M200" s="26" t="s">
        <v>2238</v>
      </c>
      <c r="N200" s="26" t="s">
        <v>1986</v>
      </c>
    </row>
    <row r="201" spans="13:14">
      <c r="M201" s="26" t="s">
        <v>2243</v>
      </c>
      <c r="N201" s="26" t="s">
        <v>1991</v>
      </c>
    </row>
    <row r="202" spans="13:14">
      <c r="M202" s="26" t="s">
        <v>2251</v>
      </c>
      <c r="N202" s="26" t="s">
        <v>1999</v>
      </c>
    </row>
    <row r="203" spans="13:14">
      <c r="M203" s="26" t="s">
        <v>2246</v>
      </c>
      <c r="N203" s="26" t="s">
        <v>1994</v>
      </c>
    </row>
    <row r="204" spans="13:14">
      <c r="M204" s="26" t="s">
        <v>2259</v>
      </c>
      <c r="N204" s="26" t="s">
        <v>2007</v>
      </c>
    </row>
    <row r="205" spans="13:14">
      <c r="M205" s="26" t="s">
        <v>2250</v>
      </c>
      <c r="N205" s="26" t="s">
        <v>1998</v>
      </c>
    </row>
    <row r="206" spans="13:14">
      <c r="M206" s="26" t="s">
        <v>2248</v>
      </c>
      <c r="N206" s="26" t="s">
        <v>1996</v>
      </c>
    </row>
    <row r="207" spans="13:14">
      <c r="M207" s="26" t="s">
        <v>2242</v>
      </c>
      <c r="N207" s="26" t="s">
        <v>1990</v>
      </c>
    </row>
    <row r="208" spans="13:14">
      <c r="M208" s="26" t="s">
        <v>2254</v>
      </c>
      <c r="N208" s="26" t="s">
        <v>2002</v>
      </c>
    </row>
    <row r="209" spans="13:14">
      <c r="M209" s="26" t="s">
        <v>2295</v>
      </c>
      <c r="N209" s="26" t="s">
        <v>2043</v>
      </c>
    </row>
    <row r="210" spans="13:14">
      <c r="M210" s="26" t="s">
        <v>2139</v>
      </c>
      <c r="N210" s="26" t="s">
        <v>1886</v>
      </c>
    </row>
    <row r="211" spans="13:14">
      <c r="M211" s="26" t="s">
        <v>2171</v>
      </c>
      <c r="N211" s="26" t="s">
        <v>1918</v>
      </c>
    </row>
    <row r="212" spans="13:14">
      <c r="M212" s="26" t="s">
        <v>2256</v>
      </c>
      <c r="N212" s="26" t="s">
        <v>2004</v>
      </c>
    </row>
    <row r="213" spans="13:14">
      <c r="M213" s="26" t="s">
        <v>2117</v>
      </c>
      <c r="N213" s="26" t="s">
        <v>1865</v>
      </c>
    </row>
    <row r="214" spans="13:14">
      <c r="M214" s="26" t="s">
        <v>2179</v>
      </c>
      <c r="N214" s="26" t="s">
        <v>1926</v>
      </c>
    </row>
    <row r="215" spans="13:14">
      <c r="M215" s="26" t="s">
        <v>2244</v>
      </c>
      <c r="N215" s="26" t="s">
        <v>1992</v>
      </c>
    </row>
    <row r="216" spans="13:14">
      <c r="M216" s="26" t="s">
        <v>2255</v>
      </c>
      <c r="N216" s="26" t="s">
        <v>2003</v>
      </c>
    </row>
    <row r="217" spans="13:14">
      <c r="M217" s="26" t="s">
        <v>2249</v>
      </c>
      <c r="N217" s="26" t="s">
        <v>1997</v>
      </c>
    </row>
    <row r="218" spans="13:14">
      <c r="M218" s="26" t="s">
        <v>2245</v>
      </c>
      <c r="N218" s="26" t="s">
        <v>1993</v>
      </c>
    </row>
    <row r="219" spans="13:14">
      <c r="M219" s="26" t="s">
        <v>2092</v>
      </c>
      <c r="N219" s="26" t="s">
        <v>1840</v>
      </c>
    </row>
    <row r="220" spans="13:14">
      <c r="M220" s="26" t="s">
        <v>2260</v>
      </c>
      <c r="N220" s="26" t="s">
        <v>2008</v>
      </c>
    </row>
    <row r="221" spans="13:14">
      <c r="M221" s="26" t="s">
        <v>2276</v>
      </c>
      <c r="N221" s="26" t="s">
        <v>2024</v>
      </c>
    </row>
    <row r="222" spans="13:14">
      <c r="M222" s="26" t="s">
        <v>2267</v>
      </c>
      <c r="N222" s="26" t="s">
        <v>2015</v>
      </c>
    </row>
    <row r="223" spans="13:14">
      <c r="M223" s="26" t="s">
        <v>2277</v>
      </c>
      <c r="N223" s="26" t="s">
        <v>2025</v>
      </c>
    </row>
    <row r="224" spans="13:14">
      <c r="M224" s="26" t="s">
        <v>2266</v>
      </c>
      <c r="N224" s="26" t="s">
        <v>2014</v>
      </c>
    </row>
    <row r="225" spans="13:14">
      <c r="M225" s="26" t="s">
        <v>2269</v>
      </c>
      <c r="N225" s="26" t="s">
        <v>2017</v>
      </c>
    </row>
    <row r="226" spans="13:14">
      <c r="M226" s="26" t="s">
        <v>2265</v>
      </c>
      <c r="N226" s="26" t="s">
        <v>2013</v>
      </c>
    </row>
    <row r="227" spans="13:14">
      <c r="M227" s="26" t="s">
        <v>2268</v>
      </c>
      <c r="N227" s="26" t="s">
        <v>2016</v>
      </c>
    </row>
    <row r="228" spans="13:14">
      <c r="M228" s="26" t="s">
        <v>2272</v>
      </c>
      <c r="N228" s="26" t="s">
        <v>2020</v>
      </c>
    </row>
    <row r="229" spans="13:14">
      <c r="M229" s="26" t="s">
        <v>2274</v>
      </c>
      <c r="N229" s="26" t="s">
        <v>2022</v>
      </c>
    </row>
    <row r="230" spans="13:14">
      <c r="M230" s="26" t="s">
        <v>2271</v>
      </c>
      <c r="N230" s="26" t="s">
        <v>2019</v>
      </c>
    </row>
    <row r="231" spans="13:14">
      <c r="M231" s="26" t="s">
        <v>2273</v>
      </c>
      <c r="N231" s="26" t="s">
        <v>2300</v>
      </c>
    </row>
    <row r="232" spans="13:14">
      <c r="M232" s="26" t="s">
        <v>2273</v>
      </c>
      <c r="N232" s="26" t="s">
        <v>2021</v>
      </c>
    </row>
    <row r="233" spans="13:14">
      <c r="M233" s="26" t="s">
        <v>2270</v>
      </c>
      <c r="N233" s="26" t="s">
        <v>2018</v>
      </c>
    </row>
    <row r="234" spans="13:14">
      <c r="M234" s="26" t="s">
        <v>2262</v>
      </c>
      <c r="N234" s="26" t="s">
        <v>2010</v>
      </c>
    </row>
    <row r="235" spans="13:14">
      <c r="M235" s="26" t="s">
        <v>2275</v>
      </c>
      <c r="N235" s="26" t="s">
        <v>2023</v>
      </c>
    </row>
    <row r="236" spans="13:14">
      <c r="M236" s="26" t="s">
        <v>2279</v>
      </c>
      <c r="N236" s="26" t="s">
        <v>2027</v>
      </c>
    </row>
    <row r="237" spans="13:14">
      <c r="M237" s="26" t="s">
        <v>2278</v>
      </c>
      <c r="N237" s="26" t="s">
        <v>2026</v>
      </c>
    </row>
    <row r="238" spans="13:14">
      <c r="M238" s="26" t="s">
        <v>2051</v>
      </c>
      <c r="N238" s="26" t="s">
        <v>1799</v>
      </c>
    </row>
    <row r="239" spans="13:14">
      <c r="M239" s="26" t="s">
        <v>2126</v>
      </c>
      <c r="N239" s="26" t="s">
        <v>1873</v>
      </c>
    </row>
    <row r="240" spans="13:14">
      <c r="M240" s="26" t="s">
        <v>2281</v>
      </c>
      <c r="N240" s="26" t="s">
        <v>2029</v>
      </c>
    </row>
    <row r="241" spans="13:14">
      <c r="M241" s="26" t="s">
        <v>2280</v>
      </c>
      <c r="N241" s="26" t="s">
        <v>2028</v>
      </c>
    </row>
    <row r="242" spans="13:14">
      <c r="M242" s="26" t="s">
        <v>2282</v>
      </c>
      <c r="N242" s="26" t="s">
        <v>2030</v>
      </c>
    </row>
    <row r="243" spans="13:14">
      <c r="M243" s="26" t="s">
        <v>2312</v>
      </c>
      <c r="N243" s="26" t="s">
        <v>2048</v>
      </c>
    </row>
    <row r="244" spans="13:14">
      <c r="M244" s="26" t="s">
        <v>2283</v>
      </c>
      <c r="N244" s="26" t="s">
        <v>2031</v>
      </c>
    </row>
    <row r="245" spans="13:14">
      <c r="M245" s="26" t="s">
        <v>2290</v>
      </c>
      <c r="N245" s="26" t="s">
        <v>2038</v>
      </c>
    </row>
    <row r="246" spans="13:14">
      <c r="M246" s="26" t="s">
        <v>2286</v>
      </c>
      <c r="N246" s="26" t="s">
        <v>2034</v>
      </c>
    </row>
    <row r="247" spans="13:14">
      <c r="M247" s="26" t="s">
        <v>2289</v>
      </c>
      <c r="N247" s="26" t="s">
        <v>2037</v>
      </c>
    </row>
    <row r="248" spans="13:14">
      <c r="M248" s="26" t="s">
        <v>2287</v>
      </c>
      <c r="N248" s="26" t="s">
        <v>2035</v>
      </c>
    </row>
    <row r="249" spans="13:14">
      <c r="M249" s="26" t="s">
        <v>2288</v>
      </c>
      <c r="N249" s="26" t="s">
        <v>2036</v>
      </c>
    </row>
    <row r="250" spans="13:14">
      <c r="M250" s="26" t="s">
        <v>2291</v>
      </c>
      <c r="N250" s="26" t="s">
        <v>2039</v>
      </c>
    </row>
    <row r="251" spans="13:14">
      <c r="M251" s="26" t="s">
        <v>2115</v>
      </c>
      <c r="N251" s="26" t="s">
        <v>1863</v>
      </c>
    </row>
    <row r="252" spans="13:14">
      <c r="M252" s="26" t="s">
        <v>2293</v>
      </c>
      <c r="N252" s="26" t="s">
        <v>2041</v>
      </c>
    </row>
    <row r="253" spans="13:14">
      <c r="M253" s="26" t="s">
        <v>2311</v>
      </c>
      <c r="N253" s="26" t="s">
        <v>2049</v>
      </c>
    </row>
    <row r="254" spans="13:14">
      <c r="M254" s="26" t="s">
        <v>2296</v>
      </c>
      <c r="N254" s="26" t="s">
        <v>2044</v>
      </c>
    </row>
    <row r="255" spans="13:14">
      <c r="M255" s="26" t="s">
        <v>2297</v>
      </c>
      <c r="N255" s="26" t="s">
        <v>2045</v>
      </c>
    </row>
    <row r="256" spans="13:14">
      <c r="M256" s="26" t="s">
        <v>2315</v>
      </c>
      <c r="N256" s="26" t="s">
        <v>2301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A25" sqref="A2:A25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  <row r="25" spans="1:4">
      <c r="A25" t="s">
        <v>2887</v>
      </c>
      <c r="B25" t="s">
        <v>2888</v>
      </c>
      <c r="C25" s="10">
        <v>19000</v>
      </c>
      <c r="D25" s="10">
        <v>19500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roles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2026-04-12T13:11:10Z</dcterms:modified>
</cp:coreProperties>
</file>